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ropbox\KIMS Lab\논문\AI interface\"/>
    </mc:Choice>
  </mc:AlternateContent>
  <xr:revisionPtr revIDLastSave="0" documentId="13_ncr:1_{5E33E870-900F-49AC-B6ED-15D83485587F}" xr6:coauthVersionLast="47" xr6:coauthVersionMax="47" xr10:uidLastSave="{00000000-0000-0000-0000-000000000000}"/>
  <bookViews>
    <workbookView xWindow="-120" yWindow="-120" windowWidth="38640" windowHeight="21120" tabRatio="883" activeTab="11" xr2:uid="{00000000-000D-0000-FFFF-FFFF00000000}"/>
  </bookViews>
  <sheets>
    <sheet name="1 IgG kdecay 0" sheetId="161" r:id="rId1"/>
    <sheet name="2 INS kdecay 0" sheetId="162" r:id="rId2"/>
    <sheet name="3 ALB kdecay 0" sheetId="163" r:id="rId3"/>
    <sheet name="4 IgG decay2.9e-7" sheetId="165" r:id="rId4"/>
    <sheet name="5 INS kdecay 2.9e-7" sheetId="174" r:id="rId5"/>
    <sheet name="6 ALB kdecay 2.9e-7" sheetId="167" r:id="rId6"/>
    <sheet name="7 IgG decay1.7e-6" sheetId="168" r:id="rId7"/>
    <sheet name="8 INS decay1.7e-6" sheetId="169" r:id="rId8"/>
    <sheet name="9 ALB kdecay 1.7e-6" sheetId="170" r:id="rId9"/>
    <sheet name="10 IgG decay1.5e-5" sheetId="171" r:id="rId10"/>
    <sheet name="11 INS decay1.5e-5" sheetId="172" r:id="rId11"/>
    <sheet name="12 ALB decay1.5e-5" sheetId="17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56" i="173" l="1"/>
  <c r="AA59" i="172"/>
  <c r="AA58" i="171"/>
  <c r="AA57" i="170"/>
  <c r="AA61" i="169"/>
  <c r="Z56" i="168"/>
  <c r="AA57" i="167"/>
  <c r="AB64" i="174"/>
  <c r="Z53" i="165"/>
  <c r="Z56" i="163"/>
  <c r="AA66" i="162"/>
  <c r="Z54" i="161"/>
  <c r="F107" i="173" l="1"/>
  <c r="H107" i="173"/>
  <c r="G107" i="173" s="1"/>
  <c r="I107" i="173"/>
  <c r="O45" i="169"/>
  <c r="P45" i="169"/>
  <c r="Q45" i="169"/>
  <c r="R45" i="169"/>
  <c r="S45" i="169"/>
  <c r="T45" i="169"/>
  <c r="U45" i="169"/>
  <c r="V45" i="169"/>
  <c r="O46" i="169"/>
  <c r="P46" i="169"/>
  <c r="Q46" i="169"/>
  <c r="R46" i="169"/>
  <c r="S46" i="169"/>
  <c r="T46" i="169"/>
  <c r="U46" i="169"/>
  <c r="V46" i="169"/>
  <c r="O47" i="169"/>
  <c r="P47" i="169"/>
  <c r="Q47" i="169"/>
  <c r="R47" i="169"/>
  <c r="S47" i="169"/>
  <c r="T47" i="169"/>
  <c r="U47" i="169"/>
  <c r="V47" i="169"/>
  <c r="O48" i="169"/>
  <c r="P48" i="169"/>
  <c r="Q48" i="169"/>
  <c r="R48" i="169"/>
  <c r="S48" i="169"/>
  <c r="T48" i="169"/>
  <c r="U48" i="169"/>
  <c r="V48" i="169"/>
  <c r="O49" i="169"/>
  <c r="P49" i="169"/>
  <c r="Q49" i="169"/>
  <c r="R49" i="169"/>
  <c r="S49" i="169"/>
  <c r="T49" i="169"/>
  <c r="U49" i="169"/>
  <c r="V49" i="169"/>
  <c r="O50" i="169"/>
  <c r="P50" i="169"/>
  <c r="Q50" i="169"/>
  <c r="R50" i="169"/>
  <c r="S50" i="169"/>
  <c r="T50" i="169"/>
  <c r="U50" i="169"/>
  <c r="V50" i="169"/>
  <c r="O51" i="169"/>
  <c r="P51" i="169"/>
  <c r="Q51" i="169"/>
  <c r="R51" i="169"/>
  <c r="S51" i="169"/>
  <c r="T51" i="169"/>
  <c r="U51" i="169"/>
  <c r="V51" i="169"/>
  <c r="O52" i="169"/>
  <c r="P52" i="169"/>
  <c r="Q52" i="169"/>
  <c r="R52" i="169"/>
  <c r="S52" i="169"/>
  <c r="T52" i="169"/>
  <c r="U52" i="169"/>
  <c r="V52" i="169"/>
  <c r="O53" i="169"/>
  <c r="P53" i="169"/>
  <c r="Q53" i="169"/>
  <c r="R53" i="169"/>
  <c r="S53" i="169"/>
  <c r="T53" i="169"/>
  <c r="U53" i="169"/>
  <c r="V53" i="169"/>
  <c r="O54" i="169"/>
  <c r="P54" i="169"/>
  <c r="Q54" i="169"/>
  <c r="R54" i="169"/>
  <c r="S54" i="169"/>
  <c r="T54" i="169"/>
  <c r="U54" i="169"/>
  <c r="V54" i="169"/>
  <c r="O55" i="169"/>
  <c r="P55" i="169"/>
  <c r="Q55" i="169"/>
  <c r="R55" i="169"/>
  <c r="S55" i="169"/>
  <c r="T55" i="169"/>
  <c r="U55" i="169"/>
  <c r="V55" i="169"/>
  <c r="O56" i="169"/>
  <c r="P56" i="169"/>
  <c r="Q56" i="169"/>
  <c r="R56" i="169"/>
  <c r="S56" i="169"/>
  <c r="T56" i="169"/>
  <c r="U56" i="169"/>
  <c r="V56" i="169"/>
  <c r="O57" i="169"/>
  <c r="P57" i="169"/>
  <c r="Q57" i="169"/>
  <c r="R57" i="169"/>
  <c r="S57" i="169"/>
  <c r="T57" i="169"/>
  <c r="U57" i="169"/>
  <c r="V57" i="169"/>
  <c r="O58" i="169"/>
  <c r="P58" i="169"/>
  <c r="Q58" i="169"/>
  <c r="R58" i="169"/>
  <c r="S58" i="169"/>
  <c r="T58" i="169"/>
  <c r="U58" i="169"/>
  <c r="V58" i="169"/>
  <c r="F118" i="169"/>
  <c r="H118" i="169"/>
  <c r="I118" i="169"/>
  <c r="F119" i="169"/>
  <c r="H119" i="169"/>
  <c r="I119" i="169"/>
  <c r="F120" i="169"/>
  <c r="H120" i="169"/>
  <c r="I120" i="169"/>
  <c r="F121" i="169"/>
  <c r="H121" i="169"/>
  <c r="G121" i="169" s="1"/>
  <c r="I121" i="169"/>
  <c r="F122" i="169"/>
  <c r="H122" i="169"/>
  <c r="I122" i="169"/>
  <c r="F123" i="169"/>
  <c r="H123" i="169"/>
  <c r="I123" i="169"/>
  <c r="F124" i="169"/>
  <c r="H124" i="169"/>
  <c r="I124" i="169"/>
  <c r="F125" i="169"/>
  <c r="H125" i="169"/>
  <c r="I125" i="169"/>
  <c r="F126" i="169"/>
  <c r="H126" i="169"/>
  <c r="I126" i="169"/>
  <c r="F127" i="169"/>
  <c r="H127" i="169"/>
  <c r="I127" i="169"/>
  <c r="F128" i="169"/>
  <c r="H128" i="169"/>
  <c r="I128" i="169"/>
  <c r="F129" i="169"/>
  <c r="H129" i="169"/>
  <c r="G129" i="169" s="1"/>
  <c r="I129" i="169"/>
  <c r="F130" i="169"/>
  <c r="H130" i="169"/>
  <c r="I130" i="169"/>
  <c r="F131" i="169"/>
  <c r="H131" i="169"/>
  <c r="I131" i="169"/>
  <c r="I131" i="174"/>
  <c r="H131" i="174"/>
  <c r="G131" i="174" s="1"/>
  <c r="F131" i="174"/>
  <c r="I130" i="174"/>
  <c r="H130" i="174"/>
  <c r="G130" i="174"/>
  <c r="F130" i="174"/>
  <c r="I129" i="174"/>
  <c r="H129" i="174"/>
  <c r="G129" i="174" s="1"/>
  <c r="F129" i="174"/>
  <c r="I128" i="174"/>
  <c r="H128" i="174"/>
  <c r="G128" i="174"/>
  <c r="F128" i="174"/>
  <c r="I127" i="174"/>
  <c r="H127" i="174"/>
  <c r="G127" i="174"/>
  <c r="F127" i="174"/>
  <c r="I126" i="174"/>
  <c r="H126" i="174"/>
  <c r="G126" i="174"/>
  <c r="F126" i="174"/>
  <c r="I125" i="174"/>
  <c r="H125" i="174"/>
  <c r="G125" i="174"/>
  <c r="F125" i="174"/>
  <c r="I124" i="174"/>
  <c r="H124" i="174"/>
  <c r="G124" i="174"/>
  <c r="F124" i="174"/>
  <c r="I123" i="174"/>
  <c r="H123" i="174"/>
  <c r="G123" i="174" s="1"/>
  <c r="F123" i="174"/>
  <c r="I122" i="174"/>
  <c r="H122" i="174"/>
  <c r="G122" i="174"/>
  <c r="F122" i="174"/>
  <c r="I121" i="174"/>
  <c r="H121" i="174"/>
  <c r="G121" i="174"/>
  <c r="F121" i="174"/>
  <c r="I120" i="174"/>
  <c r="H120" i="174"/>
  <c r="G120" i="174"/>
  <c r="F120" i="174"/>
  <c r="I119" i="174"/>
  <c r="H119" i="174"/>
  <c r="G119" i="174"/>
  <c r="F119" i="174"/>
  <c r="I118" i="174"/>
  <c r="H118" i="174"/>
  <c r="G118" i="174"/>
  <c r="F118" i="174"/>
  <c r="I117" i="174"/>
  <c r="H117" i="174"/>
  <c r="G117" i="174" s="1"/>
  <c r="F117" i="174"/>
  <c r="I116" i="174"/>
  <c r="H116" i="174"/>
  <c r="G116" i="174"/>
  <c r="F116" i="174"/>
  <c r="I115" i="174"/>
  <c r="H115" i="174"/>
  <c r="G115" i="174"/>
  <c r="F115" i="174"/>
  <c r="I114" i="174"/>
  <c r="H114" i="174"/>
  <c r="G114" i="174"/>
  <c r="F114" i="174"/>
  <c r="I113" i="174"/>
  <c r="H113" i="174"/>
  <c r="G113" i="174"/>
  <c r="F113" i="174"/>
  <c r="I112" i="174"/>
  <c r="H112" i="174"/>
  <c r="G112" i="174"/>
  <c r="F112" i="174"/>
  <c r="I111" i="174"/>
  <c r="H111" i="174"/>
  <c r="G111" i="174" s="1"/>
  <c r="F111" i="174"/>
  <c r="I110" i="174"/>
  <c r="H110" i="174"/>
  <c r="G110" i="174"/>
  <c r="F110" i="174"/>
  <c r="I109" i="174"/>
  <c r="H109" i="174"/>
  <c r="G109" i="174"/>
  <c r="F109" i="174"/>
  <c r="I108" i="174"/>
  <c r="H108" i="174"/>
  <c r="G108" i="174"/>
  <c r="F108" i="174"/>
  <c r="I107" i="174"/>
  <c r="H107" i="174"/>
  <c r="G107" i="174"/>
  <c r="F107" i="174"/>
  <c r="I106" i="174"/>
  <c r="H106" i="174"/>
  <c r="G106" i="174"/>
  <c r="F106" i="174"/>
  <c r="I105" i="174"/>
  <c r="H105" i="174"/>
  <c r="G105" i="174" s="1"/>
  <c r="F105" i="174"/>
  <c r="I104" i="174"/>
  <c r="H104" i="174"/>
  <c r="G104" i="174"/>
  <c r="F104" i="174"/>
  <c r="I103" i="174"/>
  <c r="H103" i="174"/>
  <c r="G103" i="174"/>
  <c r="F103" i="174"/>
  <c r="I102" i="174"/>
  <c r="H102" i="174"/>
  <c r="G102" i="174"/>
  <c r="F102" i="174"/>
  <c r="I101" i="174"/>
  <c r="H101" i="174"/>
  <c r="G101" i="174"/>
  <c r="F101" i="174"/>
  <c r="I100" i="174"/>
  <c r="H100" i="174"/>
  <c r="G100" i="174"/>
  <c r="F100" i="174"/>
  <c r="I99" i="174"/>
  <c r="H99" i="174"/>
  <c r="G99" i="174" s="1"/>
  <c r="F99" i="174"/>
  <c r="I98" i="174"/>
  <c r="H98" i="174"/>
  <c r="G98" i="174"/>
  <c r="F98" i="174"/>
  <c r="I97" i="174"/>
  <c r="H97" i="174"/>
  <c r="G97" i="174"/>
  <c r="F97" i="174"/>
  <c r="I96" i="174"/>
  <c r="H96" i="174"/>
  <c r="G96" i="174"/>
  <c r="F96" i="174"/>
  <c r="I95" i="174"/>
  <c r="H95" i="174"/>
  <c r="G95" i="174"/>
  <c r="F95" i="174"/>
  <c r="I94" i="174"/>
  <c r="H94" i="174"/>
  <c r="G94" i="174"/>
  <c r="F94" i="174"/>
  <c r="I93" i="174"/>
  <c r="H93" i="174"/>
  <c r="G93" i="174" s="1"/>
  <c r="F93" i="174"/>
  <c r="I92" i="174"/>
  <c r="H92" i="174"/>
  <c r="G92" i="174"/>
  <c r="F92" i="174"/>
  <c r="I91" i="174"/>
  <c r="H91" i="174"/>
  <c r="G91" i="174"/>
  <c r="F91" i="174"/>
  <c r="I90" i="174"/>
  <c r="H90" i="174"/>
  <c r="G90" i="174"/>
  <c r="F90" i="174"/>
  <c r="I89" i="174"/>
  <c r="H89" i="174"/>
  <c r="G89" i="174"/>
  <c r="F89" i="174"/>
  <c r="I88" i="174"/>
  <c r="H88" i="174"/>
  <c r="G88" i="174"/>
  <c r="F88" i="174"/>
  <c r="I87" i="174"/>
  <c r="H87" i="174"/>
  <c r="G87" i="174" s="1"/>
  <c r="F87" i="174"/>
  <c r="I86" i="174"/>
  <c r="H86" i="174"/>
  <c r="G86" i="174"/>
  <c r="F86" i="174"/>
  <c r="I85" i="174"/>
  <c r="H85" i="174"/>
  <c r="G85" i="174"/>
  <c r="F85" i="174"/>
  <c r="I84" i="174"/>
  <c r="H84" i="174"/>
  <c r="G84" i="174"/>
  <c r="F84" i="174"/>
  <c r="I83" i="174"/>
  <c r="H83" i="174"/>
  <c r="G83" i="174"/>
  <c r="F83" i="174"/>
  <c r="I82" i="174"/>
  <c r="H82" i="174"/>
  <c r="G82" i="174"/>
  <c r="F82" i="174"/>
  <c r="I81" i="174"/>
  <c r="H81" i="174"/>
  <c r="G81" i="174" s="1"/>
  <c r="F81" i="174"/>
  <c r="I80" i="174"/>
  <c r="H80" i="174"/>
  <c r="G80" i="174"/>
  <c r="F80" i="174"/>
  <c r="I79" i="174"/>
  <c r="H79" i="174"/>
  <c r="G79" i="174"/>
  <c r="F79" i="174"/>
  <c r="I78" i="174"/>
  <c r="H78" i="174"/>
  <c r="G78" i="174"/>
  <c r="F78" i="174"/>
  <c r="I77" i="174"/>
  <c r="H77" i="174"/>
  <c r="G77" i="174"/>
  <c r="F77" i="174"/>
  <c r="I76" i="174"/>
  <c r="H76" i="174"/>
  <c r="G76" i="174"/>
  <c r="F76" i="174"/>
  <c r="I75" i="174"/>
  <c r="H75" i="174"/>
  <c r="G75" i="174" s="1"/>
  <c r="F75" i="174"/>
  <c r="I74" i="174"/>
  <c r="H74" i="174"/>
  <c r="G74" i="174"/>
  <c r="F74" i="174"/>
  <c r="V58" i="174"/>
  <c r="U58" i="174"/>
  <c r="T58" i="174"/>
  <c r="S58" i="174"/>
  <c r="R58" i="174"/>
  <c r="Q58" i="174"/>
  <c r="P58" i="174"/>
  <c r="O58" i="174"/>
  <c r="P57" i="174"/>
  <c r="O57" i="174"/>
  <c r="V56" i="174"/>
  <c r="S56" i="174"/>
  <c r="R56" i="174"/>
  <c r="Q56" i="174"/>
  <c r="P56" i="174"/>
  <c r="O56" i="174"/>
  <c r="V55" i="174"/>
  <c r="U55" i="174"/>
  <c r="T55" i="174"/>
  <c r="S55" i="174"/>
  <c r="R55" i="174"/>
  <c r="Q55" i="174"/>
  <c r="P55" i="174"/>
  <c r="O55" i="174"/>
  <c r="P54" i="174"/>
  <c r="O54" i="174"/>
  <c r="V53" i="174"/>
  <c r="U53" i="174"/>
  <c r="S53" i="174"/>
  <c r="R53" i="174"/>
  <c r="Q53" i="174"/>
  <c r="P53" i="174"/>
  <c r="O53" i="174"/>
  <c r="V52" i="174"/>
  <c r="U52" i="174"/>
  <c r="T52" i="174"/>
  <c r="S52" i="174"/>
  <c r="R52" i="174"/>
  <c r="Q52" i="174"/>
  <c r="P52" i="174"/>
  <c r="O52" i="174"/>
  <c r="P51" i="174"/>
  <c r="O51" i="174"/>
  <c r="V50" i="174"/>
  <c r="U50" i="174"/>
  <c r="S50" i="174"/>
  <c r="R50" i="174"/>
  <c r="Q50" i="174"/>
  <c r="P50" i="174"/>
  <c r="O50" i="174"/>
  <c r="V49" i="174"/>
  <c r="U49" i="174"/>
  <c r="T49" i="174"/>
  <c r="S49" i="174"/>
  <c r="R49" i="174"/>
  <c r="Q49" i="174"/>
  <c r="P49" i="174"/>
  <c r="O49" i="174"/>
  <c r="P48" i="174"/>
  <c r="O48" i="174"/>
  <c r="V47" i="174"/>
  <c r="U47" i="174"/>
  <c r="S47" i="174"/>
  <c r="R47" i="174"/>
  <c r="Q47" i="174"/>
  <c r="P47" i="174"/>
  <c r="O47" i="174"/>
  <c r="V46" i="174"/>
  <c r="U46" i="174"/>
  <c r="T46" i="174"/>
  <c r="S46" i="174"/>
  <c r="R46" i="174"/>
  <c r="Q46" i="174"/>
  <c r="P46" i="174"/>
  <c r="O46" i="174"/>
  <c r="P45" i="174"/>
  <c r="O45" i="174"/>
  <c r="V44" i="174"/>
  <c r="U44" i="174"/>
  <c r="S44" i="174"/>
  <c r="R44" i="174"/>
  <c r="Q44" i="174"/>
  <c r="P44" i="174"/>
  <c r="O44" i="174"/>
  <c r="V43" i="174"/>
  <c r="U43" i="174"/>
  <c r="T43" i="174"/>
  <c r="S43" i="174"/>
  <c r="R43" i="174"/>
  <c r="Q43" i="174"/>
  <c r="P43" i="174"/>
  <c r="O43" i="174"/>
  <c r="P42" i="174"/>
  <c r="O42" i="174"/>
  <c r="V41" i="174"/>
  <c r="U41" i="174"/>
  <c r="S41" i="174"/>
  <c r="R41" i="174"/>
  <c r="Q41" i="174"/>
  <c r="P41" i="174"/>
  <c r="O41" i="174"/>
  <c r="V40" i="174"/>
  <c r="U40" i="174"/>
  <c r="T40" i="174"/>
  <c r="S40" i="174"/>
  <c r="R40" i="174"/>
  <c r="Q40" i="174"/>
  <c r="P40" i="174"/>
  <c r="O40" i="174"/>
  <c r="P39" i="174"/>
  <c r="O39" i="174"/>
  <c r="V38" i="174"/>
  <c r="U38" i="174"/>
  <c r="S38" i="174"/>
  <c r="R38" i="174"/>
  <c r="Q38" i="174"/>
  <c r="P38" i="174"/>
  <c r="O38" i="174"/>
  <c r="V37" i="174"/>
  <c r="U37" i="174"/>
  <c r="T37" i="174"/>
  <c r="S37" i="174"/>
  <c r="R37" i="174"/>
  <c r="Q37" i="174"/>
  <c r="P37" i="174"/>
  <c r="O37" i="174"/>
  <c r="P36" i="174"/>
  <c r="O36" i="174"/>
  <c r="V35" i="174"/>
  <c r="U35" i="174"/>
  <c r="S35" i="174"/>
  <c r="R35" i="174"/>
  <c r="Q35" i="174"/>
  <c r="P35" i="174"/>
  <c r="O35" i="174"/>
  <c r="V34" i="174"/>
  <c r="U34" i="174"/>
  <c r="T34" i="174"/>
  <c r="S34" i="174"/>
  <c r="R34" i="174"/>
  <c r="Q34" i="174"/>
  <c r="P34" i="174"/>
  <c r="O34" i="174"/>
  <c r="P33" i="174"/>
  <c r="O33" i="174"/>
  <c r="V32" i="174"/>
  <c r="U32" i="174"/>
  <c r="S32" i="174"/>
  <c r="R32" i="174"/>
  <c r="Q32" i="174"/>
  <c r="P32" i="174"/>
  <c r="O32" i="174"/>
  <c r="V31" i="174"/>
  <c r="U31" i="174"/>
  <c r="T31" i="174"/>
  <c r="S31" i="174"/>
  <c r="R31" i="174"/>
  <c r="Q31" i="174"/>
  <c r="P31" i="174"/>
  <c r="O31" i="174"/>
  <c r="P30" i="174"/>
  <c r="O30" i="174"/>
  <c r="V29" i="174"/>
  <c r="U29" i="174"/>
  <c r="S29" i="174"/>
  <c r="R29" i="174"/>
  <c r="Q29" i="174"/>
  <c r="P29" i="174"/>
  <c r="O29" i="174"/>
  <c r="V28" i="174"/>
  <c r="U28" i="174"/>
  <c r="T28" i="174"/>
  <c r="S28" i="174"/>
  <c r="R28" i="174"/>
  <c r="Q28" i="174"/>
  <c r="P28" i="174"/>
  <c r="O28" i="174"/>
  <c r="P27" i="174"/>
  <c r="O27" i="174"/>
  <c r="V26" i="174"/>
  <c r="U26" i="174"/>
  <c r="S26" i="174"/>
  <c r="R26" i="174"/>
  <c r="Q26" i="174"/>
  <c r="P26" i="174"/>
  <c r="O26" i="174"/>
  <c r="V25" i="174"/>
  <c r="U25" i="174"/>
  <c r="T25" i="174"/>
  <c r="S25" i="174"/>
  <c r="R25" i="174"/>
  <c r="Q25" i="174"/>
  <c r="P25" i="174"/>
  <c r="O25" i="174"/>
  <c r="R24" i="174"/>
  <c r="P24" i="174"/>
  <c r="O24" i="174"/>
  <c r="V23" i="174"/>
  <c r="U23" i="174"/>
  <c r="S23" i="174"/>
  <c r="R23" i="174"/>
  <c r="Q23" i="174"/>
  <c r="P23" i="174"/>
  <c r="O23" i="174"/>
  <c r="V22" i="174"/>
  <c r="U22" i="174"/>
  <c r="T22" i="174"/>
  <c r="S22" i="174"/>
  <c r="R22" i="174"/>
  <c r="Q22" i="174"/>
  <c r="P22" i="174"/>
  <c r="O22" i="174"/>
  <c r="R21" i="174"/>
  <c r="P21" i="174"/>
  <c r="O21" i="174"/>
  <c r="V20" i="174"/>
  <c r="U20" i="174"/>
  <c r="S20" i="174"/>
  <c r="R20" i="174"/>
  <c r="Q20" i="174"/>
  <c r="P20" i="174"/>
  <c r="O20" i="174"/>
  <c r="V19" i="174"/>
  <c r="U19" i="174"/>
  <c r="T19" i="174"/>
  <c r="S19" i="174"/>
  <c r="R19" i="174"/>
  <c r="Q19" i="174"/>
  <c r="P19" i="174"/>
  <c r="O19" i="174"/>
  <c r="R18" i="174"/>
  <c r="P18" i="174"/>
  <c r="O18" i="174"/>
  <c r="V17" i="174"/>
  <c r="U17" i="174"/>
  <c r="S17" i="174"/>
  <c r="R17" i="174"/>
  <c r="Q17" i="174"/>
  <c r="P17" i="174"/>
  <c r="O17" i="174"/>
  <c r="V16" i="174"/>
  <c r="U16" i="174"/>
  <c r="T16" i="174"/>
  <c r="S16" i="174"/>
  <c r="R16" i="174"/>
  <c r="Q16" i="174"/>
  <c r="P16" i="174"/>
  <c r="O16" i="174"/>
  <c r="S15" i="174"/>
  <c r="Q15" i="174"/>
  <c r="P15" i="174"/>
  <c r="O15" i="174"/>
  <c r="U14" i="174"/>
  <c r="T14" i="174"/>
  <c r="S14" i="174"/>
  <c r="R14" i="174"/>
  <c r="Q14" i="174"/>
  <c r="P14" i="174"/>
  <c r="O14" i="174"/>
  <c r="AB13" i="174"/>
  <c r="V13" i="174"/>
  <c r="U13" i="174"/>
  <c r="T13" i="174"/>
  <c r="S13" i="174"/>
  <c r="R13" i="174"/>
  <c r="O13" i="174"/>
  <c r="V12" i="174"/>
  <c r="T12" i="174"/>
  <c r="S12" i="174"/>
  <c r="R12" i="174"/>
  <c r="Q12" i="174"/>
  <c r="O12" i="174"/>
  <c r="V11" i="174"/>
  <c r="U11" i="174"/>
  <c r="T11" i="174"/>
  <c r="S11" i="174"/>
  <c r="R11" i="174"/>
  <c r="Q11" i="174"/>
  <c r="P11" i="174"/>
  <c r="O11" i="174"/>
  <c r="V10" i="174"/>
  <c r="U10" i="174"/>
  <c r="T10" i="174"/>
  <c r="S10" i="174"/>
  <c r="O10" i="174"/>
  <c r="V9" i="174"/>
  <c r="T9" i="174"/>
  <c r="S9" i="174"/>
  <c r="R9" i="174"/>
  <c r="Q9" i="174"/>
  <c r="O9" i="174"/>
  <c r="AC8" i="174"/>
  <c r="AB12" i="174" s="1"/>
  <c r="AB8" i="174"/>
  <c r="AB15" i="174" s="1"/>
  <c r="AA8" i="174"/>
  <c r="Z8" i="174"/>
  <c r="AB14" i="174" s="1"/>
  <c r="Y8" i="174"/>
  <c r="V8" i="174"/>
  <c r="U8" i="174"/>
  <c r="T8" i="174"/>
  <c r="S8" i="174"/>
  <c r="R8" i="174"/>
  <c r="Q8" i="174"/>
  <c r="P8" i="174"/>
  <c r="O8" i="174"/>
  <c r="S7" i="174"/>
  <c r="Q7" i="174"/>
  <c r="P7" i="174"/>
  <c r="O7" i="174"/>
  <c r="V6" i="174"/>
  <c r="T6" i="174"/>
  <c r="S6" i="174"/>
  <c r="R6" i="174"/>
  <c r="Q6" i="174"/>
  <c r="P6" i="174"/>
  <c r="O6" i="174"/>
  <c r="V5" i="174"/>
  <c r="U5" i="174"/>
  <c r="T5" i="174"/>
  <c r="S5" i="174"/>
  <c r="R5" i="174"/>
  <c r="Q5" i="174"/>
  <c r="P5" i="174"/>
  <c r="O5" i="174"/>
  <c r="U4" i="174"/>
  <c r="S4" i="174"/>
  <c r="Q4" i="174"/>
  <c r="P4" i="174"/>
  <c r="O4" i="174"/>
  <c r="V3" i="174"/>
  <c r="T3" i="174"/>
  <c r="S3" i="174"/>
  <c r="R3" i="174"/>
  <c r="Q3" i="174"/>
  <c r="P3" i="174"/>
  <c r="O3" i="174"/>
  <c r="V2" i="174"/>
  <c r="U2" i="174"/>
  <c r="T2" i="174"/>
  <c r="S2" i="174"/>
  <c r="R2" i="174"/>
  <c r="Q2" i="174"/>
  <c r="P2" i="174"/>
  <c r="O2" i="174"/>
  <c r="A1" i="174"/>
  <c r="V57" i="174" s="1"/>
  <c r="F118" i="167"/>
  <c r="H118" i="167"/>
  <c r="G118" i="167" s="1"/>
  <c r="I118" i="167"/>
  <c r="F119" i="167"/>
  <c r="H119" i="167"/>
  <c r="I119" i="167"/>
  <c r="F120" i="167"/>
  <c r="H120" i="167"/>
  <c r="G120" i="167" s="1"/>
  <c r="I120" i="167"/>
  <c r="F121" i="167"/>
  <c r="H121" i="167"/>
  <c r="G121" i="167" s="1"/>
  <c r="I121" i="167"/>
  <c r="F122" i="167"/>
  <c r="H122" i="167"/>
  <c r="I122" i="167"/>
  <c r="G122" i="167" s="1"/>
  <c r="F123" i="167"/>
  <c r="H123" i="167"/>
  <c r="I123" i="167"/>
  <c r="F124" i="167"/>
  <c r="H124" i="167"/>
  <c r="G124" i="167" s="1"/>
  <c r="I124" i="167"/>
  <c r="F125" i="167"/>
  <c r="H125" i="167"/>
  <c r="G125" i="167" s="1"/>
  <c r="I125" i="167"/>
  <c r="F126" i="167"/>
  <c r="H126" i="167"/>
  <c r="G126" i="167" s="1"/>
  <c r="I126" i="167"/>
  <c r="F127" i="167"/>
  <c r="H127" i="167"/>
  <c r="I127" i="167"/>
  <c r="F128" i="167"/>
  <c r="H128" i="167"/>
  <c r="G128" i="167" s="1"/>
  <c r="I128" i="167"/>
  <c r="F129" i="167"/>
  <c r="H129" i="167"/>
  <c r="I129" i="167"/>
  <c r="F130" i="167"/>
  <c r="H130" i="167"/>
  <c r="G130" i="167" s="1"/>
  <c r="I130" i="167"/>
  <c r="F131" i="167"/>
  <c r="H131" i="167"/>
  <c r="I131" i="167"/>
  <c r="O32" i="165"/>
  <c r="O31" i="165"/>
  <c r="O30" i="165"/>
  <c r="O25" i="165"/>
  <c r="O22" i="165"/>
  <c r="O20" i="165"/>
  <c r="O19" i="165"/>
  <c r="O18" i="165"/>
  <c r="O16" i="165"/>
  <c r="O15" i="165"/>
  <c r="O14" i="165"/>
  <c r="O13" i="165"/>
  <c r="O12" i="165"/>
  <c r="O8" i="165"/>
  <c r="O7" i="165"/>
  <c r="O6" i="165"/>
  <c r="O3" i="165"/>
  <c r="O2" i="165"/>
  <c r="O35" i="165"/>
  <c r="O24" i="165"/>
  <c r="O23" i="165"/>
  <c r="O21" i="165"/>
  <c r="O5" i="165"/>
  <c r="O45" i="162"/>
  <c r="P45" i="162"/>
  <c r="Q45" i="162"/>
  <c r="R45" i="162"/>
  <c r="S45" i="162"/>
  <c r="T45" i="162"/>
  <c r="U45" i="162"/>
  <c r="V45" i="162"/>
  <c r="O46" i="162"/>
  <c r="P46" i="162"/>
  <c r="Q46" i="162"/>
  <c r="R46" i="162"/>
  <c r="S46" i="162"/>
  <c r="T46" i="162"/>
  <c r="U46" i="162"/>
  <c r="V46" i="162"/>
  <c r="O47" i="162"/>
  <c r="P47" i="162"/>
  <c r="Q47" i="162"/>
  <c r="R47" i="162"/>
  <c r="S47" i="162"/>
  <c r="T47" i="162"/>
  <c r="U47" i="162"/>
  <c r="V47" i="162"/>
  <c r="O48" i="162"/>
  <c r="P48" i="162"/>
  <c r="Q48" i="162"/>
  <c r="R48" i="162"/>
  <c r="S48" i="162"/>
  <c r="T48" i="162"/>
  <c r="U48" i="162"/>
  <c r="V48" i="162"/>
  <c r="O49" i="162"/>
  <c r="P49" i="162"/>
  <c r="Q49" i="162"/>
  <c r="R49" i="162"/>
  <c r="S49" i="162"/>
  <c r="T49" i="162"/>
  <c r="U49" i="162"/>
  <c r="V49" i="162"/>
  <c r="O50" i="162"/>
  <c r="P50" i="162"/>
  <c r="Q50" i="162"/>
  <c r="R50" i="162"/>
  <c r="S50" i="162"/>
  <c r="T50" i="162"/>
  <c r="U50" i="162"/>
  <c r="V50" i="162"/>
  <c r="O51" i="162"/>
  <c r="P51" i="162"/>
  <c r="Q51" i="162"/>
  <c r="R51" i="162"/>
  <c r="S51" i="162"/>
  <c r="T51" i="162"/>
  <c r="U51" i="162"/>
  <c r="V51" i="162"/>
  <c r="O52" i="162"/>
  <c r="P52" i="162"/>
  <c r="Q52" i="162"/>
  <c r="R52" i="162"/>
  <c r="S52" i="162"/>
  <c r="T52" i="162"/>
  <c r="U52" i="162"/>
  <c r="V52" i="162"/>
  <c r="O53" i="162"/>
  <c r="P53" i="162"/>
  <c r="Q53" i="162"/>
  <c r="R53" i="162"/>
  <c r="S53" i="162"/>
  <c r="T53" i="162"/>
  <c r="U53" i="162"/>
  <c r="V53" i="162"/>
  <c r="O54" i="162"/>
  <c r="P54" i="162"/>
  <c r="Q54" i="162"/>
  <c r="R54" i="162"/>
  <c r="S54" i="162"/>
  <c r="T54" i="162"/>
  <c r="U54" i="162"/>
  <c r="V54" i="162"/>
  <c r="O55" i="162"/>
  <c r="P55" i="162"/>
  <c r="Q55" i="162"/>
  <c r="R55" i="162"/>
  <c r="S55" i="162"/>
  <c r="T55" i="162"/>
  <c r="U55" i="162"/>
  <c r="V55" i="162"/>
  <c r="O56" i="162"/>
  <c r="P56" i="162"/>
  <c r="Q56" i="162"/>
  <c r="R56" i="162"/>
  <c r="S56" i="162"/>
  <c r="T56" i="162"/>
  <c r="U56" i="162"/>
  <c r="V56" i="162"/>
  <c r="O57" i="162"/>
  <c r="P57" i="162"/>
  <c r="Q57" i="162"/>
  <c r="R57" i="162"/>
  <c r="S57" i="162"/>
  <c r="T57" i="162"/>
  <c r="U57" i="162"/>
  <c r="V57" i="162"/>
  <c r="O58" i="162"/>
  <c r="P58" i="162"/>
  <c r="Q58" i="162"/>
  <c r="R58" i="162"/>
  <c r="S58" i="162"/>
  <c r="T58" i="162"/>
  <c r="U58" i="162"/>
  <c r="V58" i="162"/>
  <c r="F117" i="162"/>
  <c r="H117" i="162"/>
  <c r="I117" i="162"/>
  <c r="F118" i="162"/>
  <c r="H118" i="162"/>
  <c r="I118" i="162"/>
  <c r="F119" i="162"/>
  <c r="H119" i="162"/>
  <c r="I119" i="162"/>
  <c r="F120" i="162"/>
  <c r="H120" i="162"/>
  <c r="I120" i="162"/>
  <c r="F121" i="162"/>
  <c r="H121" i="162"/>
  <c r="I121" i="162"/>
  <c r="F122" i="162"/>
  <c r="H122" i="162"/>
  <c r="I122" i="162"/>
  <c r="F123" i="162"/>
  <c r="H123" i="162"/>
  <c r="I123" i="162"/>
  <c r="G123" i="162" s="1"/>
  <c r="F124" i="162"/>
  <c r="H124" i="162"/>
  <c r="I124" i="162"/>
  <c r="F125" i="162"/>
  <c r="H125" i="162"/>
  <c r="I125" i="162"/>
  <c r="F126" i="162"/>
  <c r="H126" i="162"/>
  <c r="I126" i="162"/>
  <c r="F127" i="162"/>
  <c r="H127" i="162"/>
  <c r="I127" i="162"/>
  <c r="F128" i="162"/>
  <c r="H128" i="162"/>
  <c r="I128" i="162"/>
  <c r="F129" i="162"/>
  <c r="H129" i="162"/>
  <c r="I129" i="162"/>
  <c r="G129" i="162" s="1"/>
  <c r="F130" i="162"/>
  <c r="H130" i="162"/>
  <c r="I130" i="162"/>
  <c r="I94" i="161"/>
  <c r="H94" i="161"/>
  <c r="G94" i="161"/>
  <c r="F94" i="161"/>
  <c r="I93" i="161"/>
  <c r="H93" i="161"/>
  <c r="G93" i="161"/>
  <c r="F93" i="161"/>
  <c r="I92" i="161"/>
  <c r="H92" i="161"/>
  <c r="G92" i="161" s="1"/>
  <c r="F92" i="161"/>
  <c r="I91" i="161"/>
  <c r="H91" i="161"/>
  <c r="F91" i="161"/>
  <c r="I90" i="161"/>
  <c r="H90" i="161"/>
  <c r="F90" i="161"/>
  <c r="I89" i="161"/>
  <c r="H89" i="161"/>
  <c r="G89" i="161"/>
  <c r="F89" i="161"/>
  <c r="I88" i="161"/>
  <c r="H88" i="161"/>
  <c r="F88" i="161"/>
  <c r="I87" i="161"/>
  <c r="H87" i="161"/>
  <c r="G87" i="161"/>
  <c r="F87" i="161"/>
  <c r="I86" i="161"/>
  <c r="H86" i="161"/>
  <c r="G86" i="161"/>
  <c r="F86" i="161"/>
  <c r="I85" i="161"/>
  <c r="H85" i="161"/>
  <c r="F85" i="161"/>
  <c r="I84" i="161"/>
  <c r="H84" i="161"/>
  <c r="G84" i="161"/>
  <c r="F84" i="161"/>
  <c r="I83" i="161"/>
  <c r="H83" i="161"/>
  <c r="G83" i="161"/>
  <c r="F83" i="161"/>
  <c r="I82" i="161"/>
  <c r="H82" i="161"/>
  <c r="G82" i="161" s="1"/>
  <c r="F82" i="161"/>
  <c r="I81" i="161"/>
  <c r="H81" i="161"/>
  <c r="G81" i="161" s="1"/>
  <c r="F81" i="161"/>
  <c r="I80" i="161"/>
  <c r="H80" i="161"/>
  <c r="G80" i="161"/>
  <c r="F80" i="161"/>
  <c r="I79" i="161"/>
  <c r="H79" i="161"/>
  <c r="F79" i="161"/>
  <c r="I78" i="161"/>
  <c r="H78" i="161"/>
  <c r="G78" i="161" s="1"/>
  <c r="F78" i="161"/>
  <c r="I77" i="161"/>
  <c r="H77" i="161"/>
  <c r="G77" i="161"/>
  <c r="F77" i="161"/>
  <c r="I76" i="161"/>
  <c r="H76" i="161"/>
  <c r="G76" i="161"/>
  <c r="F76" i="161"/>
  <c r="I75" i="161"/>
  <c r="H75" i="161"/>
  <c r="G75" i="161" s="1"/>
  <c r="F75" i="161"/>
  <c r="I74" i="161"/>
  <c r="H74" i="161"/>
  <c r="G74" i="161"/>
  <c r="F74" i="161"/>
  <c r="I73" i="161"/>
  <c r="H73" i="161"/>
  <c r="F73" i="161"/>
  <c r="I72" i="161"/>
  <c r="H72" i="161"/>
  <c r="F72" i="161"/>
  <c r="I71" i="161"/>
  <c r="H71" i="161"/>
  <c r="G71" i="161"/>
  <c r="F71" i="161"/>
  <c r="I70" i="161"/>
  <c r="H70" i="161"/>
  <c r="G70" i="161"/>
  <c r="F70" i="161"/>
  <c r="I69" i="161"/>
  <c r="H69" i="161"/>
  <c r="G69" i="161"/>
  <c r="F69" i="161"/>
  <c r="I68" i="161"/>
  <c r="G68" i="161" s="1"/>
  <c r="H68" i="161"/>
  <c r="F68" i="161"/>
  <c r="I67" i="161"/>
  <c r="H67" i="161"/>
  <c r="F67" i="161"/>
  <c r="I66" i="161"/>
  <c r="H66" i="161"/>
  <c r="G66" i="161" s="1"/>
  <c r="F66" i="161"/>
  <c r="I65" i="161"/>
  <c r="H65" i="161"/>
  <c r="G65" i="161" s="1"/>
  <c r="F65" i="161"/>
  <c r="I64" i="161"/>
  <c r="H64" i="161"/>
  <c r="G64" i="161"/>
  <c r="F64" i="161"/>
  <c r="I63" i="161"/>
  <c r="H63" i="161"/>
  <c r="F63" i="161"/>
  <c r="I62" i="161"/>
  <c r="H62" i="161"/>
  <c r="G62" i="161"/>
  <c r="F62" i="161"/>
  <c r="I61" i="161"/>
  <c r="H61" i="161"/>
  <c r="F61" i="161"/>
  <c r="I60" i="161"/>
  <c r="H60" i="161"/>
  <c r="G60" i="161" s="1"/>
  <c r="F60" i="161"/>
  <c r="I59" i="161"/>
  <c r="H59" i="161"/>
  <c r="G59" i="161" s="1"/>
  <c r="F59" i="161"/>
  <c r="I58" i="161"/>
  <c r="H58" i="161"/>
  <c r="F58" i="161"/>
  <c r="I57" i="161"/>
  <c r="H57" i="161"/>
  <c r="G57" i="161" s="1"/>
  <c r="F57" i="161"/>
  <c r="I56" i="161"/>
  <c r="H56" i="161"/>
  <c r="G56" i="161"/>
  <c r="F56" i="161"/>
  <c r="I55" i="161"/>
  <c r="H55" i="161"/>
  <c r="F55" i="161"/>
  <c r="I54" i="161"/>
  <c r="H54" i="161"/>
  <c r="G54" i="161"/>
  <c r="F54" i="161"/>
  <c r="I53" i="161"/>
  <c r="H53" i="161"/>
  <c r="G53" i="161"/>
  <c r="F53" i="161"/>
  <c r="I52" i="161"/>
  <c r="G52" i="161" s="1"/>
  <c r="H52" i="161"/>
  <c r="F52" i="161"/>
  <c r="I51" i="161"/>
  <c r="H51" i="161"/>
  <c r="G51" i="161"/>
  <c r="F51" i="161"/>
  <c r="I106" i="173"/>
  <c r="H106" i="173"/>
  <c r="G106" i="173" s="1"/>
  <c r="F106" i="173"/>
  <c r="I105" i="173"/>
  <c r="H105" i="173"/>
  <c r="G105" i="173"/>
  <c r="F105" i="173"/>
  <c r="I104" i="173"/>
  <c r="H104" i="173"/>
  <c r="G104" i="173" s="1"/>
  <c r="F104" i="173"/>
  <c r="I103" i="173"/>
  <c r="H103" i="173"/>
  <c r="F103" i="173"/>
  <c r="I102" i="173"/>
  <c r="H102" i="173"/>
  <c r="G102" i="173" s="1"/>
  <c r="F102" i="173"/>
  <c r="I101" i="173"/>
  <c r="H101" i="173"/>
  <c r="F101" i="173"/>
  <c r="I100" i="173"/>
  <c r="H100" i="173"/>
  <c r="G100" i="173" s="1"/>
  <c r="F100" i="173"/>
  <c r="I99" i="173"/>
  <c r="H99" i="173"/>
  <c r="F99" i="173"/>
  <c r="I98" i="173"/>
  <c r="H98" i="173"/>
  <c r="F98" i="173"/>
  <c r="I97" i="173"/>
  <c r="H97" i="173"/>
  <c r="G97" i="173" s="1"/>
  <c r="F97" i="173"/>
  <c r="I96" i="173"/>
  <c r="H96" i="173"/>
  <c r="G96" i="173" s="1"/>
  <c r="F96" i="173"/>
  <c r="I95" i="173"/>
  <c r="H95" i="173"/>
  <c r="F95" i="173"/>
  <c r="I94" i="173"/>
  <c r="H94" i="173"/>
  <c r="G94" i="173" s="1"/>
  <c r="F94" i="173"/>
  <c r="I93" i="173"/>
  <c r="H93" i="173"/>
  <c r="G93" i="173"/>
  <c r="F93" i="173"/>
  <c r="I92" i="173"/>
  <c r="H92" i="173"/>
  <c r="G92" i="173"/>
  <c r="F92" i="173"/>
  <c r="I91" i="173"/>
  <c r="H91" i="173"/>
  <c r="G91" i="173" s="1"/>
  <c r="F91" i="173"/>
  <c r="I90" i="173"/>
  <c r="H90" i="173"/>
  <c r="F90" i="173"/>
  <c r="I89" i="173"/>
  <c r="H89" i="173"/>
  <c r="F89" i="173"/>
  <c r="I88" i="173"/>
  <c r="H88" i="173"/>
  <c r="F88" i="173"/>
  <c r="I87" i="173"/>
  <c r="H87" i="173"/>
  <c r="G87" i="173" s="1"/>
  <c r="F87" i="173"/>
  <c r="I86" i="173"/>
  <c r="H86" i="173"/>
  <c r="G86" i="173"/>
  <c r="F86" i="173"/>
  <c r="I85" i="173"/>
  <c r="H85" i="173"/>
  <c r="F85" i="173"/>
  <c r="I84" i="173"/>
  <c r="H84" i="173"/>
  <c r="F84" i="173"/>
  <c r="I83" i="173"/>
  <c r="H83" i="173"/>
  <c r="F83" i="173"/>
  <c r="I82" i="173"/>
  <c r="H82" i="173"/>
  <c r="F82" i="173"/>
  <c r="I81" i="173"/>
  <c r="H81" i="173"/>
  <c r="F81" i="173"/>
  <c r="I80" i="173"/>
  <c r="H80" i="173"/>
  <c r="G80" i="173" s="1"/>
  <c r="F80" i="173"/>
  <c r="I79" i="173"/>
  <c r="H79" i="173"/>
  <c r="G79" i="173"/>
  <c r="F79" i="173"/>
  <c r="I78" i="173"/>
  <c r="H78" i="173"/>
  <c r="G78" i="173" s="1"/>
  <c r="F78" i="173"/>
  <c r="I77" i="173"/>
  <c r="H77" i="173"/>
  <c r="F77" i="173"/>
  <c r="I76" i="173"/>
  <c r="H76" i="173"/>
  <c r="G76" i="173" s="1"/>
  <c r="F76" i="173"/>
  <c r="I75" i="173"/>
  <c r="H75" i="173"/>
  <c r="F75" i="173"/>
  <c r="I74" i="173"/>
  <c r="H74" i="173"/>
  <c r="G74" i="173" s="1"/>
  <c r="F74" i="173"/>
  <c r="I73" i="173"/>
  <c r="H73" i="173"/>
  <c r="F73" i="173"/>
  <c r="I72" i="173"/>
  <c r="H72" i="173"/>
  <c r="F72" i="173"/>
  <c r="I71" i="173"/>
  <c r="H71" i="173"/>
  <c r="F71" i="173"/>
  <c r="I70" i="173"/>
  <c r="H70" i="173"/>
  <c r="G70" i="173" s="1"/>
  <c r="F70" i="173"/>
  <c r="I69" i="173"/>
  <c r="H69" i="173"/>
  <c r="G69" i="173" s="1"/>
  <c r="F69" i="173"/>
  <c r="I68" i="173"/>
  <c r="H68" i="173"/>
  <c r="F68" i="173"/>
  <c r="I67" i="173"/>
  <c r="H67" i="173"/>
  <c r="G67" i="173"/>
  <c r="F67" i="173"/>
  <c r="I66" i="173"/>
  <c r="H66" i="173"/>
  <c r="F66" i="173"/>
  <c r="I65" i="173"/>
  <c r="H65" i="173"/>
  <c r="F65" i="173"/>
  <c r="I64" i="173"/>
  <c r="H64" i="173"/>
  <c r="G64" i="173" s="1"/>
  <c r="F64" i="173"/>
  <c r="I63" i="173"/>
  <c r="H63" i="173"/>
  <c r="G63" i="173" s="1"/>
  <c r="F63" i="173"/>
  <c r="I62" i="173"/>
  <c r="H62" i="173"/>
  <c r="G62" i="173"/>
  <c r="F62" i="173"/>
  <c r="O46" i="173"/>
  <c r="O45" i="173"/>
  <c r="O44" i="173"/>
  <c r="O43" i="173"/>
  <c r="O42" i="173"/>
  <c r="O41" i="173"/>
  <c r="O40" i="173"/>
  <c r="O39" i="173"/>
  <c r="O38" i="173"/>
  <c r="O37" i="173"/>
  <c r="O36" i="173"/>
  <c r="O35" i="173"/>
  <c r="O34" i="173"/>
  <c r="O33" i="173"/>
  <c r="O32" i="173"/>
  <c r="O31" i="173"/>
  <c r="O30" i="173"/>
  <c r="O29" i="173"/>
  <c r="O28" i="173"/>
  <c r="O27" i="173"/>
  <c r="O26" i="173"/>
  <c r="O25" i="173"/>
  <c r="O24" i="173"/>
  <c r="O23" i="173"/>
  <c r="O22" i="173"/>
  <c r="O21" i="173"/>
  <c r="O20" i="173"/>
  <c r="O19" i="173"/>
  <c r="O18" i="173"/>
  <c r="O17" i="173"/>
  <c r="O16" i="173"/>
  <c r="O15" i="173"/>
  <c r="AB14" i="173"/>
  <c r="O14" i="173"/>
  <c r="AB13" i="173"/>
  <c r="O13" i="173"/>
  <c r="AB12" i="173"/>
  <c r="O12" i="173"/>
  <c r="O11" i="173"/>
  <c r="O10" i="173"/>
  <c r="O9" i="173"/>
  <c r="AC8" i="173"/>
  <c r="AB8" i="173"/>
  <c r="AB15" i="173" s="1"/>
  <c r="AA8" i="173"/>
  <c r="Z8" i="173"/>
  <c r="Y8" i="173"/>
  <c r="O8" i="173"/>
  <c r="O7" i="173"/>
  <c r="O6" i="173"/>
  <c r="O5" i="173"/>
  <c r="O4" i="173"/>
  <c r="O3" i="173"/>
  <c r="O2" i="173"/>
  <c r="A1" i="173"/>
  <c r="O45" i="172"/>
  <c r="O46" i="172"/>
  <c r="O47" i="172"/>
  <c r="U47" i="172"/>
  <c r="V47" i="172"/>
  <c r="O48" i="172"/>
  <c r="R48" i="172"/>
  <c r="S48" i="172"/>
  <c r="O49" i="172"/>
  <c r="O50" i="172"/>
  <c r="O51" i="172"/>
  <c r="T51" i="172"/>
  <c r="U51" i="172"/>
  <c r="V51" i="172"/>
  <c r="O52" i="172"/>
  <c r="R52" i="172"/>
  <c r="O53" i="172"/>
  <c r="O54" i="172"/>
  <c r="O55" i="172"/>
  <c r="R55" i="172"/>
  <c r="U55" i="172"/>
  <c r="V55" i="172"/>
  <c r="O56" i="172"/>
  <c r="O57" i="172"/>
  <c r="F106" i="172"/>
  <c r="H106" i="172"/>
  <c r="I106" i="172"/>
  <c r="F107" i="172"/>
  <c r="H107" i="172"/>
  <c r="I107" i="172"/>
  <c r="F108" i="172"/>
  <c r="H108" i="172"/>
  <c r="I108" i="172"/>
  <c r="F109" i="172"/>
  <c r="H109" i="172"/>
  <c r="I109" i="172"/>
  <c r="G109" i="172" s="1"/>
  <c r="F110" i="172"/>
  <c r="H110" i="172"/>
  <c r="I110" i="172"/>
  <c r="F111" i="172"/>
  <c r="H111" i="172"/>
  <c r="I111" i="172"/>
  <c r="F112" i="172"/>
  <c r="H112" i="172"/>
  <c r="I112" i="172"/>
  <c r="F113" i="172"/>
  <c r="H113" i="172"/>
  <c r="G113" i="172" s="1"/>
  <c r="I113" i="172"/>
  <c r="F114" i="172"/>
  <c r="H114" i="172"/>
  <c r="I114" i="172"/>
  <c r="F115" i="172"/>
  <c r="H115" i="172"/>
  <c r="I115" i="172"/>
  <c r="G115" i="172" s="1"/>
  <c r="F116" i="172"/>
  <c r="H116" i="172"/>
  <c r="I116" i="172"/>
  <c r="F117" i="172"/>
  <c r="H117" i="172"/>
  <c r="I117" i="172"/>
  <c r="F118" i="172"/>
  <c r="H118" i="172"/>
  <c r="I118" i="172"/>
  <c r="I105" i="172"/>
  <c r="H105" i="172"/>
  <c r="G105" i="172" s="1"/>
  <c r="F105" i="172"/>
  <c r="I104" i="172"/>
  <c r="H104" i="172"/>
  <c r="G104" i="172"/>
  <c r="F104" i="172"/>
  <c r="I103" i="172"/>
  <c r="H103" i="172"/>
  <c r="F103" i="172"/>
  <c r="I102" i="172"/>
  <c r="H102" i="172"/>
  <c r="G102" i="172" s="1"/>
  <c r="F102" i="172"/>
  <c r="I101" i="172"/>
  <c r="H101" i="172"/>
  <c r="G101" i="172" s="1"/>
  <c r="F101" i="172"/>
  <c r="I100" i="172"/>
  <c r="H100" i="172"/>
  <c r="F100" i="172"/>
  <c r="I99" i="172"/>
  <c r="H99" i="172"/>
  <c r="G99" i="172" s="1"/>
  <c r="F99" i="172"/>
  <c r="I98" i="172"/>
  <c r="H98" i="172"/>
  <c r="G98" i="172"/>
  <c r="F98" i="172"/>
  <c r="I97" i="172"/>
  <c r="H97" i="172"/>
  <c r="G97" i="172" s="1"/>
  <c r="F97" i="172"/>
  <c r="I96" i="172"/>
  <c r="H96" i="172"/>
  <c r="F96" i="172"/>
  <c r="I95" i="172"/>
  <c r="H95" i="172"/>
  <c r="G95" i="172" s="1"/>
  <c r="F95" i="172"/>
  <c r="I94" i="172"/>
  <c r="H94" i="172"/>
  <c r="G94" i="172"/>
  <c r="F94" i="172"/>
  <c r="I93" i="172"/>
  <c r="H93" i="172"/>
  <c r="G93" i="172"/>
  <c r="F93" i="172"/>
  <c r="I92" i="172"/>
  <c r="H92" i="172"/>
  <c r="F92" i="172"/>
  <c r="I91" i="172"/>
  <c r="H91" i="172"/>
  <c r="F91" i="172"/>
  <c r="I90" i="172"/>
  <c r="H90" i="172"/>
  <c r="G90" i="172"/>
  <c r="F90" i="172"/>
  <c r="I89" i="172"/>
  <c r="H89" i="172"/>
  <c r="G89" i="172" s="1"/>
  <c r="F89" i="172"/>
  <c r="I88" i="172"/>
  <c r="H88" i="172"/>
  <c r="G88" i="172"/>
  <c r="F88" i="172"/>
  <c r="I87" i="172"/>
  <c r="H87" i="172"/>
  <c r="F87" i="172"/>
  <c r="I86" i="172"/>
  <c r="H86" i="172"/>
  <c r="F86" i="172"/>
  <c r="I85" i="172"/>
  <c r="H85" i="172"/>
  <c r="F85" i="172"/>
  <c r="I84" i="172"/>
  <c r="H84" i="172"/>
  <c r="G84" i="172" s="1"/>
  <c r="F84" i="172"/>
  <c r="I83" i="172"/>
  <c r="H83" i="172"/>
  <c r="G83" i="172" s="1"/>
  <c r="F83" i="172"/>
  <c r="I82" i="172"/>
  <c r="H82" i="172"/>
  <c r="G82" i="172" s="1"/>
  <c r="F82" i="172"/>
  <c r="I81" i="172"/>
  <c r="H81" i="172"/>
  <c r="F81" i="172"/>
  <c r="I80" i="172"/>
  <c r="H80" i="172"/>
  <c r="G80" i="172"/>
  <c r="F80" i="172"/>
  <c r="I79" i="172"/>
  <c r="H79" i="172"/>
  <c r="G79" i="172" s="1"/>
  <c r="F79" i="172"/>
  <c r="I78" i="172"/>
  <c r="H78" i="172"/>
  <c r="G78" i="172" s="1"/>
  <c r="F78" i="172"/>
  <c r="I77" i="172"/>
  <c r="H77" i="172"/>
  <c r="G77" i="172" s="1"/>
  <c r="F77" i="172"/>
  <c r="I76" i="172"/>
  <c r="H76" i="172"/>
  <c r="G76" i="172"/>
  <c r="F76" i="172"/>
  <c r="I75" i="172"/>
  <c r="H75" i="172"/>
  <c r="F75" i="172"/>
  <c r="I74" i="172"/>
  <c r="H74" i="172"/>
  <c r="G74" i="172"/>
  <c r="F74" i="172"/>
  <c r="I73" i="172"/>
  <c r="H73" i="172"/>
  <c r="F73" i="172"/>
  <c r="I72" i="172"/>
  <c r="H72" i="172"/>
  <c r="G72" i="172"/>
  <c r="F72" i="172"/>
  <c r="I71" i="172"/>
  <c r="H71" i="172"/>
  <c r="G71" i="172" s="1"/>
  <c r="F71" i="172"/>
  <c r="I70" i="172"/>
  <c r="H70" i="172"/>
  <c r="F70" i="172"/>
  <c r="I69" i="172"/>
  <c r="H69" i="172"/>
  <c r="F69" i="172"/>
  <c r="I68" i="172"/>
  <c r="H68" i="172"/>
  <c r="G68" i="172" s="1"/>
  <c r="F68" i="172"/>
  <c r="I67" i="172"/>
  <c r="H67" i="172"/>
  <c r="G67" i="172" s="1"/>
  <c r="F67" i="172"/>
  <c r="I66" i="172"/>
  <c r="H66" i="172"/>
  <c r="G66" i="172" s="1"/>
  <c r="F66" i="172"/>
  <c r="I65" i="172"/>
  <c r="H65" i="172"/>
  <c r="G65" i="172"/>
  <c r="F65" i="172"/>
  <c r="I64" i="172"/>
  <c r="H64" i="172"/>
  <c r="F64" i="172"/>
  <c r="I63" i="172"/>
  <c r="H63" i="172"/>
  <c r="F63" i="172"/>
  <c r="I62" i="172"/>
  <c r="H62" i="172"/>
  <c r="G62" i="172"/>
  <c r="F62" i="172"/>
  <c r="O44" i="172"/>
  <c r="O43" i="172"/>
  <c r="O42" i="172"/>
  <c r="O41" i="172"/>
  <c r="O40" i="172"/>
  <c r="O39" i="172"/>
  <c r="O38" i="172"/>
  <c r="O37" i="172"/>
  <c r="O36" i="172"/>
  <c r="O35" i="172"/>
  <c r="O34" i="172"/>
  <c r="O33" i="172"/>
  <c r="O32" i="172"/>
  <c r="T31" i="172"/>
  <c r="O31" i="172"/>
  <c r="O30" i="172"/>
  <c r="O29" i="172"/>
  <c r="O28" i="172"/>
  <c r="O27" i="172"/>
  <c r="O26" i="172"/>
  <c r="O25" i="172"/>
  <c r="O24" i="172"/>
  <c r="O23" i="172"/>
  <c r="O22" i="172"/>
  <c r="O21" i="172"/>
  <c r="O20" i="172"/>
  <c r="O19" i="172"/>
  <c r="O18" i="172"/>
  <c r="O17" i="172"/>
  <c r="O16" i="172"/>
  <c r="AB15" i="172"/>
  <c r="O15" i="172"/>
  <c r="AB14" i="172"/>
  <c r="O14" i="172"/>
  <c r="AB13" i="172"/>
  <c r="O13" i="172"/>
  <c r="AB12" i="172"/>
  <c r="Q12" i="172"/>
  <c r="O12" i="172"/>
  <c r="P11" i="172"/>
  <c r="O11" i="172"/>
  <c r="O10" i="172"/>
  <c r="O9" i="172"/>
  <c r="AC8" i="172"/>
  <c r="AB8" i="172"/>
  <c r="AA8" i="172"/>
  <c r="Z8" i="172"/>
  <c r="Y8" i="172"/>
  <c r="O8" i="172"/>
  <c r="O7" i="172"/>
  <c r="O6" i="172"/>
  <c r="O5" i="172"/>
  <c r="O4" i="172"/>
  <c r="O3" i="172"/>
  <c r="O2" i="172"/>
  <c r="A1" i="172"/>
  <c r="V42" i="172" s="1"/>
  <c r="O45" i="171"/>
  <c r="O43" i="171"/>
  <c r="O42" i="171"/>
  <c r="O41" i="171"/>
  <c r="O40" i="171"/>
  <c r="O39" i="171"/>
  <c r="O37" i="171"/>
  <c r="O36" i="171"/>
  <c r="O35" i="171"/>
  <c r="O29" i="171"/>
  <c r="O27" i="171"/>
  <c r="O26" i="171"/>
  <c r="O25" i="171"/>
  <c r="O24" i="171"/>
  <c r="O23" i="171"/>
  <c r="O21" i="171"/>
  <c r="O18" i="171"/>
  <c r="O17" i="171"/>
  <c r="O16" i="171"/>
  <c r="O15" i="171"/>
  <c r="O11" i="171"/>
  <c r="O6" i="171"/>
  <c r="O5" i="171"/>
  <c r="O4" i="171"/>
  <c r="O3" i="171"/>
  <c r="A1" i="171"/>
  <c r="F64" i="171"/>
  <c r="F65" i="171"/>
  <c r="F66" i="171"/>
  <c r="F67" i="171"/>
  <c r="F68" i="171"/>
  <c r="F69" i="171"/>
  <c r="F70" i="171"/>
  <c r="F71" i="171"/>
  <c r="F72" i="171"/>
  <c r="F73" i="171"/>
  <c r="F74" i="171"/>
  <c r="F75" i="171"/>
  <c r="F76" i="171"/>
  <c r="F77" i="171"/>
  <c r="F78" i="171"/>
  <c r="F79" i="171"/>
  <c r="F80" i="171"/>
  <c r="F81" i="171"/>
  <c r="F82" i="171"/>
  <c r="F83" i="171"/>
  <c r="F84" i="171"/>
  <c r="F85" i="171"/>
  <c r="F86" i="171"/>
  <c r="F87" i="171"/>
  <c r="F88" i="171"/>
  <c r="F89" i="171"/>
  <c r="F90" i="171"/>
  <c r="F91" i="171"/>
  <c r="F92" i="171"/>
  <c r="F93" i="171"/>
  <c r="F94" i="171"/>
  <c r="F95" i="171"/>
  <c r="F96" i="171"/>
  <c r="F97" i="171"/>
  <c r="F98" i="171"/>
  <c r="F99" i="171"/>
  <c r="F100" i="171"/>
  <c r="F101" i="171"/>
  <c r="F102" i="171"/>
  <c r="F103" i="171"/>
  <c r="F104" i="171"/>
  <c r="F105" i="171"/>
  <c r="F106" i="171"/>
  <c r="F107" i="171"/>
  <c r="F108" i="171"/>
  <c r="F109" i="171"/>
  <c r="F110" i="171"/>
  <c r="F111" i="171"/>
  <c r="F112" i="171"/>
  <c r="F113" i="171"/>
  <c r="F114" i="171"/>
  <c r="F115" i="171"/>
  <c r="F116" i="171"/>
  <c r="F117" i="171"/>
  <c r="F118" i="171"/>
  <c r="F119" i="171"/>
  <c r="F120" i="171"/>
  <c r="F121" i="171"/>
  <c r="H109" i="171"/>
  <c r="I109" i="171"/>
  <c r="H110" i="171"/>
  <c r="I110" i="171"/>
  <c r="H111" i="171"/>
  <c r="I111" i="171"/>
  <c r="H112" i="171"/>
  <c r="I112" i="171"/>
  <c r="H113" i="171"/>
  <c r="I113" i="171"/>
  <c r="H114" i="171"/>
  <c r="I114" i="171"/>
  <c r="H115" i="171"/>
  <c r="I115" i="171"/>
  <c r="H116" i="171"/>
  <c r="I116" i="171"/>
  <c r="H117" i="171"/>
  <c r="I117" i="171"/>
  <c r="H118" i="171"/>
  <c r="I118" i="171"/>
  <c r="H119" i="171"/>
  <c r="I119" i="171"/>
  <c r="H120" i="171"/>
  <c r="I120" i="171"/>
  <c r="H121" i="171"/>
  <c r="I121" i="171"/>
  <c r="I108" i="171"/>
  <c r="H108" i="171"/>
  <c r="I107" i="171"/>
  <c r="H107" i="171"/>
  <c r="G107" i="171" s="1"/>
  <c r="I106" i="171"/>
  <c r="H106" i="171"/>
  <c r="I105" i="171"/>
  <c r="H105" i="171"/>
  <c r="I104" i="171"/>
  <c r="H104" i="171"/>
  <c r="G104" i="171" s="1"/>
  <c r="I103" i="171"/>
  <c r="H103" i="171"/>
  <c r="I102" i="171"/>
  <c r="H102" i="171"/>
  <c r="I101" i="171"/>
  <c r="H101" i="171"/>
  <c r="I100" i="171"/>
  <c r="H100" i="171"/>
  <c r="I99" i="171"/>
  <c r="H99" i="171"/>
  <c r="I98" i="171"/>
  <c r="H98" i="171"/>
  <c r="I97" i="171"/>
  <c r="H97" i="171"/>
  <c r="I96" i="171"/>
  <c r="H96" i="171"/>
  <c r="G96" i="171"/>
  <c r="I95" i="171"/>
  <c r="H95" i="171"/>
  <c r="I94" i="171"/>
  <c r="H94" i="171"/>
  <c r="I93" i="171"/>
  <c r="H93" i="171"/>
  <c r="I92" i="171"/>
  <c r="H92" i="171"/>
  <c r="I91" i="171"/>
  <c r="H91" i="171"/>
  <c r="I90" i="171"/>
  <c r="H90" i="171"/>
  <c r="G90" i="171"/>
  <c r="I89" i="171"/>
  <c r="H89" i="171"/>
  <c r="I88" i="171"/>
  <c r="H88" i="171"/>
  <c r="I87" i="171"/>
  <c r="H87" i="171"/>
  <c r="G87" i="171" s="1"/>
  <c r="I86" i="171"/>
  <c r="H86" i="171"/>
  <c r="I85" i="171"/>
  <c r="H85" i="171"/>
  <c r="G85" i="171" s="1"/>
  <c r="I84" i="171"/>
  <c r="H84" i="171"/>
  <c r="G84" i="171" s="1"/>
  <c r="I83" i="171"/>
  <c r="H83" i="171"/>
  <c r="G83" i="171"/>
  <c r="I82" i="171"/>
  <c r="H82" i="171"/>
  <c r="I81" i="171"/>
  <c r="H81" i="171"/>
  <c r="I80" i="171"/>
  <c r="H80" i="171"/>
  <c r="I79" i="171"/>
  <c r="H79" i="171"/>
  <c r="G79" i="171" s="1"/>
  <c r="I78" i="171"/>
  <c r="H78" i="171"/>
  <c r="G78" i="171" s="1"/>
  <c r="I77" i="171"/>
  <c r="H77" i="171"/>
  <c r="I76" i="171"/>
  <c r="H76" i="171"/>
  <c r="I75" i="171"/>
  <c r="H75" i="171"/>
  <c r="I74" i="171"/>
  <c r="H74" i="171"/>
  <c r="G74" i="171" s="1"/>
  <c r="I73" i="171"/>
  <c r="H73" i="171"/>
  <c r="G73" i="171" s="1"/>
  <c r="I72" i="171"/>
  <c r="H72" i="171"/>
  <c r="G72" i="171"/>
  <c r="I71" i="171"/>
  <c r="H71" i="171"/>
  <c r="I70" i="171"/>
  <c r="H70" i="171"/>
  <c r="I69" i="171"/>
  <c r="H69" i="171"/>
  <c r="I68" i="171"/>
  <c r="H68" i="171"/>
  <c r="G68" i="171"/>
  <c r="I67" i="171"/>
  <c r="H67" i="171"/>
  <c r="I66" i="171"/>
  <c r="H66" i="171"/>
  <c r="G66" i="171" s="1"/>
  <c r="I65" i="171"/>
  <c r="H65" i="171"/>
  <c r="I64" i="171"/>
  <c r="H64" i="171"/>
  <c r="G64" i="171"/>
  <c r="O44" i="171"/>
  <c r="O38" i="171"/>
  <c r="O34" i="171"/>
  <c r="O33" i="171"/>
  <c r="O32" i="171"/>
  <c r="O31" i="171"/>
  <c r="O30" i="171"/>
  <c r="O28" i="171"/>
  <c r="O22" i="171"/>
  <c r="O20" i="171"/>
  <c r="O19" i="171"/>
  <c r="AB15" i="171"/>
  <c r="AB14" i="171"/>
  <c r="O14" i="171"/>
  <c r="AB13" i="171"/>
  <c r="O13" i="171"/>
  <c r="AB12" i="171"/>
  <c r="O12" i="171"/>
  <c r="O10" i="171"/>
  <c r="O9" i="171"/>
  <c r="AC8" i="171"/>
  <c r="AB8" i="171"/>
  <c r="AA8" i="171"/>
  <c r="Z8" i="171"/>
  <c r="Y8" i="171"/>
  <c r="O8" i="171"/>
  <c r="O7" i="171"/>
  <c r="O2" i="171"/>
  <c r="I94" i="170"/>
  <c r="H94" i="170"/>
  <c r="G94" i="170"/>
  <c r="F94" i="170"/>
  <c r="I93" i="170"/>
  <c r="H93" i="170"/>
  <c r="G93" i="170"/>
  <c r="F93" i="170"/>
  <c r="I92" i="170"/>
  <c r="H92" i="170"/>
  <c r="G92" i="170" s="1"/>
  <c r="F92" i="170"/>
  <c r="I91" i="170"/>
  <c r="H91" i="170"/>
  <c r="G91" i="170" s="1"/>
  <c r="F91" i="170"/>
  <c r="I90" i="170"/>
  <c r="H90" i="170"/>
  <c r="G90" i="170"/>
  <c r="F90" i="170"/>
  <c r="I89" i="170"/>
  <c r="H89" i="170"/>
  <c r="G89" i="170"/>
  <c r="F89" i="170"/>
  <c r="I88" i="170"/>
  <c r="H88" i="170"/>
  <c r="G88" i="170" s="1"/>
  <c r="F88" i="170"/>
  <c r="I87" i="170"/>
  <c r="H87" i="170"/>
  <c r="G87" i="170"/>
  <c r="F87" i="170"/>
  <c r="I86" i="170"/>
  <c r="H86" i="170"/>
  <c r="G86" i="170" s="1"/>
  <c r="F86" i="170"/>
  <c r="I85" i="170"/>
  <c r="H85" i="170"/>
  <c r="F85" i="170"/>
  <c r="I84" i="170"/>
  <c r="H84" i="170"/>
  <c r="G84" i="170"/>
  <c r="F84" i="170"/>
  <c r="I83" i="170"/>
  <c r="H83" i="170"/>
  <c r="G83" i="170"/>
  <c r="F83" i="170"/>
  <c r="I82" i="170"/>
  <c r="H82" i="170"/>
  <c r="G82" i="170" s="1"/>
  <c r="F82" i="170"/>
  <c r="I81" i="170"/>
  <c r="H81" i="170"/>
  <c r="G81" i="170" s="1"/>
  <c r="F81" i="170"/>
  <c r="I80" i="170"/>
  <c r="H80" i="170"/>
  <c r="G80" i="170" s="1"/>
  <c r="F80" i="170"/>
  <c r="I79" i="170"/>
  <c r="H79" i="170"/>
  <c r="G79" i="170" s="1"/>
  <c r="F79" i="170"/>
  <c r="I78" i="170"/>
  <c r="H78" i="170"/>
  <c r="G78" i="170" s="1"/>
  <c r="F78" i="170"/>
  <c r="I77" i="170"/>
  <c r="H77" i="170"/>
  <c r="G77" i="170"/>
  <c r="F77" i="170"/>
  <c r="I76" i="170"/>
  <c r="H76" i="170"/>
  <c r="G76" i="170" s="1"/>
  <c r="F76" i="170"/>
  <c r="I75" i="170"/>
  <c r="H75" i="170"/>
  <c r="G75" i="170" s="1"/>
  <c r="F75" i="170"/>
  <c r="I74" i="170"/>
  <c r="H74" i="170"/>
  <c r="F74" i="170"/>
  <c r="I73" i="170"/>
  <c r="H73" i="170"/>
  <c r="G73" i="170"/>
  <c r="F73" i="170"/>
  <c r="I72" i="170"/>
  <c r="H72" i="170"/>
  <c r="F72" i="170"/>
  <c r="I71" i="170"/>
  <c r="H71" i="170"/>
  <c r="G71" i="170"/>
  <c r="F71" i="170"/>
  <c r="I70" i="170"/>
  <c r="H70" i="170"/>
  <c r="G70" i="170"/>
  <c r="F70" i="170"/>
  <c r="I69" i="170"/>
  <c r="H69" i="170"/>
  <c r="G69" i="170"/>
  <c r="F69" i="170"/>
  <c r="I68" i="170"/>
  <c r="H68" i="170"/>
  <c r="G68" i="170" s="1"/>
  <c r="F68" i="170"/>
  <c r="I67" i="170"/>
  <c r="H67" i="170"/>
  <c r="G67" i="170"/>
  <c r="F67" i="170"/>
  <c r="I66" i="170"/>
  <c r="H66" i="170"/>
  <c r="G66" i="170" s="1"/>
  <c r="F66" i="170"/>
  <c r="I65" i="170"/>
  <c r="H65" i="170"/>
  <c r="G65" i="170"/>
  <c r="F65" i="170"/>
  <c r="I64" i="170"/>
  <c r="H64" i="170"/>
  <c r="G64" i="170"/>
  <c r="F64" i="170"/>
  <c r="I63" i="170"/>
  <c r="H63" i="170"/>
  <c r="F63" i="170"/>
  <c r="I62" i="170"/>
  <c r="H62" i="170"/>
  <c r="G62" i="170" s="1"/>
  <c r="F62" i="170"/>
  <c r="I61" i="170"/>
  <c r="H61" i="170"/>
  <c r="G61" i="170"/>
  <c r="F61" i="170"/>
  <c r="I60" i="170"/>
  <c r="H60" i="170"/>
  <c r="F60" i="170"/>
  <c r="I59" i="170"/>
  <c r="H59" i="170"/>
  <c r="G59" i="170"/>
  <c r="F59" i="170"/>
  <c r="I58" i="170"/>
  <c r="H58" i="170"/>
  <c r="G58" i="170" s="1"/>
  <c r="F58" i="170"/>
  <c r="I57" i="170"/>
  <c r="H57" i="170"/>
  <c r="G57" i="170" s="1"/>
  <c r="F57" i="170"/>
  <c r="I56" i="170"/>
  <c r="H56" i="170"/>
  <c r="G56" i="170" s="1"/>
  <c r="F56" i="170"/>
  <c r="I55" i="170"/>
  <c r="H55" i="170"/>
  <c r="G55" i="170"/>
  <c r="F55" i="170"/>
  <c r="I54" i="170"/>
  <c r="H54" i="170"/>
  <c r="G54" i="170" s="1"/>
  <c r="F54" i="170"/>
  <c r="I53" i="170"/>
  <c r="H53" i="170"/>
  <c r="G53" i="170"/>
  <c r="F53" i="170"/>
  <c r="I52" i="170"/>
  <c r="H52" i="170"/>
  <c r="G52" i="170"/>
  <c r="F52" i="170"/>
  <c r="I51" i="170"/>
  <c r="H51" i="170"/>
  <c r="G51" i="170"/>
  <c r="F51" i="170"/>
  <c r="O41" i="170"/>
  <c r="O40" i="170"/>
  <c r="O39" i="170"/>
  <c r="O38" i="170"/>
  <c r="O37" i="170"/>
  <c r="O36" i="170"/>
  <c r="O35" i="170"/>
  <c r="O34" i="170"/>
  <c r="O33" i="170"/>
  <c r="O32" i="170"/>
  <c r="O31" i="170"/>
  <c r="O30" i="170"/>
  <c r="O29" i="170"/>
  <c r="O28" i="170"/>
  <c r="O27" i="170"/>
  <c r="O26" i="170"/>
  <c r="O25" i="170"/>
  <c r="O24" i="170"/>
  <c r="O23" i="170"/>
  <c r="O22" i="170"/>
  <c r="O21" i="170"/>
  <c r="O20" i="170"/>
  <c r="O19" i="170"/>
  <c r="O18" i="170"/>
  <c r="O17" i="170"/>
  <c r="O16" i="170"/>
  <c r="U15" i="170"/>
  <c r="O15" i="170"/>
  <c r="AB14" i="170"/>
  <c r="O14" i="170"/>
  <c r="AB13" i="170"/>
  <c r="O13" i="170"/>
  <c r="AB12" i="170"/>
  <c r="O12" i="170"/>
  <c r="O11" i="170"/>
  <c r="O10" i="170"/>
  <c r="O9" i="170"/>
  <c r="AC8" i="170"/>
  <c r="AB8" i="170"/>
  <c r="AB15" i="170" s="1"/>
  <c r="AA8" i="170"/>
  <c r="Z8" i="170"/>
  <c r="Y8" i="170"/>
  <c r="O8" i="170"/>
  <c r="O7" i="170"/>
  <c r="O6" i="170"/>
  <c r="O5" i="170"/>
  <c r="O4" i="170"/>
  <c r="O3" i="170"/>
  <c r="O2" i="170"/>
  <c r="A1" i="170"/>
  <c r="V42" i="170" s="1"/>
  <c r="A1" i="169"/>
  <c r="O3" i="169"/>
  <c r="O5" i="169"/>
  <c r="O6" i="169"/>
  <c r="O9" i="169"/>
  <c r="O10" i="169"/>
  <c r="O11" i="169"/>
  <c r="O12" i="169"/>
  <c r="O14" i="169"/>
  <c r="O15" i="169"/>
  <c r="O16" i="169"/>
  <c r="O17" i="169"/>
  <c r="O21" i="169"/>
  <c r="O24" i="169"/>
  <c r="O27" i="169"/>
  <c r="O30" i="169"/>
  <c r="O33" i="169"/>
  <c r="O35" i="169"/>
  <c r="O36" i="169"/>
  <c r="O39" i="169"/>
  <c r="O34" i="169"/>
  <c r="O32" i="169"/>
  <c r="O29" i="169"/>
  <c r="O28" i="169"/>
  <c r="O23" i="169"/>
  <c r="O22" i="169"/>
  <c r="O20" i="169"/>
  <c r="O18" i="169"/>
  <c r="O13" i="169"/>
  <c r="O8" i="169"/>
  <c r="O4" i="169"/>
  <c r="I117" i="169"/>
  <c r="H117" i="169"/>
  <c r="G117" i="169" s="1"/>
  <c r="F117" i="169"/>
  <c r="I116" i="169"/>
  <c r="H116" i="169"/>
  <c r="G116" i="169"/>
  <c r="F116" i="169"/>
  <c r="I115" i="169"/>
  <c r="H115" i="169"/>
  <c r="G115" i="169"/>
  <c r="F115" i="169"/>
  <c r="I114" i="169"/>
  <c r="G114" i="169" s="1"/>
  <c r="H114" i="169"/>
  <c r="F114" i="169"/>
  <c r="I113" i="169"/>
  <c r="H113" i="169"/>
  <c r="G113" i="169"/>
  <c r="F113" i="169"/>
  <c r="I112" i="169"/>
  <c r="H112" i="169"/>
  <c r="G112" i="169" s="1"/>
  <c r="F112" i="169"/>
  <c r="I111" i="169"/>
  <c r="H111" i="169"/>
  <c r="F111" i="169"/>
  <c r="I110" i="169"/>
  <c r="H110" i="169"/>
  <c r="G110" i="169"/>
  <c r="F110" i="169"/>
  <c r="I109" i="169"/>
  <c r="H109" i="169"/>
  <c r="G109" i="169" s="1"/>
  <c r="F109" i="169"/>
  <c r="I108" i="169"/>
  <c r="H108" i="169"/>
  <c r="F108" i="169"/>
  <c r="I107" i="169"/>
  <c r="G107" i="169" s="1"/>
  <c r="H107" i="169"/>
  <c r="F107" i="169"/>
  <c r="I106" i="169"/>
  <c r="H106" i="169"/>
  <c r="G106" i="169" s="1"/>
  <c r="F106" i="169"/>
  <c r="I105" i="169"/>
  <c r="H105" i="169"/>
  <c r="F105" i="169"/>
  <c r="I104" i="169"/>
  <c r="H104" i="169"/>
  <c r="G104" i="169" s="1"/>
  <c r="F104" i="169"/>
  <c r="I103" i="169"/>
  <c r="H103" i="169"/>
  <c r="G103" i="169"/>
  <c r="F103" i="169"/>
  <c r="I102" i="169"/>
  <c r="H102" i="169"/>
  <c r="F102" i="169"/>
  <c r="I101" i="169"/>
  <c r="H101" i="169"/>
  <c r="G101" i="169"/>
  <c r="F101" i="169"/>
  <c r="I100" i="169"/>
  <c r="H100" i="169"/>
  <c r="F100" i="169"/>
  <c r="I99" i="169"/>
  <c r="H99" i="169"/>
  <c r="F99" i="169"/>
  <c r="I98" i="169"/>
  <c r="H98" i="169"/>
  <c r="G98" i="169" s="1"/>
  <c r="F98" i="169"/>
  <c r="I97" i="169"/>
  <c r="G97" i="169" s="1"/>
  <c r="H97" i="169"/>
  <c r="F97" i="169"/>
  <c r="I96" i="169"/>
  <c r="H96" i="169"/>
  <c r="F96" i="169"/>
  <c r="I95" i="169"/>
  <c r="H95" i="169"/>
  <c r="G95" i="169" s="1"/>
  <c r="F95" i="169"/>
  <c r="I94" i="169"/>
  <c r="H94" i="169"/>
  <c r="G94" i="169" s="1"/>
  <c r="F94" i="169"/>
  <c r="I93" i="169"/>
  <c r="H93" i="169"/>
  <c r="F93" i="169"/>
  <c r="I92" i="169"/>
  <c r="H92" i="169"/>
  <c r="G92" i="169"/>
  <c r="F92" i="169"/>
  <c r="I91" i="169"/>
  <c r="H91" i="169"/>
  <c r="G91" i="169" s="1"/>
  <c r="F91" i="169"/>
  <c r="I90" i="169"/>
  <c r="H90" i="169"/>
  <c r="G90" i="169" s="1"/>
  <c r="F90" i="169"/>
  <c r="I89" i="169"/>
  <c r="G89" i="169" s="1"/>
  <c r="H89" i="169"/>
  <c r="F89" i="169"/>
  <c r="I88" i="169"/>
  <c r="H88" i="169"/>
  <c r="F88" i="169"/>
  <c r="I87" i="169"/>
  <c r="H87" i="169"/>
  <c r="G87" i="169" s="1"/>
  <c r="F87" i="169"/>
  <c r="I86" i="169"/>
  <c r="H86" i="169"/>
  <c r="G86" i="169"/>
  <c r="F86" i="169"/>
  <c r="I85" i="169"/>
  <c r="H85" i="169"/>
  <c r="F85" i="169"/>
  <c r="I84" i="169"/>
  <c r="H84" i="169"/>
  <c r="G84" i="169" s="1"/>
  <c r="F84" i="169"/>
  <c r="I83" i="169"/>
  <c r="H83" i="169"/>
  <c r="G83" i="169"/>
  <c r="F83" i="169"/>
  <c r="I82" i="169"/>
  <c r="G82" i="169" s="1"/>
  <c r="H82" i="169"/>
  <c r="F82" i="169"/>
  <c r="I81" i="169"/>
  <c r="H81" i="169"/>
  <c r="G81" i="169" s="1"/>
  <c r="F81" i="169"/>
  <c r="I80" i="169"/>
  <c r="H80" i="169"/>
  <c r="G80" i="169"/>
  <c r="F80" i="169"/>
  <c r="I79" i="169"/>
  <c r="H79" i="169"/>
  <c r="G79" i="169"/>
  <c r="F79" i="169"/>
  <c r="I78" i="169"/>
  <c r="H78" i="169"/>
  <c r="G78" i="169" s="1"/>
  <c r="F78" i="169"/>
  <c r="I77" i="169"/>
  <c r="H77" i="169"/>
  <c r="G77" i="169"/>
  <c r="F77" i="169"/>
  <c r="I76" i="169"/>
  <c r="G76" i="169" s="1"/>
  <c r="H76" i="169"/>
  <c r="F76" i="169"/>
  <c r="I75" i="169"/>
  <c r="H75" i="169"/>
  <c r="F75" i="169"/>
  <c r="I74" i="169"/>
  <c r="H74" i="169"/>
  <c r="G74" i="169"/>
  <c r="F74" i="169"/>
  <c r="O44" i="169"/>
  <c r="O43" i="169"/>
  <c r="O42" i="169"/>
  <c r="O41" i="169"/>
  <c r="O40" i="169"/>
  <c r="O38" i="169"/>
  <c r="O37" i="169"/>
  <c r="O31" i="169"/>
  <c r="O26" i="169"/>
  <c r="O25" i="169"/>
  <c r="O19" i="169"/>
  <c r="AB14" i="169"/>
  <c r="AB13" i="169"/>
  <c r="AC8" i="169"/>
  <c r="AB12" i="169" s="1"/>
  <c r="AB8" i="169"/>
  <c r="AB15" i="169" s="1"/>
  <c r="AA8" i="169"/>
  <c r="Z8" i="169"/>
  <c r="Y8" i="169"/>
  <c r="O7" i="169"/>
  <c r="O2" i="169"/>
  <c r="F95" i="168"/>
  <c r="H95" i="168"/>
  <c r="I95" i="168"/>
  <c r="I94" i="168"/>
  <c r="H94" i="168"/>
  <c r="G94" i="168"/>
  <c r="F94" i="168"/>
  <c r="I93" i="168"/>
  <c r="H93" i="168"/>
  <c r="G93" i="168" s="1"/>
  <c r="F93" i="168"/>
  <c r="I92" i="168"/>
  <c r="H92" i="168"/>
  <c r="G92" i="168" s="1"/>
  <c r="F92" i="168"/>
  <c r="I91" i="168"/>
  <c r="H91" i="168"/>
  <c r="F91" i="168"/>
  <c r="I90" i="168"/>
  <c r="H90" i="168"/>
  <c r="G90" i="168"/>
  <c r="F90" i="168"/>
  <c r="I89" i="168"/>
  <c r="H89" i="168"/>
  <c r="G89" i="168"/>
  <c r="F89" i="168"/>
  <c r="I88" i="168"/>
  <c r="H88" i="168"/>
  <c r="G88" i="168"/>
  <c r="F88" i="168"/>
  <c r="I87" i="168"/>
  <c r="H87" i="168"/>
  <c r="G87" i="168" s="1"/>
  <c r="F87" i="168"/>
  <c r="I86" i="168"/>
  <c r="H86" i="168"/>
  <c r="F86" i="168"/>
  <c r="I85" i="168"/>
  <c r="H85" i="168"/>
  <c r="F85" i="168"/>
  <c r="I84" i="168"/>
  <c r="H84" i="168"/>
  <c r="G84" i="168"/>
  <c r="F84" i="168"/>
  <c r="I83" i="168"/>
  <c r="H83" i="168"/>
  <c r="G83" i="168" s="1"/>
  <c r="F83" i="168"/>
  <c r="I82" i="168"/>
  <c r="H82" i="168"/>
  <c r="G82" i="168"/>
  <c r="F82" i="168"/>
  <c r="I81" i="168"/>
  <c r="H81" i="168"/>
  <c r="G81" i="168"/>
  <c r="F81" i="168"/>
  <c r="I80" i="168"/>
  <c r="H80" i="168"/>
  <c r="G80" i="168" s="1"/>
  <c r="F80" i="168"/>
  <c r="I79" i="168"/>
  <c r="H79" i="168"/>
  <c r="F79" i="168"/>
  <c r="I78" i="168"/>
  <c r="H78" i="168"/>
  <c r="G78" i="168"/>
  <c r="F78" i="168"/>
  <c r="I77" i="168"/>
  <c r="H77" i="168"/>
  <c r="G77" i="168"/>
  <c r="F77" i="168"/>
  <c r="I76" i="168"/>
  <c r="H76" i="168"/>
  <c r="G76" i="168" s="1"/>
  <c r="F76" i="168"/>
  <c r="I75" i="168"/>
  <c r="H75" i="168"/>
  <c r="G75" i="168"/>
  <c r="F75" i="168"/>
  <c r="I74" i="168"/>
  <c r="H74" i="168"/>
  <c r="G74" i="168" s="1"/>
  <c r="F74" i="168"/>
  <c r="I73" i="168"/>
  <c r="H73" i="168"/>
  <c r="F73" i="168"/>
  <c r="I72" i="168"/>
  <c r="H72" i="168"/>
  <c r="G72" i="168"/>
  <c r="F72" i="168"/>
  <c r="I71" i="168"/>
  <c r="H71" i="168"/>
  <c r="G71" i="168"/>
  <c r="F71" i="168"/>
  <c r="I70" i="168"/>
  <c r="H70" i="168"/>
  <c r="G70" i="168" s="1"/>
  <c r="F70" i="168"/>
  <c r="I69" i="168"/>
  <c r="H69" i="168"/>
  <c r="G69" i="168"/>
  <c r="F69" i="168"/>
  <c r="I68" i="168"/>
  <c r="H68" i="168"/>
  <c r="G68" i="168" s="1"/>
  <c r="F68" i="168"/>
  <c r="I67" i="168"/>
  <c r="H67" i="168"/>
  <c r="F67" i="168"/>
  <c r="I66" i="168"/>
  <c r="H66" i="168"/>
  <c r="F66" i="168"/>
  <c r="I65" i="168"/>
  <c r="H65" i="168"/>
  <c r="G65" i="168"/>
  <c r="F65" i="168"/>
  <c r="I64" i="168"/>
  <c r="H64" i="168"/>
  <c r="G64" i="168"/>
  <c r="F64" i="168"/>
  <c r="I63" i="168"/>
  <c r="H63" i="168"/>
  <c r="G63" i="168"/>
  <c r="F63" i="168"/>
  <c r="I62" i="168"/>
  <c r="H62" i="168"/>
  <c r="G62" i="168" s="1"/>
  <c r="F62" i="168"/>
  <c r="I61" i="168"/>
  <c r="H61" i="168"/>
  <c r="F61" i="168"/>
  <c r="I60" i="168"/>
  <c r="H60" i="168"/>
  <c r="G60" i="168" s="1"/>
  <c r="F60" i="168"/>
  <c r="I59" i="168"/>
  <c r="H59" i="168"/>
  <c r="G59" i="168"/>
  <c r="F59" i="168"/>
  <c r="I58" i="168"/>
  <c r="H58" i="168"/>
  <c r="G58" i="168"/>
  <c r="F58" i="168"/>
  <c r="I57" i="168"/>
  <c r="H57" i="168"/>
  <c r="G57" i="168" s="1"/>
  <c r="F57" i="168"/>
  <c r="I56" i="168"/>
  <c r="H56" i="168"/>
  <c r="G56" i="168" s="1"/>
  <c r="F56" i="168"/>
  <c r="I55" i="168"/>
  <c r="H55" i="168"/>
  <c r="F55" i="168"/>
  <c r="I54" i="168"/>
  <c r="H54" i="168"/>
  <c r="G54" i="168"/>
  <c r="F54" i="168"/>
  <c r="I53" i="168"/>
  <c r="H53" i="168"/>
  <c r="F53" i="168"/>
  <c r="I52" i="168"/>
  <c r="H52" i="168"/>
  <c r="G52" i="168"/>
  <c r="F52" i="168"/>
  <c r="I51" i="168"/>
  <c r="H51" i="168"/>
  <c r="G51" i="168"/>
  <c r="F51" i="168"/>
  <c r="O42" i="168"/>
  <c r="O41" i="168"/>
  <c r="O40" i="168"/>
  <c r="O39" i="168"/>
  <c r="Q38" i="168"/>
  <c r="P38" i="168"/>
  <c r="O38" i="168"/>
  <c r="O37" i="168"/>
  <c r="O36" i="168"/>
  <c r="O35" i="168"/>
  <c r="O34" i="168"/>
  <c r="O33" i="168"/>
  <c r="O32" i="168"/>
  <c r="O31" i="168"/>
  <c r="S30" i="168"/>
  <c r="O30" i="168"/>
  <c r="O29" i="168"/>
  <c r="O28" i="168"/>
  <c r="O27" i="168"/>
  <c r="O26" i="168"/>
  <c r="O25" i="168"/>
  <c r="O24" i="168"/>
  <c r="O23" i="168"/>
  <c r="T22" i="168"/>
  <c r="S22" i="168"/>
  <c r="R22" i="168"/>
  <c r="Q22" i="168"/>
  <c r="O22" i="168"/>
  <c r="O21" i="168"/>
  <c r="O20" i="168"/>
  <c r="O19" i="168"/>
  <c r="O18" i="168"/>
  <c r="O17" i="168"/>
  <c r="O16" i="168"/>
  <c r="O15" i="168"/>
  <c r="AB14" i="168"/>
  <c r="V14" i="168"/>
  <c r="O14" i="168"/>
  <c r="AB13" i="168"/>
  <c r="O13" i="168"/>
  <c r="AB12" i="168"/>
  <c r="O12" i="168"/>
  <c r="O11" i="168"/>
  <c r="O10" i="168"/>
  <c r="O9" i="168"/>
  <c r="AC8" i="168"/>
  <c r="AB8" i="168"/>
  <c r="AB15" i="168" s="1"/>
  <c r="AA8" i="168"/>
  <c r="Z8" i="168"/>
  <c r="Y8" i="168"/>
  <c r="O8" i="168"/>
  <c r="O7" i="168"/>
  <c r="O6" i="168"/>
  <c r="O5" i="168"/>
  <c r="O4" i="168"/>
  <c r="O3" i="168"/>
  <c r="O2" i="168"/>
  <c r="A1" i="168"/>
  <c r="V42" i="168" s="1"/>
  <c r="O34" i="167"/>
  <c r="O32" i="167"/>
  <c r="O31" i="167"/>
  <c r="O29" i="167"/>
  <c r="O28" i="167"/>
  <c r="O26" i="167"/>
  <c r="O25" i="167"/>
  <c r="O22" i="167"/>
  <c r="O21" i="167"/>
  <c r="O19" i="167"/>
  <c r="O16" i="167"/>
  <c r="O15" i="167"/>
  <c r="O13" i="167"/>
  <c r="O10" i="167"/>
  <c r="O9" i="167"/>
  <c r="O7" i="167"/>
  <c r="O4" i="167"/>
  <c r="O3" i="167"/>
  <c r="I117" i="167"/>
  <c r="H117" i="167"/>
  <c r="F117" i="167"/>
  <c r="I116" i="167"/>
  <c r="H116" i="167"/>
  <c r="G116" i="167"/>
  <c r="F116" i="167"/>
  <c r="I115" i="167"/>
  <c r="H115" i="167"/>
  <c r="G115" i="167" s="1"/>
  <c r="F115" i="167"/>
  <c r="I114" i="167"/>
  <c r="H114" i="167"/>
  <c r="G114" i="167" s="1"/>
  <c r="F114" i="167"/>
  <c r="I113" i="167"/>
  <c r="H113" i="167"/>
  <c r="G113" i="167"/>
  <c r="F113" i="167"/>
  <c r="I112" i="167"/>
  <c r="H112" i="167"/>
  <c r="G112" i="167"/>
  <c r="F112" i="167"/>
  <c r="I111" i="167"/>
  <c r="H111" i="167"/>
  <c r="F111" i="167"/>
  <c r="I110" i="167"/>
  <c r="H110" i="167"/>
  <c r="G110" i="167"/>
  <c r="F110" i="167"/>
  <c r="I109" i="167"/>
  <c r="H109" i="167"/>
  <c r="G109" i="167" s="1"/>
  <c r="F109" i="167"/>
  <c r="I108" i="167"/>
  <c r="H108" i="167"/>
  <c r="F108" i="167"/>
  <c r="I107" i="167"/>
  <c r="H107" i="167"/>
  <c r="G107" i="167"/>
  <c r="F107" i="167"/>
  <c r="I106" i="167"/>
  <c r="H106" i="167"/>
  <c r="G106" i="167"/>
  <c r="F106" i="167"/>
  <c r="I105" i="167"/>
  <c r="H105" i="167"/>
  <c r="F105" i="167"/>
  <c r="I104" i="167"/>
  <c r="H104" i="167"/>
  <c r="F104" i="167"/>
  <c r="I103" i="167"/>
  <c r="H103" i="167"/>
  <c r="G103" i="167" s="1"/>
  <c r="F103" i="167"/>
  <c r="I102" i="167"/>
  <c r="H102" i="167"/>
  <c r="G102" i="167" s="1"/>
  <c r="F102" i="167"/>
  <c r="I101" i="167"/>
  <c r="H101" i="167"/>
  <c r="F101" i="167"/>
  <c r="I100" i="167"/>
  <c r="G100" i="167" s="1"/>
  <c r="H100" i="167"/>
  <c r="F100" i="167"/>
  <c r="I99" i="167"/>
  <c r="H99" i="167"/>
  <c r="G99" i="167" s="1"/>
  <c r="F99" i="167"/>
  <c r="I98" i="167"/>
  <c r="H98" i="167"/>
  <c r="F98" i="167"/>
  <c r="I97" i="167"/>
  <c r="H97" i="167"/>
  <c r="F97" i="167"/>
  <c r="I96" i="167"/>
  <c r="H96" i="167"/>
  <c r="G96" i="167"/>
  <c r="F96" i="167"/>
  <c r="I95" i="167"/>
  <c r="H95" i="167"/>
  <c r="F95" i="167"/>
  <c r="I94" i="167"/>
  <c r="H94" i="167"/>
  <c r="G94" i="167"/>
  <c r="F94" i="167"/>
  <c r="I93" i="167"/>
  <c r="H93" i="167"/>
  <c r="F93" i="167"/>
  <c r="I92" i="167"/>
  <c r="H92" i="167"/>
  <c r="G92" i="167"/>
  <c r="F92" i="167"/>
  <c r="I91" i="167"/>
  <c r="H91" i="167"/>
  <c r="F91" i="167"/>
  <c r="I90" i="167"/>
  <c r="H90" i="167"/>
  <c r="G90" i="167" s="1"/>
  <c r="F90" i="167"/>
  <c r="I89" i="167"/>
  <c r="H89" i="167"/>
  <c r="F89" i="167"/>
  <c r="I88" i="167"/>
  <c r="H88" i="167"/>
  <c r="G88" i="167" s="1"/>
  <c r="F88" i="167"/>
  <c r="I87" i="167"/>
  <c r="H87" i="167"/>
  <c r="G87" i="167" s="1"/>
  <c r="F87" i="167"/>
  <c r="I86" i="167"/>
  <c r="H86" i="167"/>
  <c r="F86" i="167"/>
  <c r="I85" i="167"/>
  <c r="H85" i="167"/>
  <c r="F85" i="167"/>
  <c r="I84" i="167"/>
  <c r="H84" i="167"/>
  <c r="F84" i="167"/>
  <c r="I83" i="167"/>
  <c r="H83" i="167"/>
  <c r="F83" i="167"/>
  <c r="I82" i="167"/>
  <c r="H82" i="167"/>
  <c r="F82" i="167"/>
  <c r="I81" i="167"/>
  <c r="H81" i="167"/>
  <c r="G81" i="167" s="1"/>
  <c r="F81" i="167"/>
  <c r="I80" i="167"/>
  <c r="H80" i="167"/>
  <c r="G80" i="167"/>
  <c r="F80" i="167"/>
  <c r="I79" i="167"/>
  <c r="H79" i="167"/>
  <c r="F79" i="167"/>
  <c r="I78" i="167"/>
  <c r="H78" i="167"/>
  <c r="F78" i="167"/>
  <c r="I77" i="167"/>
  <c r="H77" i="167"/>
  <c r="F77" i="167"/>
  <c r="I76" i="167"/>
  <c r="H76" i="167"/>
  <c r="G76" i="167"/>
  <c r="F76" i="167"/>
  <c r="I75" i="167"/>
  <c r="H75" i="167"/>
  <c r="F75" i="167"/>
  <c r="I74" i="167"/>
  <c r="H74" i="167"/>
  <c r="G74" i="167"/>
  <c r="F74" i="167"/>
  <c r="O38" i="167"/>
  <c r="O37" i="167"/>
  <c r="O36" i="167"/>
  <c r="O35" i="167"/>
  <c r="O33" i="167"/>
  <c r="O30" i="167"/>
  <c r="O27" i="167"/>
  <c r="O24" i="167"/>
  <c r="O23" i="167"/>
  <c r="O20" i="167"/>
  <c r="O18" i="167"/>
  <c r="O17" i="167"/>
  <c r="AB14" i="167"/>
  <c r="O14" i="167"/>
  <c r="AB13" i="167"/>
  <c r="AB12" i="167"/>
  <c r="O12" i="167"/>
  <c r="O11" i="167"/>
  <c r="AC8" i="167"/>
  <c r="AB8" i="167"/>
  <c r="AB15" i="167" s="1"/>
  <c r="AA8" i="167"/>
  <c r="Z8" i="167"/>
  <c r="Y8" i="167"/>
  <c r="O8" i="167"/>
  <c r="O6" i="167"/>
  <c r="O5" i="167"/>
  <c r="O2" i="167"/>
  <c r="A1" i="165"/>
  <c r="R23" i="165" s="1"/>
  <c r="I94" i="165"/>
  <c r="H94" i="165"/>
  <c r="G94" i="165" s="1"/>
  <c r="F94" i="165"/>
  <c r="I93" i="165"/>
  <c r="H93" i="165"/>
  <c r="G93" i="165"/>
  <c r="F93" i="165"/>
  <c r="I92" i="165"/>
  <c r="H92" i="165"/>
  <c r="F92" i="165"/>
  <c r="I91" i="165"/>
  <c r="H91" i="165"/>
  <c r="G91" i="165" s="1"/>
  <c r="F91" i="165"/>
  <c r="I90" i="165"/>
  <c r="H90" i="165"/>
  <c r="G90" i="165" s="1"/>
  <c r="F90" i="165"/>
  <c r="I89" i="165"/>
  <c r="H89" i="165"/>
  <c r="G89" i="165"/>
  <c r="F89" i="165"/>
  <c r="I88" i="165"/>
  <c r="H88" i="165"/>
  <c r="G88" i="165" s="1"/>
  <c r="F88" i="165"/>
  <c r="I87" i="165"/>
  <c r="H87" i="165"/>
  <c r="G87" i="165" s="1"/>
  <c r="F87" i="165"/>
  <c r="I86" i="165"/>
  <c r="H86" i="165"/>
  <c r="F86" i="165"/>
  <c r="I85" i="165"/>
  <c r="H85" i="165"/>
  <c r="F85" i="165"/>
  <c r="I84" i="165"/>
  <c r="H84" i="165"/>
  <c r="G84" i="165"/>
  <c r="F84" i="165"/>
  <c r="I83" i="165"/>
  <c r="H83" i="165"/>
  <c r="G83" i="165"/>
  <c r="F83" i="165"/>
  <c r="I82" i="165"/>
  <c r="H82" i="165"/>
  <c r="G82" i="165" s="1"/>
  <c r="F82" i="165"/>
  <c r="I81" i="165"/>
  <c r="H81" i="165"/>
  <c r="G81" i="165" s="1"/>
  <c r="F81" i="165"/>
  <c r="I80" i="165"/>
  <c r="H80" i="165"/>
  <c r="F80" i="165"/>
  <c r="I79" i="165"/>
  <c r="H79" i="165"/>
  <c r="G79" i="165"/>
  <c r="F79" i="165"/>
  <c r="I78" i="165"/>
  <c r="H78" i="165"/>
  <c r="F78" i="165"/>
  <c r="I77" i="165"/>
  <c r="H77" i="165"/>
  <c r="G77" i="165"/>
  <c r="F77" i="165"/>
  <c r="I76" i="165"/>
  <c r="H76" i="165"/>
  <c r="G76" i="165"/>
  <c r="F76" i="165"/>
  <c r="I75" i="165"/>
  <c r="H75" i="165"/>
  <c r="G75" i="165"/>
  <c r="F75" i="165"/>
  <c r="I74" i="165"/>
  <c r="H74" i="165"/>
  <c r="F74" i="165"/>
  <c r="I73" i="165"/>
  <c r="H73" i="165"/>
  <c r="G73" i="165" s="1"/>
  <c r="F73" i="165"/>
  <c r="I72" i="165"/>
  <c r="H72" i="165"/>
  <c r="F72" i="165"/>
  <c r="I71" i="165"/>
  <c r="H71" i="165"/>
  <c r="G71" i="165"/>
  <c r="F71" i="165"/>
  <c r="I70" i="165"/>
  <c r="H70" i="165"/>
  <c r="G70" i="165" s="1"/>
  <c r="F70" i="165"/>
  <c r="I69" i="165"/>
  <c r="H69" i="165"/>
  <c r="G69" i="165"/>
  <c r="F69" i="165"/>
  <c r="I68" i="165"/>
  <c r="H68" i="165"/>
  <c r="F68" i="165"/>
  <c r="I67" i="165"/>
  <c r="H67" i="165"/>
  <c r="G67" i="165"/>
  <c r="F67" i="165"/>
  <c r="I66" i="165"/>
  <c r="H66" i="165"/>
  <c r="F66" i="165"/>
  <c r="I65" i="165"/>
  <c r="H65" i="165"/>
  <c r="G65" i="165" s="1"/>
  <c r="F65" i="165"/>
  <c r="I64" i="165"/>
  <c r="H64" i="165"/>
  <c r="G64" i="165"/>
  <c r="F64" i="165"/>
  <c r="I63" i="165"/>
  <c r="H63" i="165"/>
  <c r="G63" i="165" s="1"/>
  <c r="F63" i="165"/>
  <c r="I62" i="165"/>
  <c r="H62" i="165"/>
  <c r="F62" i="165"/>
  <c r="I61" i="165"/>
  <c r="H61" i="165"/>
  <c r="G61" i="165"/>
  <c r="F61" i="165"/>
  <c r="I60" i="165"/>
  <c r="H60" i="165"/>
  <c r="G60" i="165" s="1"/>
  <c r="F60" i="165"/>
  <c r="I59" i="165"/>
  <c r="H59" i="165"/>
  <c r="F59" i="165"/>
  <c r="I58" i="165"/>
  <c r="H58" i="165"/>
  <c r="G58" i="165" s="1"/>
  <c r="F58" i="165"/>
  <c r="I57" i="165"/>
  <c r="H57" i="165"/>
  <c r="G57" i="165" s="1"/>
  <c r="F57" i="165"/>
  <c r="I56" i="165"/>
  <c r="H56" i="165"/>
  <c r="F56" i="165"/>
  <c r="I55" i="165"/>
  <c r="H55" i="165"/>
  <c r="G55" i="165"/>
  <c r="F55" i="165"/>
  <c r="I54" i="165"/>
  <c r="H54" i="165"/>
  <c r="G54" i="165"/>
  <c r="F54" i="165"/>
  <c r="I53" i="165"/>
  <c r="H53" i="165"/>
  <c r="G53" i="165" s="1"/>
  <c r="F53" i="165"/>
  <c r="I52" i="165"/>
  <c r="H52" i="165"/>
  <c r="F52" i="165"/>
  <c r="I51" i="165"/>
  <c r="H51" i="165"/>
  <c r="G51" i="165"/>
  <c r="F51" i="165"/>
  <c r="O36" i="165"/>
  <c r="O34" i="165"/>
  <c r="O33" i="165"/>
  <c r="O29" i="165"/>
  <c r="O28" i="165"/>
  <c r="O27" i="165"/>
  <c r="O26" i="165"/>
  <c r="O17" i="165"/>
  <c r="O11" i="165"/>
  <c r="O10" i="165"/>
  <c r="O9" i="165"/>
  <c r="AC8" i="165"/>
  <c r="AB12" i="165" s="1"/>
  <c r="AB8" i="165"/>
  <c r="AB15" i="165" s="1"/>
  <c r="AA8" i="165"/>
  <c r="AB13" i="165" s="1"/>
  <c r="Z8" i="165"/>
  <c r="AB14" i="165" s="1"/>
  <c r="Y8" i="165"/>
  <c r="O4" i="165"/>
  <c r="I94" i="163"/>
  <c r="H94" i="163"/>
  <c r="G94" i="163" s="1"/>
  <c r="F94" i="163"/>
  <c r="I93" i="163"/>
  <c r="H93" i="163"/>
  <c r="G93" i="163"/>
  <c r="F93" i="163"/>
  <c r="I92" i="163"/>
  <c r="H92" i="163"/>
  <c r="G92" i="163"/>
  <c r="F92" i="163"/>
  <c r="I91" i="163"/>
  <c r="H91" i="163"/>
  <c r="G91" i="163" s="1"/>
  <c r="F91" i="163"/>
  <c r="I90" i="163"/>
  <c r="H90" i="163"/>
  <c r="G90" i="163"/>
  <c r="F90" i="163"/>
  <c r="I89" i="163"/>
  <c r="H89" i="163"/>
  <c r="G89" i="163"/>
  <c r="F89" i="163"/>
  <c r="I88" i="163"/>
  <c r="H88" i="163"/>
  <c r="G88" i="163" s="1"/>
  <c r="F88" i="163"/>
  <c r="I87" i="163"/>
  <c r="H87" i="163"/>
  <c r="G87" i="163"/>
  <c r="F87" i="163"/>
  <c r="I86" i="163"/>
  <c r="H86" i="163"/>
  <c r="G86" i="163"/>
  <c r="F86" i="163"/>
  <c r="I85" i="163"/>
  <c r="H85" i="163"/>
  <c r="F85" i="163"/>
  <c r="I84" i="163"/>
  <c r="H84" i="163"/>
  <c r="G84" i="163" s="1"/>
  <c r="F84" i="163"/>
  <c r="I83" i="163"/>
  <c r="H83" i="163"/>
  <c r="G83" i="163"/>
  <c r="F83" i="163"/>
  <c r="I82" i="163"/>
  <c r="H82" i="163"/>
  <c r="G82" i="163" s="1"/>
  <c r="F82" i="163"/>
  <c r="I81" i="163"/>
  <c r="H81" i="163"/>
  <c r="G81" i="163"/>
  <c r="F81" i="163"/>
  <c r="I80" i="163"/>
  <c r="H80" i="163"/>
  <c r="G80" i="163" s="1"/>
  <c r="F80" i="163"/>
  <c r="I79" i="163"/>
  <c r="H79" i="163"/>
  <c r="F79" i="163"/>
  <c r="I78" i="163"/>
  <c r="H78" i="163"/>
  <c r="G78" i="163" s="1"/>
  <c r="F78" i="163"/>
  <c r="I77" i="163"/>
  <c r="H77" i="163"/>
  <c r="G77" i="163" s="1"/>
  <c r="F77" i="163"/>
  <c r="I76" i="163"/>
  <c r="H76" i="163"/>
  <c r="G76" i="163" s="1"/>
  <c r="F76" i="163"/>
  <c r="I75" i="163"/>
  <c r="H75" i="163"/>
  <c r="G75" i="163" s="1"/>
  <c r="F75" i="163"/>
  <c r="I74" i="163"/>
  <c r="H74" i="163"/>
  <c r="G74" i="163"/>
  <c r="F74" i="163"/>
  <c r="I73" i="163"/>
  <c r="H73" i="163"/>
  <c r="F73" i="163"/>
  <c r="I72" i="163"/>
  <c r="H72" i="163"/>
  <c r="G72" i="163" s="1"/>
  <c r="F72" i="163"/>
  <c r="I71" i="163"/>
  <c r="H71" i="163"/>
  <c r="G71" i="163" s="1"/>
  <c r="F71" i="163"/>
  <c r="I70" i="163"/>
  <c r="H70" i="163"/>
  <c r="G70" i="163"/>
  <c r="F70" i="163"/>
  <c r="I69" i="163"/>
  <c r="H69" i="163"/>
  <c r="G69" i="163" s="1"/>
  <c r="F69" i="163"/>
  <c r="I68" i="163"/>
  <c r="H68" i="163"/>
  <c r="G68" i="163" s="1"/>
  <c r="F68" i="163"/>
  <c r="I67" i="163"/>
  <c r="H67" i="163"/>
  <c r="F67" i="163"/>
  <c r="I66" i="163"/>
  <c r="H66" i="163"/>
  <c r="G66" i="163" s="1"/>
  <c r="F66" i="163"/>
  <c r="I65" i="163"/>
  <c r="H65" i="163"/>
  <c r="G65" i="163"/>
  <c r="F65" i="163"/>
  <c r="I64" i="163"/>
  <c r="H64" i="163"/>
  <c r="G64" i="163" s="1"/>
  <c r="F64" i="163"/>
  <c r="I63" i="163"/>
  <c r="H63" i="163"/>
  <c r="G63" i="163" s="1"/>
  <c r="F63" i="163"/>
  <c r="I62" i="163"/>
  <c r="H62" i="163"/>
  <c r="G62" i="163" s="1"/>
  <c r="F62" i="163"/>
  <c r="I61" i="163"/>
  <c r="H61" i="163"/>
  <c r="F61" i="163"/>
  <c r="I60" i="163"/>
  <c r="H60" i="163"/>
  <c r="G60" i="163" s="1"/>
  <c r="F60" i="163"/>
  <c r="I59" i="163"/>
  <c r="H59" i="163"/>
  <c r="G59" i="163"/>
  <c r="F59" i="163"/>
  <c r="I58" i="163"/>
  <c r="H58" i="163"/>
  <c r="G58" i="163"/>
  <c r="F58" i="163"/>
  <c r="I57" i="163"/>
  <c r="H57" i="163"/>
  <c r="G57" i="163" s="1"/>
  <c r="F57" i="163"/>
  <c r="I56" i="163"/>
  <c r="H56" i="163"/>
  <c r="G56" i="163"/>
  <c r="F56" i="163"/>
  <c r="I55" i="163"/>
  <c r="H55" i="163"/>
  <c r="F55" i="163"/>
  <c r="I54" i="163"/>
  <c r="H54" i="163"/>
  <c r="G54" i="163"/>
  <c r="F54" i="163"/>
  <c r="I53" i="163"/>
  <c r="H53" i="163"/>
  <c r="G53" i="163" s="1"/>
  <c r="F53" i="163"/>
  <c r="I52" i="163"/>
  <c r="H52" i="163"/>
  <c r="G52" i="163" s="1"/>
  <c r="F52" i="163"/>
  <c r="I51" i="163"/>
  <c r="H51" i="163"/>
  <c r="G51" i="163"/>
  <c r="F51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AB14" i="163"/>
  <c r="O14" i="163"/>
  <c r="AB13" i="163"/>
  <c r="O13" i="163"/>
  <c r="AB12" i="163"/>
  <c r="O12" i="163"/>
  <c r="O11" i="163"/>
  <c r="O10" i="163"/>
  <c r="O9" i="163"/>
  <c r="AC8" i="163"/>
  <c r="AB8" i="163"/>
  <c r="AB15" i="163" s="1"/>
  <c r="AA8" i="163"/>
  <c r="Z8" i="163"/>
  <c r="Y8" i="163"/>
  <c r="O8" i="163"/>
  <c r="O7" i="163"/>
  <c r="O6" i="163"/>
  <c r="O5" i="163"/>
  <c r="O4" i="163"/>
  <c r="O3" i="163"/>
  <c r="O2" i="163"/>
  <c r="A1" i="163"/>
  <c r="V19" i="163" s="1"/>
  <c r="G78" i="165" l="1"/>
  <c r="G85" i="165"/>
  <c r="G52" i="165"/>
  <c r="G72" i="165"/>
  <c r="G59" i="165"/>
  <c r="G66" i="165"/>
  <c r="S45" i="173"/>
  <c r="V9" i="173"/>
  <c r="U4" i="173"/>
  <c r="V32" i="173"/>
  <c r="Q5" i="173"/>
  <c r="S20" i="173"/>
  <c r="U38" i="173"/>
  <c r="Q21" i="173"/>
  <c r="S39" i="173"/>
  <c r="Q46" i="173"/>
  <c r="R46" i="173"/>
  <c r="U32" i="173"/>
  <c r="Q15" i="173"/>
  <c r="R15" i="173"/>
  <c r="S33" i="173"/>
  <c r="V19" i="173"/>
  <c r="V38" i="173"/>
  <c r="P46" i="173"/>
  <c r="U14" i="173"/>
  <c r="P5" i="173"/>
  <c r="P9" i="173"/>
  <c r="V26" i="173"/>
  <c r="S26" i="173"/>
  <c r="P40" i="173"/>
  <c r="T26" i="173"/>
  <c r="U26" i="173"/>
  <c r="V14" i="173"/>
  <c r="V44" i="173"/>
  <c r="G84" i="173"/>
  <c r="G88" i="173"/>
  <c r="G99" i="173"/>
  <c r="P56" i="172"/>
  <c r="V31" i="172"/>
  <c r="P55" i="172"/>
  <c r="S51" i="172"/>
  <c r="T47" i="172"/>
  <c r="R51" i="172"/>
  <c r="S47" i="172"/>
  <c r="V54" i="172"/>
  <c r="R47" i="172"/>
  <c r="P33" i="172"/>
  <c r="U54" i="172"/>
  <c r="V50" i="172"/>
  <c r="Q47" i="172"/>
  <c r="U4" i="172"/>
  <c r="T54" i="172"/>
  <c r="U50" i="172"/>
  <c r="P47" i="172"/>
  <c r="S54" i="172"/>
  <c r="T50" i="172"/>
  <c r="R54" i="172"/>
  <c r="S50" i="172"/>
  <c r="V46" i="172"/>
  <c r="T38" i="172"/>
  <c r="T53" i="172"/>
  <c r="P46" i="172"/>
  <c r="U46" i="172"/>
  <c r="Q50" i="172"/>
  <c r="S38" i="172"/>
  <c r="U53" i="172"/>
  <c r="R46" i="172"/>
  <c r="T57" i="172"/>
  <c r="S57" i="172"/>
  <c r="V49" i="172"/>
  <c r="R57" i="172"/>
  <c r="Q53" i="172"/>
  <c r="U49" i="172"/>
  <c r="V45" i="172"/>
  <c r="R50" i="172"/>
  <c r="T7" i="172"/>
  <c r="V57" i="172"/>
  <c r="V53" i="172"/>
  <c r="S46" i="172"/>
  <c r="U57" i="172"/>
  <c r="P50" i="172"/>
  <c r="S53" i="172"/>
  <c r="P53" i="172"/>
  <c r="T49" i="172"/>
  <c r="U45" i="172"/>
  <c r="V56" i="172"/>
  <c r="S49" i="172"/>
  <c r="T45" i="172"/>
  <c r="S45" i="172"/>
  <c r="T56" i="172"/>
  <c r="R49" i="172"/>
  <c r="V25" i="172"/>
  <c r="S56" i="172"/>
  <c r="U52" i="172"/>
  <c r="P49" i="172"/>
  <c r="R56" i="172"/>
  <c r="V52" i="172"/>
  <c r="U10" i="172"/>
  <c r="T52" i="172"/>
  <c r="V10" i="172"/>
  <c r="Q56" i="172"/>
  <c r="S52" i="172"/>
  <c r="V48" i="172"/>
  <c r="G100" i="172"/>
  <c r="G116" i="172"/>
  <c r="G107" i="172"/>
  <c r="G103" i="172"/>
  <c r="G96" i="172"/>
  <c r="G70" i="172"/>
  <c r="G64" i="172"/>
  <c r="G85" i="172"/>
  <c r="G92" i="172"/>
  <c r="T8" i="171"/>
  <c r="V14" i="171"/>
  <c r="G81" i="171"/>
  <c r="G92" i="171"/>
  <c r="G74" i="170"/>
  <c r="G131" i="169"/>
  <c r="G122" i="169"/>
  <c r="G125" i="169"/>
  <c r="G124" i="169"/>
  <c r="G123" i="169"/>
  <c r="G130" i="169"/>
  <c r="G128" i="169"/>
  <c r="G120" i="169"/>
  <c r="G119" i="169"/>
  <c r="G85" i="169"/>
  <c r="G126" i="169"/>
  <c r="G118" i="169"/>
  <c r="G127" i="169"/>
  <c r="G100" i="169"/>
  <c r="G88" i="169"/>
  <c r="G75" i="169"/>
  <c r="T14" i="168"/>
  <c r="Q30" i="168"/>
  <c r="U14" i="168"/>
  <c r="R30" i="168"/>
  <c r="T8" i="168"/>
  <c r="U8" i="168"/>
  <c r="V8" i="168"/>
  <c r="G66" i="168"/>
  <c r="G53" i="168"/>
  <c r="G86" i="168"/>
  <c r="G95" i="168"/>
  <c r="G104" i="167"/>
  <c r="G78" i="167"/>
  <c r="G108" i="167"/>
  <c r="G75" i="167"/>
  <c r="G82" i="167"/>
  <c r="G98" i="167"/>
  <c r="G84" i="167"/>
  <c r="G93" i="167"/>
  <c r="G86" i="167"/>
  <c r="U3" i="174"/>
  <c r="U6" i="174"/>
  <c r="P9" i="174"/>
  <c r="P12" i="174"/>
  <c r="V14" i="174"/>
  <c r="T17" i="174"/>
  <c r="T20" i="174"/>
  <c r="T23" i="174"/>
  <c r="T26" i="174"/>
  <c r="T29" i="174"/>
  <c r="T32" i="174"/>
  <c r="T35" i="174"/>
  <c r="T38" i="174"/>
  <c r="T41" i="174"/>
  <c r="T44" i="174"/>
  <c r="T47" i="174"/>
  <c r="T50" i="174"/>
  <c r="T53" i="174"/>
  <c r="T56" i="174"/>
  <c r="U56" i="174"/>
  <c r="R4" i="174"/>
  <c r="R7" i="174"/>
  <c r="U9" i="174"/>
  <c r="U12" i="174"/>
  <c r="R15" i="174"/>
  <c r="Q18" i="174"/>
  <c r="Q21" i="174"/>
  <c r="Q24" i="174"/>
  <c r="Q27" i="174"/>
  <c r="Q30" i="174"/>
  <c r="Q33" i="174"/>
  <c r="Q36" i="174"/>
  <c r="Q39" i="174"/>
  <c r="Q42" i="174"/>
  <c r="Q45" i="174"/>
  <c r="Q48" i="174"/>
  <c r="Q51" i="174"/>
  <c r="Q54" i="174"/>
  <c r="Q57" i="174"/>
  <c r="R27" i="174"/>
  <c r="R30" i="174"/>
  <c r="R33" i="174"/>
  <c r="R36" i="174"/>
  <c r="R39" i="174"/>
  <c r="R42" i="174"/>
  <c r="R45" i="174"/>
  <c r="R48" i="174"/>
  <c r="R51" i="174"/>
  <c r="R54" i="174"/>
  <c r="R57" i="174"/>
  <c r="T4" i="174"/>
  <c r="T7" i="174"/>
  <c r="T15" i="174"/>
  <c r="S18" i="174"/>
  <c r="S21" i="174"/>
  <c r="S24" i="174"/>
  <c r="S27" i="174"/>
  <c r="S30" i="174"/>
  <c r="S33" i="174"/>
  <c r="S36" i="174"/>
  <c r="S39" i="174"/>
  <c r="S42" i="174"/>
  <c r="S45" i="174"/>
  <c r="S48" i="174"/>
  <c r="S51" i="174"/>
  <c r="S54" i="174"/>
  <c r="S57" i="174"/>
  <c r="U7" i="174"/>
  <c r="P10" i="174"/>
  <c r="U15" i="174"/>
  <c r="T18" i="174"/>
  <c r="T21" i="174"/>
  <c r="T24" i="174"/>
  <c r="T27" i="174"/>
  <c r="T30" i="174"/>
  <c r="T33" i="174"/>
  <c r="T36" i="174"/>
  <c r="T39" i="174"/>
  <c r="T42" i="174"/>
  <c r="T45" i="174"/>
  <c r="T48" i="174"/>
  <c r="T51" i="174"/>
  <c r="T54" i="174"/>
  <c r="T57" i="174"/>
  <c r="V4" i="174"/>
  <c r="V7" i="174"/>
  <c r="Q10" i="174"/>
  <c r="P13" i="174"/>
  <c r="V15" i="174"/>
  <c r="U18" i="174"/>
  <c r="U21" i="174"/>
  <c r="U24" i="174"/>
  <c r="U27" i="174"/>
  <c r="U30" i="174"/>
  <c r="U33" i="174"/>
  <c r="U36" i="174"/>
  <c r="U39" i="174"/>
  <c r="U42" i="174"/>
  <c r="U45" i="174"/>
  <c r="U48" i="174"/>
  <c r="U51" i="174"/>
  <c r="U54" i="174"/>
  <c r="U57" i="174"/>
  <c r="R10" i="174"/>
  <c r="Q13" i="174"/>
  <c r="V18" i="174"/>
  <c r="V21" i="174"/>
  <c r="V24" i="174"/>
  <c r="V27" i="174"/>
  <c r="V30" i="174"/>
  <c r="V33" i="174"/>
  <c r="V36" i="174"/>
  <c r="V39" i="174"/>
  <c r="V42" i="174"/>
  <c r="V45" i="174"/>
  <c r="V48" i="174"/>
  <c r="V51" i="174"/>
  <c r="V54" i="174"/>
  <c r="G131" i="167"/>
  <c r="G123" i="167"/>
  <c r="G129" i="167"/>
  <c r="G127" i="167"/>
  <c r="G79" i="167"/>
  <c r="G119" i="167"/>
  <c r="G89" i="167"/>
  <c r="G83" i="167"/>
  <c r="G97" i="167"/>
  <c r="G77" i="167"/>
  <c r="G117" i="167"/>
  <c r="G91" i="167"/>
  <c r="G111" i="167"/>
  <c r="G85" i="167"/>
  <c r="G101" i="167"/>
  <c r="G95" i="167"/>
  <c r="G105" i="167"/>
  <c r="G91" i="161"/>
  <c r="G58" i="161"/>
  <c r="S23" i="163"/>
  <c r="T23" i="163"/>
  <c r="G130" i="162"/>
  <c r="G117" i="162"/>
  <c r="G124" i="162"/>
  <c r="G125" i="162"/>
  <c r="G122" i="162"/>
  <c r="G121" i="162"/>
  <c r="G128" i="162"/>
  <c r="G120" i="162"/>
  <c r="G118" i="162"/>
  <c r="G127" i="162"/>
  <c r="G119" i="162"/>
  <c r="G126" i="162"/>
  <c r="G88" i="161"/>
  <c r="G63" i="161"/>
  <c r="G90" i="161"/>
  <c r="G72" i="161"/>
  <c r="G85" i="161"/>
  <c r="G79" i="161"/>
  <c r="G73" i="161"/>
  <c r="G67" i="161"/>
  <c r="G61" i="161"/>
  <c r="G55" i="161"/>
  <c r="Q9" i="173"/>
  <c r="P34" i="173"/>
  <c r="U9" i="173"/>
  <c r="P21" i="173"/>
  <c r="T38" i="173"/>
  <c r="S27" i="173"/>
  <c r="R5" i="173"/>
  <c r="T6" i="173"/>
  <c r="P15" i="173"/>
  <c r="U6" i="173"/>
  <c r="U10" i="173"/>
  <c r="S15" i="173"/>
  <c r="P22" i="173"/>
  <c r="Q34" i="173"/>
  <c r="T40" i="173"/>
  <c r="S46" i="173"/>
  <c r="V10" i="173"/>
  <c r="Q22" i="173"/>
  <c r="P28" i="173"/>
  <c r="R34" i="173"/>
  <c r="U40" i="173"/>
  <c r="T46" i="173"/>
  <c r="Q7" i="173"/>
  <c r="Q16" i="173"/>
  <c r="R22" i="173"/>
  <c r="T28" i="173"/>
  <c r="S34" i="173"/>
  <c r="V40" i="173"/>
  <c r="U46" i="173"/>
  <c r="R7" i="173"/>
  <c r="P11" i="173"/>
  <c r="R16" i="173"/>
  <c r="S22" i="173"/>
  <c r="U28" i="173"/>
  <c r="T34" i="173"/>
  <c r="S2" i="173"/>
  <c r="Q8" i="173"/>
  <c r="P12" i="173"/>
  <c r="T17" i="173"/>
  <c r="V29" i="173"/>
  <c r="V35" i="173"/>
  <c r="P42" i="173"/>
  <c r="T2" i="173"/>
  <c r="R8" i="173"/>
  <c r="U12" i="173"/>
  <c r="V23" i="173"/>
  <c r="Q42" i="173"/>
  <c r="S8" i="173"/>
  <c r="V12" i="173"/>
  <c r="P18" i="173"/>
  <c r="P30" i="173"/>
  <c r="S36" i="173"/>
  <c r="R42" i="173"/>
  <c r="T3" i="173"/>
  <c r="T8" i="173"/>
  <c r="Q18" i="173"/>
  <c r="P24" i="173"/>
  <c r="Q30" i="173"/>
  <c r="S42" i="173"/>
  <c r="U3" i="173"/>
  <c r="U8" i="173"/>
  <c r="R18" i="173"/>
  <c r="T24" i="173"/>
  <c r="R30" i="173"/>
  <c r="P37" i="173"/>
  <c r="S7" i="173"/>
  <c r="U34" i="173"/>
  <c r="U22" i="173"/>
  <c r="V41" i="173"/>
  <c r="V3" i="173"/>
  <c r="V8" i="173"/>
  <c r="T13" i="173"/>
  <c r="S18" i="173"/>
  <c r="S30" i="173"/>
  <c r="T37" i="173"/>
  <c r="T43" i="173"/>
  <c r="T22" i="173"/>
  <c r="U13" i="173"/>
  <c r="T18" i="173"/>
  <c r="P25" i="173"/>
  <c r="U37" i="173"/>
  <c r="U43" i="173"/>
  <c r="S16" i="173"/>
  <c r="U41" i="173"/>
  <c r="R11" i="173"/>
  <c r="P8" i="173"/>
  <c r="U29" i="173"/>
  <c r="R4" i="173"/>
  <c r="V13" i="173"/>
  <c r="T25" i="173"/>
  <c r="T31" i="173"/>
  <c r="V37" i="173"/>
  <c r="V43" i="173"/>
  <c r="Q11" i="173"/>
  <c r="V28" i="173"/>
  <c r="R2" i="173"/>
  <c r="V22" i="173"/>
  <c r="U35" i="173"/>
  <c r="S4" i="173"/>
  <c r="P19" i="173"/>
  <c r="U25" i="173"/>
  <c r="U31" i="173"/>
  <c r="S17" i="173"/>
  <c r="T4" i="173"/>
  <c r="Q19" i="173"/>
  <c r="V25" i="173"/>
  <c r="V31" i="173"/>
  <c r="S38" i="173"/>
  <c r="U44" i="173"/>
  <c r="S5" i="173"/>
  <c r="Q12" i="173"/>
  <c r="T15" i="173"/>
  <c r="R19" i="173"/>
  <c r="P31" i="173"/>
  <c r="V34" i="173"/>
  <c r="P43" i="173"/>
  <c r="V46" i="173"/>
  <c r="T5" i="173"/>
  <c r="R12" i="173"/>
  <c r="U15" i="173"/>
  <c r="S19" i="173"/>
  <c r="S23" i="173"/>
  <c r="P27" i="173"/>
  <c r="Q31" i="173"/>
  <c r="P39" i="173"/>
  <c r="Q43" i="173"/>
  <c r="P2" i="173"/>
  <c r="U5" i="173"/>
  <c r="S12" i="173"/>
  <c r="T19" i="173"/>
  <c r="T23" i="173"/>
  <c r="Q27" i="173"/>
  <c r="R31" i="173"/>
  <c r="S35" i="173"/>
  <c r="Q39" i="173"/>
  <c r="R43" i="173"/>
  <c r="Q2" i="173"/>
  <c r="V5" i="173"/>
  <c r="T12" i="173"/>
  <c r="P16" i="173"/>
  <c r="U19" i="173"/>
  <c r="U23" i="173"/>
  <c r="R27" i="173"/>
  <c r="S31" i="173"/>
  <c r="T35" i="173"/>
  <c r="R39" i="173"/>
  <c r="S43" i="173"/>
  <c r="U2" i="173"/>
  <c r="V6" i="173"/>
  <c r="R9" i="173"/>
  <c r="T16" i="173"/>
  <c r="T20" i="173"/>
  <c r="Q24" i="173"/>
  <c r="Q28" i="173"/>
  <c r="P36" i="173"/>
  <c r="Q40" i="173"/>
  <c r="V2" i="173"/>
  <c r="S9" i="173"/>
  <c r="R13" i="173"/>
  <c r="U16" i="173"/>
  <c r="U20" i="173"/>
  <c r="R24" i="173"/>
  <c r="R28" i="173"/>
  <c r="S32" i="173"/>
  <c r="Q36" i="173"/>
  <c r="R40" i="173"/>
  <c r="S44" i="173"/>
  <c r="P7" i="173"/>
  <c r="T9" i="173"/>
  <c r="S13" i="173"/>
  <c r="V16" i="173"/>
  <c r="V20" i="173"/>
  <c r="S24" i="173"/>
  <c r="S28" i="173"/>
  <c r="T32" i="173"/>
  <c r="R36" i="173"/>
  <c r="S40" i="173"/>
  <c r="T44" i="173"/>
  <c r="T7" i="173"/>
  <c r="P10" i="173"/>
  <c r="U17" i="173"/>
  <c r="R21" i="173"/>
  <c r="Q25" i="173"/>
  <c r="P33" i="173"/>
  <c r="Q37" i="173"/>
  <c r="P45" i="173"/>
  <c r="P4" i="173"/>
  <c r="U7" i="173"/>
  <c r="S10" i="173"/>
  <c r="V17" i="173"/>
  <c r="S21" i="173"/>
  <c r="R25" i="173"/>
  <c r="S29" i="173"/>
  <c r="Q33" i="173"/>
  <c r="R37" i="173"/>
  <c r="S41" i="173"/>
  <c r="Q45" i="173"/>
  <c r="Q4" i="173"/>
  <c r="T10" i="173"/>
  <c r="P14" i="173"/>
  <c r="T21" i="173"/>
  <c r="S25" i="173"/>
  <c r="T29" i="173"/>
  <c r="R33" i="173"/>
  <c r="S37" i="173"/>
  <c r="T41" i="173"/>
  <c r="R45" i="173"/>
  <c r="G81" i="173"/>
  <c r="G90" i="173"/>
  <c r="G73" i="173"/>
  <c r="G66" i="173"/>
  <c r="G75" i="173"/>
  <c r="G68" i="173"/>
  <c r="G77" i="173"/>
  <c r="G98" i="173"/>
  <c r="G85" i="173"/>
  <c r="G72" i="173"/>
  <c r="G82" i="173"/>
  <c r="G103" i="173"/>
  <c r="G95" i="173"/>
  <c r="G101" i="173"/>
  <c r="G83" i="173"/>
  <c r="G71" i="173"/>
  <c r="G65" i="173"/>
  <c r="G89" i="173"/>
  <c r="T27" i="173"/>
  <c r="T30" i="173"/>
  <c r="T33" i="173"/>
  <c r="T36" i="173"/>
  <c r="T39" i="173"/>
  <c r="T42" i="173"/>
  <c r="T45" i="173"/>
  <c r="U21" i="173"/>
  <c r="V4" i="173"/>
  <c r="V7" i="173"/>
  <c r="Q10" i="173"/>
  <c r="P13" i="173"/>
  <c r="V15" i="173"/>
  <c r="U18" i="173"/>
  <c r="U24" i="173"/>
  <c r="U27" i="173"/>
  <c r="U30" i="173"/>
  <c r="U33" i="173"/>
  <c r="U36" i="173"/>
  <c r="U39" i="173"/>
  <c r="U42" i="173"/>
  <c r="U45" i="173"/>
  <c r="R10" i="173"/>
  <c r="Q13" i="173"/>
  <c r="V18" i="173"/>
  <c r="V21" i="173"/>
  <c r="V24" i="173"/>
  <c r="V27" i="173"/>
  <c r="V30" i="173"/>
  <c r="V33" i="173"/>
  <c r="V36" i="173"/>
  <c r="V39" i="173"/>
  <c r="V42" i="173"/>
  <c r="V45" i="173"/>
  <c r="P3" i="173"/>
  <c r="P6" i="173"/>
  <c r="S11" i="173"/>
  <c r="Q14" i="173"/>
  <c r="Q3" i="173"/>
  <c r="Q6" i="173"/>
  <c r="T11" i="173"/>
  <c r="R14" i="173"/>
  <c r="P17" i="173"/>
  <c r="P20" i="173"/>
  <c r="P23" i="173"/>
  <c r="P26" i="173"/>
  <c r="P29" i="173"/>
  <c r="P32" i="173"/>
  <c r="P35" i="173"/>
  <c r="P38" i="173"/>
  <c r="P41" i="173"/>
  <c r="P44" i="173"/>
  <c r="R3" i="173"/>
  <c r="U11" i="173"/>
  <c r="S14" i="173"/>
  <c r="Q17" i="173"/>
  <c r="Q20" i="173"/>
  <c r="Q23" i="173"/>
  <c r="Q26" i="173"/>
  <c r="Q29" i="173"/>
  <c r="Q32" i="173"/>
  <c r="Q35" i="173"/>
  <c r="Q38" i="173"/>
  <c r="Q41" i="173"/>
  <c r="Q44" i="173"/>
  <c r="R6" i="173"/>
  <c r="S3" i="173"/>
  <c r="S6" i="173"/>
  <c r="V11" i="173"/>
  <c r="T14" i="173"/>
  <c r="R17" i="173"/>
  <c r="R20" i="173"/>
  <c r="R23" i="173"/>
  <c r="R26" i="173"/>
  <c r="R29" i="173"/>
  <c r="R32" i="173"/>
  <c r="R35" i="173"/>
  <c r="R38" i="173"/>
  <c r="R41" i="173"/>
  <c r="R44" i="173"/>
  <c r="U56" i="172"/>
  <c r="R53" i="172"/>
  <c r="T46" i="172"/>
  <c r="U7" i="172"/>
  <c r="T55" i="172"/>
  <c r="P52" i="172"/>
  <c r="U48" i="172"/>
  <c r="R45" i="172"/>
  <c r="T18" i="172"/>
  <c r="S55" i="172"/>
  <c r="T48" i="172"/>
  <c r="V23" i="172"/>
  <c r="Q55" i="172"/>
  <c r="Q52" i="172"/>
  <c r="Q49" i="172"/>
  <c r="Q46" i="172"/>
  <c r="Q57" i="172"/>
  <c r="Q54" i="172"/>
  <c r="Q51" i="172"/>
  <c r="Q48" i="172"/>
  <c r="Q45" i="172"/>
  <c r="P57" i="172"/>
  <c r="P54" i="172"/>
  <c r="P51" i="172"/>
  <c r="P48" i="172"/>
  <c r="P45" i="172"/>
  <c r="S31" i="172"/>
  <c r="U31" i="172"/>
  <c r="R24" i="172"/>
  <c r="R7" i="172"/>
  <c r="P5" i="172"/>
  <c r="S13" i="172"/>
  <c r="P24" i="172"/>
  <c r="Q24" i="172"/>
  <c r="S24" i="172"/>
  <c r="S7" i="172"/>
  <c r="T24" i="172"/>
  <c r="P38" i="172"/>
  <c r="U16" i="172"/>
  <c r="P17" i="172"/>
  <c r="Q39" i="172"/>
  <c r="T17" i="172"/>
  <c r="P31" i="172"/>
  <c r="R40" i="172"/>
  <c r="U17" i="172"/>
  <c r="Q31" i="172"/>
  <c r="T16" i="172"/>
  <c r="U38" i="172"/>
  <c r="V38" i="172"/>
  <c r="V16" i="172"/>
  <c r="P39" i="172"/>
  <c r="S17" i="172"/>
  <c r="T10" i="172"/>
  <c r="R31" i="172"/>
  <c r="G112" i="172"/>
  <c r="G111" i="172"/>
  <c r="G118" i="172"/>
  <c r="G110" i="172"/>
  <c r="G117" i="172"/>
  <c r="G108" i="172"/>
  <c r="G106" i="172"/>
  <c r="G114" i="172"/>
  <c r="V41" i="172"/>
  <c r="P8" i="172"/>
  <c r="T13" i="172"/>
  <c r="Q8" i="172"/>
  <c r="U13" i="172"/>
  <c r="Q27" i="172"/>
  <c r="S34" i="172"/>
  <c r="U41" i="172"/>
  <c r="R8" i="172"/>
  <c r="V13" i="172"/>
  <c r="P20" i="172"/>
  <c r="R27" i="172"/>
  <c r="T34" i="172"/>
  <c r="S8" i="172"/>
  <c r="S20" i="172"/>
  <c r="S27" i="172"/>
  <c r="U34" i="172"/>
  <c r="T20" i="172"/>
  <c r="T27" i="172"/>
  <c r="V34" i="172"/>
  <c r="P42" i="172"/>
  <c r="U20" i="172"/>
  <c r="Q42" i="172"/>
  <c r="T2" i="172"/>
  <c r="Q14" i="172"/>
  <c r="V20" i="172"/>
  <c r="P28" i="172"/>
  <c r="P35" i="172"/>
  <c r="R42" i="172"/>
  <c r="P21" i="172"/>
  <c r="R28" i="172"/>
  <c r="T35" i="172"/>
  <c r="T42" i="172"/>
  <c r="P4" i="172"/>
  <c r="Q21" i="172"/>
  <c r="U35" i="172"/>
  <c r="Q4" i="172"/>
  <c r="V9" i="172"/>
  <c r="R15" i="172"/>
  <c r="V43" i="172"/>
  <c r="P14" i="172"/>
  <c r="R14" i="172"/>
  <c r="Q28" i="172"/>
  <c r="S42" i="172"/>
  <c r="S28" i="172"/>
  <c r="R4" i="172"/>
  <c r="R22" i="172"/>
  <c r="T29" i="172"/>
  <c r="T36" i="172"/>
  <c r="P10" i="172"/>
  <c r="S35" i="172"/>
  <c r="S4" i="172"/>
  <c r="T4" i="172"/>
  <c r="S10" i="172"/>
  <c r="S16" i="172"/>
  <c r="U23" i="172"/>
  <c r="Q5" i="172"/>
  <c r="T8" i="172"/>
  <c r="Q11" i="172"/>
  <c r="U14" i="172"/>
  <c r="V17" i="172"/>
  <c r="R21" i="172"/>
  <c r="P25" i="172"/>
  <c r="T28" i="172"/>
  <c r="P32" i="172"/>
  <c r="V35" i="172"/>
  <c r="R39" i="172"/>
  <c r="P43" i="172"/>
  <c r="R5" i="172"/>
  <c r="U8" i="172"/>
  <c r="R11" i="172"/>
  <c r="V14" i="172"/>
  <c r="S21" i="172"/>
  <c r="Q25" i="172"/>
  <c r="U28" i="172"/>
  <c r="S32" i="172"/>
  <c r="S39" i="172"/>
  <c r="Q43" i="172"/>
  <c r="P2" i="172"/>
  <c r="S5" i="172"/>
  <c r="V8" i="172"/>
  <c r="S11" i="172"/>
  <c r="P18" i="172"/>
  <c r="T21" i="172"/>
  <c r="R25" i="172"/>
  <c r="V28" i="172"/>
  <c r="T32" i="172"/>
  <c r="P36" i="172"/>
  <c r="T39" i="172"/>
  <c r="R43" i="172"/>
  <c r="Q2" i="172"/>
  <c r="T5" i="172"/>
  <c r="T11" i="172"/>
  <c r="Q18" i="172"/>
  <c r="S25" i="172"/>
  <c r="U32" i="172"/>
  <c r="Q36" i="172"/>
  <c r="S43" i="172"/>
  <c r="R2" i="172"/>
  <c r="U5" i="172"/>
  <c r="P15" i="172"/>
  <c r="R18" i="172"/>
  <c r="P22" i="172"/>
  <c r="T25" i="172"/>
  <c r="P29" i="172"/>
  <c r="V32" i="172"/>
  <c r="R36" i="172"/>
  <c r="P40" i="172"/>
  <c r="T43" i="172"/>
  <c r="S2" i="172"/>
  <c r="V5" i="172"/>
  <c r="P12" i="172"/>
  <c r="Q15" i="172"/>
  <c r="S18" i="172"/>
  <c r="Q22" i="172"/>
  <c r="U25" i="172"/>
  <c r="S29" i="172"/>
  <c r="S36" i="172"/>
  <c r="Q40" i="172"/>
  <c r="U43" i="172"/>
  <c r="Q3" i="172"/>
  <c r="V6" i="172"/>
  <c r="R9" i="172"/>
  <c r="V12" i="172"/>
  <c r="S19" i="172"/>
  <c r="U26" i="172"/>
  <c r="Q30" i="172"/>
  <c r="U44" i="172"/>
  <c r="P6" i="172"/>
  <c r="S15" i="172"/>
  <c r="S22" i="172"/>
  <c r="U29" i="172"/>
  <c r="V2" i="172"/>
  <c r="P19" i="172"/>
  <c r="V29" i="172"/>
  <c r="T40" i="172"/>
  <c r="T6" i="172"/>
  <c r="T12" i="172"/>
  <c r="U22" i="172"/>
  <c r="Q37" i="172"/>
  <c r="S44" i="172"/>
  <c r="U6" i="172"/>
  <c r="U12" i="172"/>
  <c r="V22" i="172"/>
  <c r="P30" i="172"/>
  <c r="R37" i="172"/>
  <c r="T44" i="172"/>
  <c r="T3" i="172"/>
  <c r="S9" i="172"/>
  <c r="P16" i="172"/>
  <c r="T19" i="172"/>
  <c r="P23" i="172"/>
  <c r="V26" i="172"/>
  <c r="R30" i="172"/>
  <c r="P34" i="172"/>
  <c r="T37" i="172"/>
  <c r="P41" i="172"/>
  <c r="V44" i="172"/>
  <c r="U2" i="172"/>
  <c r="Q33" i="172"/>
  <c r="Q6" i="172"/>
  <c r="T15" i="172"/>
  <c r="T22" i="172"/>
  <c r="R33" i="172"/>
  <c r="P44" i="172"/>
  <c r="P9" i="172"/>
  <c r="Q19" i="172"/>
  <c r="S26" i="172"/>
  <c r="S33" i="172"/>
  <c r="U40" i="172"/>
  <c r="P3" i="172"/>
  <c r="Q9" i="172"/>
  <c r="R19" i="172"/>
  <c r="T26" i="172"/>
  <c r="T33" i="172"/>
  <c r="V40" i="172"/>
  <c r="S37" i="172"/>
  <c r="U3" i="172"/>
  <c r="P7" i="172"/>
  <c r="T9" i="172"/>
  <c r="Q16" i="172"/>
  <c r="U19" i="172"/>
  <c r="S23" i="172"/>
  <c r="S30" i="172"/>
  <c r="Q34" i="172"/>
  <c r="U37" i="172"/>
  <c r="S41" i="172"/>
  <c r="R12" i="172"/>
  <c r="S40" i="172"/>
  <c r="S12" i="172"/>
  <c r="P26" i="172"/>
  <c r="P37" i="172"/>
  <c r="U15" i="172"/>
  <c r="V3" i="172"/>
  <c r="Q7" i="172"/>
  <c r="U9" i="172"/>
  <c r="R13" i="172"/>
  <c r="R16" i="172"/>
  <c r="V19" i="172"/>
  <c r="T23" i="172"/>
  <c r="P27" i="172"/>
  <c r="T30" i="172"/>
  <c r="R34" i="172"/>
  <c r="V37" i="172"/>
  <c r="T41" i="172"/>
  <c r="G86" i="172"/>
  <c r="G75" i="172"/>
  <c r="G87" i="172"/>
  <c r="G81" i="172"/>
  <c r="G69" i="172"/>
  <c r="G63" i="172"/>
  <c r="G73" i="172"/>
  <c r="G91" i="172"/>
  <c r="R3" i="172"/>
  <c r="R6" i="172"/>
  <c r="U11" i="172"/>
  <c r="S14" i="172"/>
  <c r="Q17" i="172"/>
  <c r="Q20" i="172"/>
  <c r="Q23" i="172"/>
  <c r="Q26" i="172"/>
  <c r="Q29" i="172"/>
  <c r="Q32" i="172"/>
  <c r="Q35" i="172"/>
  <c r="Q38" i="172"/>
  <c r="Q41" i="172"/>
  <c r="Q44" i="172"/>
  <c r="S3" i="172"/>
  <c r="S6" i="172"/>
  <c r="V11" i="172"/>
  <c r="T14" i="172"/>
  <c r="R17" i="172"/>
  <c r="R20" i="172"/>
  <c r="R23" i="172"/>
  <c r="R26" i="172"/>
  <c r="R29" i="172"/>
  <c r="R32" i="172"/>
  <c r="R35" i="172"/>
  <c r="R38" i="172"/>
  <c r="R41" i="172"/>
  <c r="R44" i="172"/>
  <c r="V4" i="172"/>
  <c r="V7" i="172"/>
  <c r="Q10" i="172"/>
  <c r="P13" i="172"/>
  <c r="V15" i="172"/>
  <c r="U18" i="172"/>
  <c r="U21" i="172"/>
  <c r="U24" i="172"/>
  <c r="U27" i="172"/>
  <c r="U30" i="172"/>
  <c r="U33" i="172"/>
  <c r="U36" i="172"/>
  <c r="U39" i="172"/>
  <c r="U42" i="172"/>
  <c r="R10" i="172"/>
  <c r="Q13" i="172"/>
  <c r="V18" i="172"/>
  <c r="V21" i="172"/>
  <c r="V24" i="172"/>
  <c r="V27" i="172"/>
  <c r="V30" i="172"/>
  <c r="V33" i="172"/>
  <c r="V36" i="172"/>
  <c r="V39" i="172"/>
  <c r="G99" i="171"/>
  <c r="G116" i="171"/>
  <c r="G93" i="171"/>
  <c r="R44" i="171"/>
  <c r="S41" i="171"/>
  <c r="S8" i="171"/>
  <c r="U31" i="171"/>
  <c r="P24" i="171"/>
  <c r="T41" i="171"/>
  <c r="R15" i="171"/>
  <c r="Q24" i="171"/>
  <c r="U41" i="171"/>
  <c r="P2" i="171"/>
  <c r="T15" i="171"/>
  <c r="R34" i="171"/>
  <c r="Q2" i="171"/>
  <c r="R25" i="171"/>
  <c r="S34" i="171"/>
  <c r="P42" i="171"/>
  <c r="S2" i="171"/>
  <c r="S25" i="171"/>
  <c r="T34" i="171"/>
  <c r="T2" i="171"/>
  <c r="P16" i="171"/>
  <c r="U25" i="171"/>
  <c r="U34" i="171"/>
  <c r="T9" i="171"/>
  <c r="R16" i="171"/>
  <c r="T44" i="171"/>
  <c r="T3" i="171"/>
  <c r="U9" i="171"/>
  <c r="T16" i="171"/>
  <c r="S26" i="171"/>
  <c r="T35" i="171"/>
  <c r="U44" i="171"/>
  <c r="V3" i="171"/>
  <c r="U16" i="171"/>
  <c r="U26" i="171"/>
  <c r="U35" i="171"/>
  <c r="V44" i="171"/>
  <c r="S10" i="171"/>
  <c r="V26" i="171"/>
  <c r="P4" i="171"/>
  <c r="P36" i="171"/>
  <c r="P7" i="171"/>
  <c r="V20" i="171"/>
  <c r="Q30" i="171"/>
  <c r="Q39" i="171"/>
  <c r="T7" i="171"/>
  <c r="R4" i="171"/>
  <c r="T4" i="171"/>
  <c r="R19" i="171"/>
  <c r="P37" i="171"/>
  <c r="Q12" i="171"/>
  <c r="T29" i="171"/>
  <c r="U6" i="171"/>
  <c r="U29" i="171"/>
  <c r="V6" i="171"/>
  <c r="S20" i="171"/>
  <c r="U20" i="171"/>
  <c r="P39" i="171"/>
  <c r="Q21" i="171"/>
  <c r="P31" i="171"/>
  <c r="P40" i="171"/>
  <c r="P11" i="171"/>
  <c r="Q36" i="171"/>
  <c r="P19" i="171"/>
  <c r="P12" i="171"/>
  <c r="S29" i="171"/>
  <c r="S19" i="171"/>
  <c r="R37" i="171"/>
  <c r="S12" i="171"/>
  <c r="T12" i="171"/>
  <c r="P30" i="171"/>
  <c r="Q8" i="171"/>
  <c r="U14" i="171"/>
  <c r="R31" i="171"/>
  <c r="U40" i="171"/>
  <c r="V8" i="171"/>
  <c r="V23" i="171"/>
  <c r="S31" i="171"/>
  <c r="T40" i="171"/>
  <c r="G110" i="171"/>
  <c r="G86" i="171"/>
  <c r="G97" i="171"/>
  <c r="G80" i="171"/>
  <c r="G91" i="171"/>
  <c r="R9" i="171"/>
  <c r="Q18" i="171"/>
  <c r="T23" i="171"/>
  <c r="T28" i="171"/>
  <c r="V38" i="171"/>
  <c r="T6" i="171"/>
  <c r="S9" i="171"/>
  <c r="S18" i="171"/>
  <c r="U23" i="171"/>
  <c r="U28" i="171"/>
  <c r="P34" i="171"/>
  <c r="S44" i="171"/>
  <c r="U2" i="171"/>
  <c r="Q7" i="171"/>
  <c r="T10" i="171"/>
  <c r="P15" i="171"/>
  <c r="T19" i="171"/>
  <c r="V29" i="171"/>
  <c r="R40" i="171"/>
  <c r="P45" i="171"/>
  <c r="V2" i="171"/>
  <c r="R7" i="171"/>
  <c r="V10" i="171"/>
  <c r="Q15" i="171"/>
  <c r="U19" i="171"/>
  <c r="P25" i="171"/>
  <c r="S35" i="171"/>
  <c r="S40" i="171"/>
  <c r="Q45" i="171"/>
  <c r="U3" i="171"/>
  <c r="P8" i="171"/>
  <c r="Q11" i="171"/>
  <c r="T20" i="171"/>
  <c r="T25" i="171"/>
  <c r="V35" i="171"/>
  <c r="G108" i="171"/>
  <c r="G111" i="171"/>
  <c r="G65" i="171"/>
  <c r="Q4" i="171"/>
  <c r="U8" i="171"/>
  <c r="R12" i="171"/>
  <c r="S16" i="171"/>
  <c r="P21" i="171"/>
  <c r="T26" i="171"/>
  <c r="T31" i="171"/>
  <c r="V41" i="171"/>
  <c r="G77" i="171"/>
  <c r="G98" i="171"/>
  <c r="S32" i="171"/>
  <c r="P5" i="171"/>
  <c r="R22" i="171"/>
  <c r="Q5" i="171"/>
  <c r="T17" i="171"/>
  <c r="S22" i="171"/>
  <c r="Q27" i="171"/>
  <c r="U32" i="171"/>
  <c r="U37" i="171"/>
  <c r="P43" i="171"/>
  <c r="P22" i="171"/>
  <c r="S17" i="171"/>
  <c r="T32" i="171"/>
  <c r="S5" i="171"/>
  <c r="R13" i="171"/>
  <c r="U17" i="171"/>
  <c r="T22" i="171"/>
  <c r="V32" i="171"/>
  <c r="R43" i="171"/>
  <c r="G101" i="171"/>
  <c r="T5" i="171"/>
  <c r="S13" i="171"/>
  <c r="V17" i="171"/>
  <c r="U22" i="171"/>
  <c r="P28" i="171"/>
  <c r="S38" i="171"/>
  <c r="S43" i="171"/>
  <c r="Q42" i="171"/>
  <c r="T37" i="171"/>
  <c r="U5" i="171"/>
  <c r="P9" i="171"/>
  <c r="U13" i="171"/>
  <c r="R28" i="171"/>
  <c r="P33" i="171"/>
  <c r="T38" i="171"/>
  <c r="T43" i="171"/>
  <c r="G102" i="171"/>
  <c r="U12" i="171"/>
  <c r="S37" i="171"/>
  <c r="P27" i="171"/>
  <c r="V5" i="171"/>
  <c r="Q9" i="171"/>
  <c r="V13" i="171"/>
  <c r="P18" i="171"/>
  <c r="S23" i="171"/>
  <c r="S28" i="171"/>
  <c r="Q33" i="171"/>
  <c r="U38" i="171"/>
  <c r="U43" i="171"/>
  <c r="G117" i="171"/>
  <c r="G95" i="171"/>
  <c r="G71" i="171"/>
  <c r="G94" i="171"/>
  <c r="G103" i="171"/>
  <c r="G67" i="171"/>
  <c r="G115" i="171"/>
  <c r="G100" i="171"/>
  <c r="G114" i="171"/>
  <c r="G121" i="171"/>
  <c r="G113" i="171"/>
  <c r="G88" i="171"/>
  <c r="G112" i="171"/>
  <c r="G120" i="171"/>
  <c r="G75" i="171"/>
  <c r="G82" i="171"/>
  <c r="G89" i="171"/>
  <c r="G119" i="171"/>
  <c r="G118" i="171"/>
  <c r="G76" i="171"/>
  <c r="G109" i="171"/>
  <c r="G70" i="171"/>
  <c r="G105" i="171"/>
  <c r="G106" i="171"/>
  <c r="G69" i="171"/>
  <c r="S4" i="171"/>
  <c r="S7" i="171"/>
  <c r="V9" i="171"/>
  <c r="V12" i="171"/>
  <c r="S15" i="171"/>
  <c r="R18" i="171"/>
  <c r="R21" i="171"/>
  <c r="R24" i="171"/>
  <c r="R27" i="171"/>
  <c r="R30" i="171"/>
  <c r="R33" i="171"/>
  <c r="R36" i="171"/>
  <c r="R39" i="171"/>
  <c r="R42" i="171"/>
  <c r="R45" i="171"/>
  <c r="S21" i="171"/>
  <c r="S24" i="171"/>
  <c r="S27" i="171"/>
  <c r="S30" i="171"/>
  <c r="S33" i="171"/>
  <c r="S36" i="171"/>
  <c r="S39" i="171"/>
  <c r="S42" i="171"/>
  <c r="S45" i="171"/>
  <c r="U4" i="171"/>
  <c r="U7" i="171"/>
  <c r="P10" i="171"/>
  <c r="U15" i="171"/>
  <c r="T18" i="171"/>
  <c r="T21" i="171"/>
  <c r="T24" i="171"/>
  <c r="T27" i="171"/>
  <c r="T30" i="171"/>
  <c r="T33" i="171"/>
  <c r="T36" i="171"/>
  <c r="T39" i="171"/>
  <c r="T42" i="171"/>
  <c r="T45" i="171"/>
  <c r="V4" i="171"/>
  <c r="V7" i="171"/>
  <c r="Q10" i="171"/>
  <c r="P13" i="171"/>
  <c r="V15" i="171"/>
  <c r="U18" i="171"/>
  <c r="U21" i="171"/>
  <c r="U24" i="171"/>
  <c r="U27" i="171"/>
  <c r="U30" i="171"/>
  <c r="U33" i="171"/>
  <c r="U36" i="171"/>
  <c r="U39" i="171"/>
  <c r="U42" i="171"/>
  <c r="U45" i="171"/>
  <c r="R10" i="171"/>
  <c r="Q13" i="171"/>
  <c r="V18" i="171"/>
  <c r="V21" i="171"/>
  <c r="V24" i="171"/>
  <c r="V27" i="171"/>
  <c r="V30" i="171"/>
  <c r="V33" i="171"/>
  <c r="V36" i="171"/>
  <c r="V39" i="171"/>
  <c r="V42" i="171"/>
  <c r="V45" i="171"/>
  <c r="R2" i="171"/>
  <c r="R5" i="171"/>
  <c r="R8" i="171"/>
  <c r="U10" i="171"/>
  <c r="T13" i="171"/>
  <c r="Q16" i="171"/>
  <c r="Q19" i="171"/>
  <c r="Q22" i="171"/>
  <c r="Q25" i="171"/>
  <c r="Q28" i="171"/>
  <c r="Q31" i="171"/>
  <c r="Q34" i="171"/>
  <c r="Q37" i="171"/>
  <c r="Q40" i="171"/>
  <c r="Q43" i="171"/>
  <c r="P3" i="171"/>
  <c r="P6" i="171"/>
  <c r="S11" i="171"/>
  <c r="Q14" i="171"/>
  <c r="P14" i="171"/>
  <c r="V25" i="171"/>
  <c r="V43" i="171"/>
  <c r="Q3" i="171"/>
  <c r="Q6" i="171"/>
  <c r="T11" i="171"/>
  <c r="R14" i="171"/>
  <c r="P17" i="171"/>
  <c r="P20" i="171"/>
  <c r="P23" i="171"/>
  <c r="P26" i="171"/>
  <c r="P29" i="171"/>
  <c r="P32" i="171"/>
  <c r="P35" i="171"/>
  <c r="P38" i="171"/>
  <c r="P41" i="171"/>
  <c r="P44" i="171"/>
  <c r="V16" i="171"/>
  <c r="V22" i="171"/>
  <c r="V31" i="171"/>
  <c r="V34" i="171"/>
  <c r="V40" i="171"/>
  <c r="R3" i="171"/>
  <c r="R6" i="171"/>
  <c r="U11" i="171"/>
  <c r="S14" i="171"/>
  <c r="Q17" i="171"/>
  <c r="Q20" i="171"/>
  <c r="Q23" i="171"/>
  <c r="Q26" i="171"/>
  <c r="Q29" i="171"/>
  <c r="Q32" i="171"/>
  <c r="Q35" i="171"/>
  <c r="Q38" i="171"/>
  <c r="Q41" i="171"/>
  <c r="Q44" i="171"/>
  <c r="R11" i="171"/>
  <c r="V19" i="171"/>
  <c r="V28" i="171"/>
  <c r="V37" i="171"/>
  <c r="S3" i="171"/>
  <c r="S6" i="171"/>
  <c r="V11" i="171"/>
  <c r="T14" i="171"/>
  <c r="R17" i="171"/>
  <c r="R20" i="171"/>
  <c r="R23" i="171"/>
  <c r="R26" i="171"/>
  <c r="R29" i="171"/>
  <c r="R32" i="171"/>
  <c r="R35" i="171"/>
  <c r="R38" i="171"/>
  <c r="R41" i="171"/>
  <c r="Q40" i="170"/>
  <c r="R40" i="170"/>
  <c r="V22" i="170"/>
  <c r="S40" i="170"/>
  <c r="P23" i="170"/>
  <c r="V32" i="170"/>
  <c r="U32" i="170"/>
  <c r="R33" i="170"/>
  <c r="P4" i="170"/>
  <c r="S33" i="170"/>
  <c r="P10" i="170"/>
  <c r="R36" i="170"/>
  <c r="S36" i="170"/>
  <c r="R13" i="170"/>
  <c r="S7" i="170"/>
  <c r="T13" i="170"/>
  <c r="U29" i="170"/>
  <c r="P16" i="170"/>
  <c r="Q16" i="170"/>
  <c r="R16" i="170"/>
  <c r="S16" i="170"/>
  <c r="T16" i="170"/>
  <c r="Q26" i="170"/>
  <c r="S4" i="170"/>
  <c r="P36" i="170"/>
  <c r="Q36" i="170"/>
  <c r="Q29" i="170"/>
  <c r="R29" i="170"/>
  <c r="R7" i="170"/>
  <c r="S13" i="170"/>
  <c r="S29" i="170"/>
  <c r="T7" i="170"/>
  <c r="U13" i="170"/>
  <c r="V29" i="170"/>
  <c r="S39" i="170"/>
  <c r="T9" i="170"/>
  <c r="R4" i="170"/>
  <c r="R26" i="170"/>
  <c r="P19" i="170"/>
  <c r="U26" i="170"/>
  <c r="V12" i="170"/>
  <c r="P7" i="170"/>
  <c r="V19" i="170"/>
  <c r="U7" i="170"/>
  <c r="S22" i="170"/>
  <c r="T39" i="170"/>
  <c r="P33" i="170"/>
  <c r="Q33" i="170"/>
  <c r="U9" i="170"/>
  <c r="V9" i="170"/>
  <c r="P26" i="170"/>
  <c r="S10" i="170"/>
  <c r="T4" i="170"/>
  <c r="Q19" i="170"/>
  <c r="R19" i="170"/>
  <c r="S19" i="170"/>
  <c r="T19" i="170"/>
  <c r="P37" i="170"/>
  <c r="T22" i="170"/>
  <c r="P30" i="170"/>
  <c r="Q23" i="170"/>
  <c r="V25" i="170"/>
  <c r="Q4" i="170"/>
  <c r="T10" i="170"/>
  <c r="S26" i="170"/>
  <c r="U4" i="170"/>
  <c r="V43" i="170"/>
  <c r="T36" i="170"/>
  <c r="U19" i="170"/>
  <c r="Q7" i="170"/>
  <c r="U22" i="170"/>
  <c r="P40" i="170"/>
  <c r="P8" i="170"/>
  <c r="R23" i="170"/>
  <c r="T40" i="170"/>
  <c r="Q8" i="170"/>
  <c r="R37" i="170"/>
  <c r="P2" i="170"/>
  <c r="P27" i="170"/>
  <c r="V40" i="170"/>
  <c r="P11" i="170"/>
  <c r="T30" i="170"/>
  <c r="R2" i="170"/>
  <c r="Q11" i="170"/>
  <c r="Q17" i="170"/>
  <c r="R27" i="170"/>
  <c r="U37" i="170"/>
  <c r="S2" i="170"/>
  <c r="R17" i="170"/>
  <c r="S34" i="170"/>
  <c r="V8" i="170"/>
  <c r="S17" i="170"/>
  <c r="Q31" i="170"/>
  <c r="R41" i="170"/>
  <c r="V5" i="170"/>
  <c r="T11" i="170"/>
  <c r="R31" i="170"/>
  <c r="V2" i="170"/>
  <c r="U14" i="170"/>
  <c r="P28" i="170"/>
  <c r="U41" i="170"/>
  <c r="P6" i="170"/>
  <c r="V11" i="170"/>
  <c r="V17" i="170"/>
  <c r="Q28" i="170"/>
  <c r="R38" i="170"/>
  <c r="U31" i="170"/>
  <c r="S28" i="170"/>
  <c r="U38" i="170"/>
  <c r="R3" i="170"/>
  <c r="Q12" i="170"/>
  <c r="Q18" i="170"/>
  <c r="V38" i="170"/>
  <c r="S3" i="170"/>
  <c r="T6" i="170"/>
  <c r="P9" i="170"/>
  <c r="R12" i="170"/>
  <c r="Q15" i="170"/>
  <c r="R18" i="170"/>
  <c r="R25" i="170"/>
  <c r="U28" i="170"/>
  <c r="P32" i="170"/>
  <c r="S35" i="170"/>
  <c r="Q37" i="170"/>
  <c r="P5" i="170"/>
  <c r="V16" i="170"/>
  <c r="R30" i="170"/>
  <c r="Q5" i="170"/>
  <c r="S30" i="170"/>
  <c r="Q2" i="170"/>
  <c r="P14" i="170"/>
  <c r="V23" i="170"/>
  <c r="T37" i="170"/>
  <c r="S5" i="170"/>
  <c r="Q14" i="170"/>
  <c r="R34" i="170"/>
  <c r="T5" i="170"/>
  <c r="U20" i="170"/>
  <c r="Q41" i="170"/>
  <c r="S11" i="170"/>
  <c r="Q24" i="170"/>
  <c r="T14" i="170"/>
  <c r="S41" i="170"/>
  <c r="U11" i="170"/>
  <c r="P21" i="170"/>
  <c r="V34" i="170"/>
  <c r="T24" i="170"/>
  <c r="V41" i="170"/>
  <c r="Q6" i="170"/>
  <c r="R28" i="170"/>
  <c r="S38" i="170"/>
  <c r="R6" i="170"/>
  <c r="P25" i="170"/>
  <c r="Q35" i="170"/>
  <c r="P15" i="170"/>
  <c r="T28" i="170"/>
  <c r="R35" i="170"/>
  <c r="T3" i="170"/>
  <c r="U6" i="170"/>
  <c r="Q9" i="170"/>
  <c r="S12" i="170"/>
  <c r="R15" i="170"/>
  <c r="S18" i="170"/>
  <c r="P22" i="170"/>
  <c r="S25" i="170"/>
  <c r="V28" i="170"/>
  <c r="Q32" i="170"/>
  <c r="U35" i="170"/>
  <c r="P39" i="170"/>
  <c r="U10" i="170"/>
  <c r="U16" i="170"/>
  <c r="Q30" i="170"/>
  <c r="P20" i="170"/>
  <c r="U40" i="170"/>
  <c r="R8" i="170"/>
  <c r="Q20" i="170"/>
  <c r="P34" i="170"/>
  <c r="R5" i="170"/>
  <c r="U8" i="170"/>
  <c r="R14" i="170"/>
  <c r="P24" i="170"/>
  <c r="P31" i="170"/>
  <c r="V37" i="170"/>
  <c r="U5" i="170"/>
  <c r="T27" i="170"/>
  <c r="V44" i="170"/>
  <c r="U2" i="170"/>
  <c r="R24" i="170"/>
  <c r="U34" i="170"/>
  <c r="U17" i="170"/>
  <c r="S31" i="170"/>
  <c r="V14" i="170"/>
  <c r="T31" i="170"/>
  <c r="P3" i="170"/>
  <c r="R21" i="170"/>
  <c r="P35" i="170"/>
  <c r="P12" i="170"/>
  <c r="S21" i="170"/>
  <c r="V31" i="170"/>
  <c r="T21" i="170"/>
  <c r="U3" i="170"/>
  <c r="V6" i="170"/>
  <c r="R9" i="170"/>
  <c r="T12" i="170"/>
  <c r="S15" i="170"/>
  <c r="T18" i="170"/>
  <c r="Q22" i="170"/>
  <c r="T25" i="170"/>
  <c r="R32" i="170"/>
  <c r="V35" i="170"/>
  <c r="Q39" i="170"/>
  <c r="V13" i="170"/>
  <c r="V26" i="170"/>
  <c r="T33" i="170"/>
  <c r="V10" i="170"/>
  <c r="S23" i="170"/>
  <c r="U23" i="170"/>
  <c r="S37" i="170"/>
  <c r="S8" i="170"/>
  <c r="P17" i="170"/>
  <c r="R20" i="170"/>
  <c r="Q27" i="170"/>
  <c r="Q34" i="170"/>
  <c r="T8" i="170"/>
  <c r="S20" i="170"/>
  <c r="P41" i="170"/>
  <c r="R11" i="170"/>
  <c r="S27" i="170"/>
  <c r="T2" i="170"/>
  <c r="S14" i="170"/>
  <c r="V20" i="170"/>
  <c r="T34" i="170"/>
  <c r="T17" i="170"/>
  <c r="P38" i="170"/>
  <c r="S24" i="170"/>
  <c r="Q38" i="170"/>
  <c r="Q21" i="170"/>
  <c r="Q3" i="170"/>
  <c r="P18" i="170"/>
  <c r="S6" i="170"/>
  <c r="Q25" i="170"/>
  <c r="V3" i="170"/>
  <c r="S9" i="170"/>
  <c r="U12" i="170"/>
  <c r="T15" i="170"/>
  <c r="R22" i="170"/>
  <c r="U25" i="170"/>
  <c r="P29" i="170"/>
  <c r="S32" i="170"/>
  <c r="R39" i="170"/>
  <c r="G63" i="170"/>
  <c r="G85" i="170"/>
  <c r="G60" i="170"/>
  <c r="G72" i="170"/>
  <c r="T20" i="170"/>
  <c r="T23" i="170"/>
  <c r="T26" i="170"/>
  <c r="T29" i="170"/>
  <c r="T32" i="170"/>
  <c r="T35" i="170"/>
  <c r="T38" i="170"/>
  <c r="T41" i="170"/>
  <c r="V4" i="170"/>
  <c r="V7" i="170"/>
  <c r="Q10" i="170"/>
  <c r="P13" i="170"/>
  <c r="V15" i="170"/>
  <c r="U18" i="170"/>
  <c r="U21" i="170"/>
  <c r="U24" i="170"/>
  <c r="U27" i="170"/>
  <c r="U30" i="170"/>
  <c r="U33" i="170"/>
  <c r="U36" i="170"/>
  <c r="U39" i="170"/>
  <c r="R10" i="170"/>
  <c r="Q13" i="170"/>
  <c r="V18" i="170"/>
  <c r="V21" i="170"/>
  <c r="V24" i="170"/>
  <c r="V27" i="170"/>
  <c r="V30" i="170"/>
  <c r="V33" i="170"/>
  <c r="V36" i="170"/>
  <c r="V39" i="170"/>
  <c r="V42" i="169"/>
  <c r="Q22" i="169"/>
  <c r="T17" i="169"/>
  <c r="U17" i="169"/>
  <c r="V25" i="169"/>
  <c r="V17" i="169"/>
  <c r="Q26" i="169"/>
  <c r="V22" i="169"/>
  <c r="S8" i="169"/>
  <c r="T8" i="169"/>
  <c r="P23" i="169"/>
  <c r="U8" i="169"/>
  <c r="S33" i="169"/>
  <c r="U2" i="169"/>
  <c r="U23" i="169"/>
  <c r="V2" i="169"/>
  <c r="V23" i="169"/>
  <c r="T2" i="169"/>
  <c r="U37" i="169"/>
  <c r="U25" i="169"/>
  <c r="P9" i="169"/>
  <c r="U28" i="169"/>
  <c r="T10" i="169"/>
  <c r="U10" i="169"/>
  <c r="V10" i="169"/>
  <c r="U34" i="169"/>
  <c r="V37" i="169"/>
  <c r="T28" i="169"/>
  <c r="V14" i="169"/>
  <c r="P34" i="169"/>
  <c r="V12" i="169"/>
  <c r="V34" i="169"/>
  <c r="P22" i="169"/>
  <c r="R22" i="169"/>
  <c r="T16" i="169"/>
  <c r="U16" i="169"/>
  <c r="U29" i="169"/>
  <c r="V28" i="169"/>
  <c r="V29" i="169"/>
  <c r="S11" i="169"/>
  <c r="T14" i="169"/>
  <c r="T29" i="169"/>
  <c r="T11" i="169"/>
  <c r="U14" i="169"/>
  <c r="V13" i="169"/>
  <c r="U11" i="169"/>
  <c r="T32" i="169"/>
  <c r="T35" i="169"/>
  <c r="P18" i="169"/>
  <c r="P4" i="169"/>
  <c r="U35" i="169"/>
  <c r="Q18" i="169"/>
  <c r="V6" i="169"/>
  <c r="P20" i="169"/>
  <c r="T38" i="169"/>
  <c r="T4" i="169"/>
  <c r="R18" i="169"/>
  <c r="P41" i="169"/>
  <c r="U38" i="169"/>
  <c r="V38" i="169"/>
  <c r="Q41" i="169"/>
  <c r="P8" i="169"/>
  <c r="Q5" i="169"/>
  <c r="S41" i="169"/>
  <c r="T31" i="169"/>
  <c r="P31" i="169"/>
  <c r="T25" i="169"/>
  <c r="P25" i="169"/>
  <c r="P37" i="169"/>
  <c r="T37" i="169"/>
  <c r="T19" i="169"/>
  <c r="P19" i="169"/>
  <c r="T7" i="169"/>
  <c r="P7" i="169"/>
  <c r="R5" i="169"/>
  <c r="V11" i="169"/>
  <c r="S18" i="169"/>
  <c r="P30" i="169"/>
  <c r="T41" i="169"/>
  <c r="P2" i="169"/>
  <c r="P12" i="169"/>
  <c r="T26" i="169"/>
  <c r="S34" i="169"/>
  <c r="V41" i="169"/>
  <c r="Q2" i="169"/>
  <c r="Q12" i="169"/>
  <c r="Q19" i="169"/>
  <c r="U26" i="169"/>
  <c r="V5" i="169"/>
  <c r="R12" i="169"/>
  <c r="T15" i="169"/>
  <c r="Q23" i="169"/>
  <c r="V26" i="169"/>
  <c r="S38" i="169"/>
  <c r="P42" i="169"/>
  <c r="S2" i="169"/>
  <c r="S12" i="169"/>
  <c r="R23" i="169"/>
  <c r="Q42" i="169"/>
  <c r="P6" i="169"/>
  <c r="T12" i="169"/>
  <c r="P16" i="169"/>
  <c r="U19" i="169"/>
  <c r="S23" i="169"/>
  <c r="P27" i="169"/>
  <c r="R31" i="169"/>
  <c r="P35" i="169"/>
  <c r="R42" i="169"/>
  <c r="Q6" i="169"/>
  <c r="Q16" i="169"/>
  <c r="V19" i="169"/>
  <c r="T23" i="169"/>
  <c r="Q27" i="169"/>
  <c r="S31" i="169"/>
  <c r="Q35" i="169"/>
  <c r="S42" i="169"/>
  <c r="Q30" i="169"/>
  <c r="R6" i="169"/>
  <c r="Q9" i="169"/>
  <c r="R16" i="169"/>
  <c r="R27" i="169"/>
  <c r="R35" i="169"/>
  <c r="V8" i="169"/>
  <c r="P15" i="169"/>
  <c r="S22" i="169"/>
  <c r="R26" i="169"/>
  <c r="Q34" i="169"/>
  <c r="S5" i="169"/>
  <c r="Q15" i="169"/>
  <c r="S26" i="169"/>
  <c r="R34" i="169"/>
  <c r="P38" i="169"/>
  <c r="U41" i="169"/>
  <c r="T5" i="169"/>
  <c r="R15" i="169"/>
  <c r="R30" i="169"/>
  <c r="Q38" i="169"/>
  <c r="U5" i="169"/>
  <c r="S15" i="169"/>
  <c r="S30" i="169"/>
  <c r="R38" i="169"/>
  <c r="R2" i="169"/>
  <c r="S19" i="169"/>
  <c r="S6" i="169"/>
  <c r="S9" i="169"/>
  <c r="R13" i="169"/>
  <c r="S16" i="169"/>
  <c r="U31" i="169"/>
  <c r="S35" i="169"/>
  <c r="P39" i="169"/>
  <c r="P43" i="169"/>
  <c r="P3" i="169"/>
  <c r="T6" i="169"/>
  <c r="T9" i="169"/>
  <c r="S13" i="169"/>
  <c r="Q20" i="169"/>
  <c r="P28" i="169"/>
  <c r="V31" i="169"/>
  <c r="Q39" i="169"/>
  <c r="S43" i="169"/>
  <c r="T13" i="169"/>
  <c r="Q3" i="169"/>
  <c r="U9" i="169"/>
  <c r="R20" i="169"/>
  <c r="Q24" i="169"/>
  <c r="Q28" i="169"/>
  <c r="R39" i="169"/>
  <c r="T43" i="169"/>
  <c r="R3" i="169"/>
  <c r="V9" i="169"/>
  <c r="V16" i="169"/>
  <c r="S20" i="169"/>
  <c r="R24" i="169"/>
  <c r="P32" i="169"/>
  <c r="V35" i="169"/>
  <c r="U43" i="169"/>
  <c r="T3" i="169"/>
  <c r="Q7" i="169"/>
  <c r="P17" i="169"/>
  <c r="R32" i="169"/>
  <c r="Q40" i="169"/>
  <c r="V3" i="169"/>
  <c r="Q17" i="169"/>
  <c r="S32" i="169"/>
  <c r="R40" i="169"/>
  <c r="S7" i="169"/>
  <c r="P14" i="169"/>
  <c r="S17" i="169"/>
  <c r="Q25" i="169"/>
  <c r="S40" i="169"/>
  <c r="R14" i="169"/>
  <c r="R25" i="169"/>
  <c r="T40" i="169"/>
  <c r="S25" i="169"/>
  <c r="P33" i="169"/>
  <c r="S44" i="169"/>
  <c r="R4" i="169"/>
  <c r="Q11" i="169"/>
  <c r="S21" i="169"/>
  <c r="Q29" i="169"/>
  <c r="Q33" i="169"/>
  <c r="R37" i="169"/>
  <c r="V40" i="169"/>
  <c r="T44" i="169"/>
  <c r="U13" i="169"/>
  <c r="R28" i="169"/>
  <c r="T20" i="169"/>
  <c r="S24" i="169"/>
  <c r="S28" i="169"/>
  <c r="Q32" i="169"/>
  <c r="P40" i="169"/>
  <c r="V43" i="169"/>
  <c r="U3" i="169"/>
  <c r="S10" i="169"/>
  <c r="V20" i="169"/>
  <c r="R36" i="169"/>
  <c r="R7" i="169"/>
  <c r="S36" i="169"/>
  <c r="P44" i="169"/>
  <c r="P21" i="169"/>
  <c r="Q44" i="169"/>
  <c r="Q21" i="169"/>
  <c r="R44" i="169"/>
  <c r="Q4" i="169"/>
  <c r="S14" i="169"/>
  <c r="R21" i="169"/>
  <c r="P29" i="169"/>
  <c r="Q37" i="169"/>
  <c r="U40" i="169"/>
  <c r="S4" i="169"/>
  <c r="Q8" i="169"/>
  <c r="R11" i="169"/>
  <c r="R33" i="169"/>
  <c r="S37" i="169"/>
  <c r="V44" i="169"/>
  <c r="P5" i="169"/>
  <c r="R8" i="169"/>
  <c r="P11" i="169"/>
  <c r="Q14" i="169"/>
  <c r="R17" i="169"/>
  <c r="U20" i="169"/>
  <c r="P24" i="169"/>
  <c r="S27" i="169"/>
  <c r="Q31" i="169"/>
  <c r="T34" i="169"/>
  <c r="R41" i="169"/>
  <c r="U44" i="169"/>
  <c r="T22" i="169"/>
  <c r="R29" i="169"/>
  <c r="U32" i="169"/>
  <c r="P36" i="169"/>
  <c r="S39" i="169"/>
  <c r="Q43" i="169"/>
  <c r="S3" i="169"/>
  <c r="U6" i="169"/>
  <c r="R9" i="169"/>
  <c r="U12" i="169"/>
  <c r="R19" i="169"/>
  <c r="U22" i="169"/>
  <c r="P26" i="169"/>
  <c r="S29" i="169"/>
  <c r="V32" i="169"/>
  <c r="Q36" i="169"/>
  <c r="R43" i="169"/>
  <c r="G111" i="169"/>
  <c r="G105" i="169"/>
  <c r="G99" i="169"/>
  <c r="G96" i="169"/>
  <c r="G108" i="169"/>
  <c r="G102" i="169"/>
  <c r="G93" i="169"/>
  <c r="U4" i="169"/>
  <c r="U7" i="169"/>
  <c r="P10" i="169"/>
  <c r="U15" i="169"/>
  <c r="T18" i="169"/>
  <c r="T21" i="169"/>
  <c r="T24" i="169"/>
  <c r="T27" i="169"/>
  <c r="T30" i="169"/>
  <c r="T33" i="169"/>
  <c r="T36" i="169"/>
  <c r="T39" i="169"/>
  <c r="T42" i="169"/>
  <c r="V4" i="169"/>
  <c r="V7" i="169"/>
  <c r="Q10" i="169"/>
  <c r="P13" i="169"/>
  <c r="V15" i="169"/>
  <c r="U18" i="169"/>
  <c r="U21" i="169"/>
  <c r="U24" i="169"/>
  <c r="U27" i="169"/>
  <c r="U30" i="169"/>
  <c r="U33" i="169"/>
  <c r="U36" i="169"/>
  <c r="U39" i="169"/>
  <c r="U42" i="169"/>
  <c r="R10" i="169"/>
  <c r="Q13" i="169"/>
  <c r="V18" i="169"/>
  <c r="V21" i="169"/>
  <c r="V24" i="169"/>
  <c r="V27" i="169"/>
  <c r="V30" i="169"/>
  <c r="V33" i="169"/>
  <c r="V36" i="169"/>
  <c r="V39" i="169"/>
  <c r="Q15" i="168"/>
  <c r="U22" i="168"/>
  <c r="T30" i="168"/>
  <c r="R38" i="168"/>
  <c r="R15" i="168"/>
  <c r="V22" i="168"/>
  <c r="S38" i="168"/>
  <c r="S15" i="168"/>
  <c r="P31" i="168"/>
  <c r="T38" i="168"/>
  <c r="T15" i="168"/>
  <c r="P23" i="168"/>
  <c r="Q31" i="168"/>
  <c r="U38" i="168"/>
  <c r="P4" i="168"/>
  <c r="U15" i="168"/>
  <c r="R23" i="168"/>
  <c r="T31" i="168"/>
  <c r="V38" i="168"/>
  <c r="Q4" i="168"/>
  <c r="U23" i="168"/>
  <c r="U31" i="168"/>
  <c r="R4" i="168"/>
  <c r="Q11" i="168"/>
  <c r="P39" i="168"/>
  <c r="S4" i="168"/>
  <c r="R11" i="168"/>
  <c r="Q39" i="168"/>
  <c r="T4" i="168"/>
  <c r="S11" i="168"/>
  <c r="R18" i="168"/>
  <c r="U7" i="168"/>
  <c r="T19" i="168"/>
  <c r="R27" i="168"/>
  <c r="Q35" i="168"/>
  <c r="T42" i="168"/>
  <c r="S12" i="168"/>
  <c r="S27" i="168"/>
  <c r="R35" i="168"/>
  <c r="U4" i="168"/>
  <c r="T11" i="168"/>
  <c r="S18" i="168"/>
  <c r="P26" i="168"/>
  <c r="P34" i="168"/>
  <c r="U11" i="168"/>
  <c r="T18" i="168"/>
  <c r="Q26" i="168"/>
  <c r="Q34" i="168"/>
  <c r="V41" i="168"/>
  <c r="P5" i="168"/>
  <c r="V11" i="168"/>
  <c r="R26" i="168"/>
  <c r="R34" i="168"/>
  <c r="S5" i="168"/>
  <c r="P19" i="168"/>
  <c r="T26" i="168"/>
  <c r="S34" i="168"/>
  <c r="P42" i="168"/>
  <c r="T5" i="168"/>
  <c r="R12" i="168"/>
  <c r="Q19" i="168"/>
  <c r="V34" i="168"/>
  <c r="Q42" i="168"/>
  <c r="R19" i="168"/>
  <c r="P27" i="168"/>
  <c r="R42" i="168"/>
  <c r="S19" i="168"/>
  <c r="Q27" i="168"/>
  <c r="P35" i="168"/>
  <c r="S42" i="168"/>
  <c r="Q8" i="168"/>
  <c r="S35" i="168"/>
  <c r="T2" i="168"/>
  <c r="S9" i="168"/>
  <c r="U28" i="168"/>
  <c r="V2" i="168"/>
  <c r="U6" i="168"/>
  <c r="T9" i="168"/>
  <c r="S13" i="168"/>
  <c r="V16" i="168"/>
  <c r="U20" i="168"/>
  <c r="V28" i="168"/>
  <c r="T32" i="168"/>
  <c r="T40" i="168"/>
  <c r="U5" i="168"/>
  <c r="T12" i="168"/>
  <c r="U19" i="168"/>
  <c r="V23" i="168"/>
  <c r="T27" i="168"/>
  <c r="V31" i="168"/>
  <c r="T35" i="168"/>
  <c r="R39" i="168"/>
  <c r="V5" i="168"/>
  <c r="U12" i="168"/>
  <c r="P16" i="168"/>
  <c r="V19" i="168"/>
  <c r="U35" i="168"/>
  <c r="T39" i="168"/>
  <c r="R2" i="168"/>
  <c r="P9" i="168"/>
  <c r="V12" i="168"/>
  <c r="Q16" i="168"/>
  <c r="P24" i="168"/>
  <c r="R28" i="168"/>
  <c r="P32" i="168"/>
  <c r="V35" i="168"/>
  <c r="S2" i="168"/>
  <c r="P6" i="168"/>
  <c r="Q9" i="168"/>
  <c r="R16" i="168"/>
  <c r="P20" i="168"/>
  <c r="Q24" i="168"/>
  <c r="S28" i="168"/>
  <c r="Q32" i="168"/>
  <c r="Q40" i="168"/>
  <c r="Q6" i="168"/>
  <c r="R9" i="168"/>
  <c r="S16" i="168"/>
  <c r="S20" i="168"/>
  <c r="R24" i="168"/>
  <c r="T28" i="168"/>
  <c r="R32" i="168"/>
  <c r="P36" i="168"/>
  <c r="R40" i="168"/>
  <c r="U2" i="168"/>
  <c r="T6" i="168"/>
  <c r="R13" i="168"/>
  <c r="T16" i="168"/>
  <c r="T20" i="168"/>
  <c r="S24" i="168"/>
  <c r="S32" i="168"/>
  <c r="R36" i="168"/>
  <c r="S40" i="168"/>
  <c r="V6" i="168"/>
  <c r="U9" i="168"/>
  <c r="T13" i="168"/>
  <c r="V20" i="168"/>
  <c r="P25" i="168"/>
  <c r="U32" i="168"/>
  <c r="P37" i="168"/>
  <c r="U40" i="168"/>
  <c r="P3" i="168"/>
  <c r="V9" i="168"/>
  <c r="U13" i="168"/>
  <c r="Q17" i="168"/>
  <c r="Q25" i="168"/>
  <c r="P29" i="168"/>
  <c r="V32" i="168"/>
  <c r="Q37" i="168"/>
  <c r="V40" i="168"/>
  <c r="S3" i="168"/>
  <c r="P7" i="168"/>
  <c r="R17" i="168"/>
  <c r="P21" i="168"/>
  <c r="R25" i="168"/>
  <c r="Q29" i="168"/>
  <c r="R37" i="168"/>
  <c r="T3" i="168"/>
  <c r="Q7" i="168"/>
  <c r="P10" i="168"/>
  <c r="S17" i="168"/>
  <c r="Q21" i="168"/>
  <c r="S25" i="168"/>
  <c r="R29" i="168"/>
  <c r="P33" i="168"/>
  <c r="S37" i="168"/>
  <c r="R41" i="168"/>
  <c r="U3" i="168"/>
  <c r="R7" i="168"/>
  <c r="S10" i="168"/>
  <c r="Q14" i="168"/>
  <c r="T17" i="168"/>
  <c r="T21" i="168"/>
  <c r="T25" i="168"/>
  <c r="S29" i="168"/>
  <c r="S33" i="168"/>
  <c r="T37" i="168"/>
  <c r="S41" i="168"/>
  <c r="V3" i="168"/>
  <c r="S7" i="168"/>
  <c r="T10" i="168"/>
  <c r="R14" i="168"/>
  <c r="U17" i="168"/>
  <c r="U25" i="168"/>
  <c r="T29" i="168"/>
  <c r="T33" i="168"/>
  <c r="U37" i="168"/>
  <c r="T41" i="168"/>
  <c r="T7" i="168"/>
  <c r="V10" i="168"/>
  <c r="S14" i="168"/>
  <c r="V17" i="168"/>
  <c r="P22" i="168"/>
  <c r="V25" i="168"/>
  <c r="V29" i="168"/>
  <c r="U41" i="168"/>
  <c r="P8" i="168"/>
  <c r="U10" i="168"/>
  <c r="V13" i="168"/>
  <c r="U16" i="168"/>
  <c r="Q23" i="168"/>
  <c r="S26" i="168"/>
  <c r="U29" i="168"/>
  <c r="Q36" i="168"/>
  <c r="S39" i="168"/>
  <c r="P2" i="168"/>
  <c r="Q5" i="168"/>
  <c r="R8" i="168"/>
  <c r="Q20" i="168"/>
  <c r="S23" i="168"/>
  <c r="U26" i="168"/>
  <c r="Q33" i="168"/>
  <c r="S36" i="168"/>
  <c r="Q2" i="168"/>
  <c r="R5" i="168"/>
  <c r="S8" i="168"/>
  <c r="P11" i="168"/>
  <c r="P14" i="168"/>
  <c r="P17" i="168"/>
  <c r="R20" i="168"/>
  <c r="T23" i="168"/>
  <c r="V26" i="168"/>
  <c r="P30" i="168"/>
  <c r="R33" i="168"/>
  <c r="T36" i="168"/>
  <c r="P40" i="168"/>
  <c r="Q3" i="168"/>
  <c r="R6" i="168"/>
  <c r="P12" i="168"/>
  <c r="P18" i="168"/>
  <c r="R21" i="168"/>
  <c r="T24" i="168"/>
  <c r="P28" i="168"/>
  <c r="R31" i="168"/>
  <c r="T34" i="168"/>
  <c r="V37" i="168"/>
  <c r="P41" i="168"/>
  <c r="R3" i="168"/>
  <c r="S6" i="168"/>
  <c r="Q12" i="168"/>
  <c r="P15" i="168"/>
  <c r="Q18" i="168"/>
  <c r="S21" i="168"/>
  <c r="Q28" i="168"/>
  <c r="S31" i="168"/>
  <c r="U34" i="168"/>
  <c r="Q41" i="168"/>
  <c r="G73" i="168"/>
  <c r="G91" i="168"/>
  <c r="G67" i="168"/>
  <c r="G79" i="168"/>
  <c r="G55" i="168"/>
  <c r="G85" i="168"/>
  <c r="G61" i="168"/>
  <c r="V4" i="168"/>
  <c r="V7" i="168"/>
  <c r="Q10" i="168"/>
  <c r="P13" i="168"/>
  <c r="V15" i="168"/>
  <c r="U18" i="168"/>
  <c r="U21" i="168"/>
  <c r="U24" i="168"/>
  <c r="U27" i="168"/>
  <c r="U30" i="168"/>
  <c r="U33" i="168"/>
  <c r="U36" i="168"/>
  <c r="U39" i="168"/>
  <c r="U42" i="168"/>
  <c r="R10" i="168"/>
  <c r="Q13" i="168"/>
  <c r="V18" i="168"/>
  <c r="V21" i="168"/>
  <c r="V24" i="168"/>
  <c r="V27" i="168"/>
  <c r="V30" i="168"/>
  <c r="V33" i="168"/>
  <c r="V36" i="168"/>
  <c r="V39" i="168"/>
  <c r="A1" i="167"/>
  <c r="V28" i="167"/>
  <c r="R14" i="165"/>
  <c r="T16" i="165"/>
  <c r="R24" i="165"/>
  <c r="P16" i="165"/>
  <c r="R16" i="165"/>
  <c r="Q16" i="165"/>
  <c r="P17" i="165"/>
  <c r="Q18" i="165"/>
  <c r="P19" i="165"/>
  <c r="R19" i="165"/>
  <c r="Q19" i="165"/>
  <c r="P20" i="165"/>
  <c r="P2" i="165"/>
  <c r="Q22" i="165"/>
  <c r="Q2" i="165"/>
  <c r="S16" i="165"/>
  <c r="P23" i="165"/>
  <c r="Q34" i="165"/>
  <c r="P26" i="165"/>
  <c r="P35" i="165"/>
  <c r="P3" i="165"/>
  <c r="V5" i="165"/>
  <c r="Q4" i="165"/>
  <c r="P7" i="165"/>
  <c r="R7" i="165"/>
  <c r="S20" i="165"/>
  <c r="Q7" i="165"/>
  <c r="R9" i="165"/>
  <c r="Q11" i="165"/>
  <c r="Q36" i="165"/>
  <c r="P25" i="165"/>
  <c r="Q30" i="165"/>
  <c r="P31" i="165"/>
  <c r="Q31" i="165"/>
  <c r="P10" i="165"/>
  <c r="P12" i="165"/>
  <c r="R20" i="165"/>
  <c r="R31" i="165"/>
  <c r="Q24" i="165"/>
  <c r="R12" i="165"/>
  <c r="S34" i="165"/>
  <c r="T10" i="165"/>
  <c r="S3" i="165"/>
  <c r="S10" i="165"/>
  <c r="Q3" i="165"/>
  <c r="V25" i="165"/>
  <c r="V17" i="165"/>
  <c r="V29" i="165"/>
  <c r="U25" i="165"/>
  <c r="T17" i="165"/>
  <c r="T29" i="165"/>
  <c r="T25" i="165"/>
  <c r="Q21" i="165"/>
  <c r="S17" i="165"/>
  <c r="V13" i="165"/>
  <c r="V9" i="165"/>
  <c r="U6" i="165"/>
  <c r="V2" i="165"/>
  <c r="T33" i="165"/>
  <c r="S29" i="165"/>
  <c r="S25" i="165"/>
  <c r="U13" i="165"/>
  <c r="U9" i="165"/>
  <c r="T6" i="165"/>
  <c r="U2" i="165"/>
  <c r="S33" i="165"/>
  <c r="R29" i="165"/>
  <c r="T13" i="165"/>
  <c r="T9" i="165"/>
  <c r="S6" i="165"/>
  <c r="T2" i="165"/>
  <c r="P29" i="165"/>
  <c r="V20" i="165"/>
  <c r="V16" i="165"/>
  <c r="S13" i="165"/>
  <c r="S9" i="165"/>
  <c r="Q6" i="165"/>
  <c r="S2" i="165"/>
  <c r="Q33" i="165"/>
  <c r="T24" i="165"/>
  <c r="T20" i="165"/>
  <c r="U16" i="165"/>
  <c r="R13" i="165"/>
  <c r="P6" i="165"/>
  <c r="R2" i="165"/>
  <c r="V32" i="165"/>
  <c r="V12" i="165"/>
  <c r="U5" i="165"/>
  <c r="T36" i="165"/>
  <c r="T32" i="165"/>
  <c r="U12" i="165"/>
  <c r="T5" i="165"/>
  <c r="T7" i="165"/>
  <c r="S36" i="165"/>
  <c r="V23" i="165"/>
  <c r="V19" i="165"/>
  <c r="T12" i="165"/>
  <c r="S5" i="165"/>
  <c r="T31" i="165"/>
  <c r="S23" i="165"/>
  <c r="U4" i="165"/>
  <c r="T35" i="165"/>
  <c r="Q27" i="165"/>
  <c r="S8" i="165"/>
  <c r="S15" i="165"/>
  <c r="R8" i="165"/>
  <c r="Q8" i="165"/>
  <c r="V26" i="165"/>
  <c r="U22" i="165"/>
  <c r="Q15" i="165"/>
  <c r="V34" i="165"/>
  <c r="T26" i="165"/>
  <c r="T22" i="165"/>
  <c r="T18" i="165"/>
  <c r="P11" i="165"/>
  <c r="U34" i="165"/>
  <c r="S30" i="165"/>
  <c r="S26" i="165"/>
  <c r="S22" i="165"/>
  <c r="U3" i="165"/>
  <c r="R18" i="165"/>
  <c r="V31" i="165"/>
  <c r="T27" i="165"/>
  <c r="T23" i="165"/>
  <c r="U19" i="165"/>
  <c r="S12" i="165"/>
  <c r="S27" i="165"/>
  <c r="T19" i="165"/>
  <c r="S31" i="165"/>
  <c r="S19" i="165"/>
  <c r="U15" i="165"/>
  <c r="V8" i="165"/>
  <c r="T15" i="165"/>
  <c r="S4" i="165"/>
  <c r="S35" i="165"/>
  <c r="V11" i="165"/>
  <c r="V22" i="165"/>
  <c r="T11" i="165"/>
  <c r="T30" i="165"/>
  <c r="U7" i="165"/>
  <c r="S18" i="165"/>
  <c r="T34" i="165"/>
  <c r="R30" i="165"/>
  <c r="R26" i="165"/>
  <c r="T14" i="165"/>
  <c r="U10" i="165"/>
  <c r="S7" i="165"/>
  <c r="T3" i="165"/>
  <c r="Q14" i="165"/>
  <c r="R28" i="165"/>
  <c r="P28" i="165"/>
  <c r="R21" i="165"/>
  <c r="P21" i="165"/>
  <c r="R15" i="165"/>
  <c r="P15" i="165"/>
  <c r="S28" i="165"/>
  <c r="P5" i="165"/>
  <c r="P30" i="165"/>
  <c r="R36" i="165"/>
  <c r="R33" i="165"/>
  <c r="P33" i="165"/>
  <c r="R27" i="165"/>
  <c r="P27" i="165"/>
  <c r="R34" i="165"/>
  <c r="P34" i="165"/>
  <c r="P22" i="165"/>
  <c r="R22" i="165"/>
  <c r="P9" i="165"/>
  <c r="P4" i="165"/>
  <c r="R4" i="165"/>
  <c r="T28" i="165"/>
  <c r="P24" i="165"/>
  <c r="T4" i="165"/>
  <c r="P8" i="165"/>
  <c r="V10" i="165"/>
  <c r="P14" i="165"/>
  <c r="R17" i="165"/>
  <c r="S24" i="165"/>
  <c r="Q28" i="165"/>
  <c r="U31" i="165"/>
  <c r="R35" i="165"/>
  <c r="P32" i="165"/>
  <c r="V35" i="165"/>
  <c r="Q5" i="165"/>
  <c r="T8" i="165"/>
  <c r="R11" i="165"/>
  <c r="U14" i="165"/>
  <c r="S21" i="165"/>
  <c r="Q25" i="165"/>
  <c r="U28" i="165"/>
  <c r="R32" i="165"/>
  <c r="R5" i="165"/>
  <c r="U8" i="165"/>
  <c r="S11" i="165"/>
  <c r="V14" i="165"/>
  <c r="P18" i="165"/>
  <c r="T21" i="165"/>
  <c r="R25" i="165"/>
  <c r="V28" i="165"/>
  <c r="S32" i="165"/>
  <c r="P36" i="165"/>
  <c r="G92" i="165"/>
  <c r="G86" i="165"/>
  <c r="G80" i="165"/>
  <c r="G68" i="165"/>
  <c r="G56" i="165"/>
  <c r="G62" i="165"/>
  <c r="G74" i="165"/>
  <c r="R3" i="165"/>
  <c r="R6" i="165"/>
  <c r="U11" i="165"/>
  <c r="S14" i="165"/>
  <c r="Q17" i="165"/>
  <c r="Q20" i="165"/>
  <c r="Q23" i="165"/>
  <c r="Q26" i="165"/>
  <c r="Q29" i="165"/>
  <c r="Q32" i="165"/>
  <c r="Q35" i="165"/>
  <c r="V3" i="165"/>
  <c r="V6" i="165"/>
  <c r="Q9" i="165"/>
  <c r="Q12" i="165"/>
  <c r="U17" i="165"/>
  <c r="U20" i="165"/>
  <c r="U23" i="165"/>
  <c r="U26" i="165"/>
  <c r="U29" i="165"/>
  <c r="U32" i="165"/>
  <c r="U35" i="165"/>
  <c r="V4" i="165"/>
  <c r="V7" i="165"/>
  <c r="Q10" i="165"/>
  <c r="P13" i="165"/>
  <c r="V15" i="165"/>
  <c r="U18" i="165"/>
  <c r="U21" i="165"/>
  <c r="U24" i="165"/>
  <c r="U27" i="165"/>
  <c r="U30" i="165"/>
  <c r="U33" i="165"/>
  <c r="U36" i="165"/>
  <c r="R10" i="165"/>
  <c r="Q13" i="165"/>
  <c r="V18" i="165"/>
  <c r="V21" i="165"/>
  <c r="V24" i="165"/>
  <c r="V27" i="165"/>
  <c r="V30" i="165"/>
  <c r="V33" i="165"/>
  <c r="V36" i="165"/>
  <c r="T13" i="163"/>
  <c r="U13" i="163"/>
  <c r="V13" i="163"/>
  <c r="R30" i="163"/>
  <c r="P14" i="163"/>
  <c r="P33" i="163"/>
  <c r="P8" i="163"/>
  <c r="Q8" i="163"/>
  <c r="R8" i="163"/>
  <c r="S8" i="163"/>
  <c r="P23" i="163"/>
  <c r="U7" i="163"/>
  <c r="Q33" i="163"/>
  <c r="T33" i="163"/>
  <c r="Q23" i="163"/>
  <c r="R33" i="163"/>
  <c r="S33" i="163"/>
  <c r="R23" i="163"/>
  <c r="S16" i="163"/>
  <c r="T16" i="163"/>
  <c r="U16" i="163"/>
  <c r="V16" i="163"/>
  <c r="S36" i="163"/>
  <c r="T26" i="163"/>
  <c r="P37" i="163"/>
  <c r="U10" i="163"/>
  <c r="U19" i="163"/>
  <c r="R37" i="163"/>
  <c r="T4" i="163"/>
  <c r="V10" i="163"/>
  <c r="R36" i="163"/>
  <c r="T29" i="163"/>
  <c r="P26" i="163"/>
  <c r="V22" i="163"/>
  <c r="T19" i="163"/>
  <c r="R16" i="163"/>
  <c r="S13" i="163"/>
  <c r="P10" i="163"/>
  <c r="T7" i="163"/>
  <c r="S4" i="163"/>
  <c r="Q19" i="163"/>
  <c r="P19" i="163"/>
  <c r="T9" i="163"/>
  <c r="Q32" i="163"/>
  <c r="U28" i="163"/>
  <c r="T18" i="163"/>
  <c r="T12" i="163"/>
  <c r="U3" i="163"/>
  <c r="S18" i="163"/>
  <c r="U6" i="163"/>
  <c r="S28" i="163"/>
  <c r="R18" i="163"/>
  <c r="P9" i="163"/>
  <c r="R17" i="163"/>
  <c r="P27" i="163"/>
  <c r="Q14" i="163"/>
  <c r="S5" i="163"/>
  <c r="Q36" i="163"/>
  <c r="V32" i="163"/>
  <c r="S29" i="163"/>
  <c r="U22" i="163"/>
  <c r="S19" i="163"/>
  <c r="Q16" i="163"/>
  <c r="R13" i="163"/>
  <c r="S7" i="163"/>
  <c r="R4" i="163"/>
  <c r="P29" i="163"/>
  <c r="P4" i="163"/>
  <c r="S32" i="163"/>
  <c r="U15" i="163"/>
  <c r="P7" i="163"/>
  <c r="S25" i="163"/>
  <c r="T15" i="163"/>
  <c r="S9" i="163"/>
  <c r="T35" i="163"/>
  <c r="R25" i="163"/>
  <c r="S15" i="163"/>
  <c r="V6" i="163"/>
  <c r="T28" i="163"/>
  <c r="R15" i="163"/>
  <c r="Q9" i="163"/>
  <c r="Q35" i="163"/>
  <c r="P25" i="163"/>
  <c r="Q15" i="163"/>
  <c r="S3" i="163"/>
  <c r="T20" i="163"/>
  <c r="S37" i="163"/>
  <c r="U23" i="163"/>
  <c r="Q11" i="163"/>
  <c r="P36" i="163"/>
  <c r="U32" i="163"/>
  <c r="Q29" i="163"/>
  <c r="V25" i="163"/>
  <c r="T22" i="163"/>
  <c r="R19" i="163"/>
  <c r="P16" i="163"/>
  <c r="V9" i="163"/>
  <c r="R7" i="163"/>
  <c r="Q4" i="163"/>
  <c r="T32" i="163"/>
  <c r="U25" i="163"/>
  <c r="S22" i="163"/>
  <c r="U9" i="163"/>
  <c r="Q7" i="163"/>
  <c r="V35" i="163"/>
  <c r="T25" i="163"/>
  <c r="R22" i="163"/>
  <c r="V12" i="163"/>
  <c r="U35" i="163"/>
  <c r="V28" i="163"/>
  <c r="Q22" i="163"/>
  <c r="U12" i="163"/>
  <c r="V3" i="163"/>
  <c r="P32" i="163"/>
  <c r="P22" i="163"/>
  <c r="R9" i="163"/>
  <c r="S35" i="163"/>
  <c r="Q25" i="163"/>
  <c r="S12" i="163"/>
  <c r="T3" i="163"/>
  <c r="V31" i="163"/>
  <c r="T21" i="163"/>
  <c r="R12" i="163"/>
  <c r="T6" i="163"/>
  <c r="V23" i="163"/>
  <c r="S2" i="163"/>
  <c r="P34" i="163"/>
  <c r="Q17" i="163"/>
  <c r="T8" i="163"/>
  <c r="P35" i="163"/>
  <c r="U31" i="163"/>
  <c r="R28" i="163"/>
  <c r="S21" i="163"/>
  <c r="Q18" i="163"/>
  <c r="P15" i="163"/>
  <c r="Q12" i="163"/>
  <c r="S6" i="163"/>
  <c r="R3" i="163"/>
  <c r="T31" i="163"/>
  <c r="Q28" i="163"/>
  <c r="T24" i="163"/>
  <c r="R21" i="163"/>
  <c r="P18" i="163"/>
  <c r="P12" i="163"/>
  <c r="R6" i="163"/>
  <c r="Q3" i="163"/>
  <c r="V34" i="163"/>
  <c r="S31" i="163"/>
  <c r="P28" i="163"/>
  <c r="S24" i="163"/>
  <c r="Q21" i="163"/>
  <c r="Q6" i="163"/>
  <c r="P3" i="163"/>
  <c r="U34" i="163"/>
  <c r="R31" i="163"/>
  <c r="R24" i="163"/>
  <c r="P21" i="163"/>
  <c r="V17" i="163"/>
  <c r="V14" i="163"/>
  <c r="V11" i="163"/>
  <c r="P6" i="163"/>
  <c r="T34" i="163"/>
  <c r="Q31" i="163"/>
  <c r="T27" i="163"/>
  <c r="Q24" i="163"/>
  <c r="U17" i="163"/>
  <c r="U14" i="163"/>
  <c r="U11" i="163"/>
  <c r="V2" i="163"/>
  <c r="V37" i="163"/>
  <c r="S34" i="163"/>
  <c r="P31" i="163"/>
  <c r="S27" i="163"/>
  <c r="P24" i="163"/>
  <c r="V20" i="163"/>
  <c r="T17" i="163"/>
  <c r="T14" i="163"/>
  <c r="T11" i="163"/>
  <c r="V5" i="163"/>
  <c r="U2" i="163"/>
  <c r="U37" i="163"/>
  <c r="R34" i="163"/>
  <c r="R27" i="163"/>
  <c r="U20" i="163"/>
  <c r="S17" i="163"/>
  <c r="S14" i="163"/>
  <c r="S11" i="163"/>
  <c r="V8" i="163"/>
  <c r="U5" i="163"/>
  <c r="T2" i="163"/>
  <c r="T37" i="163"/>
  <c r="Q34" i="163"/>
  <c r="T30" i="163"/>
  <c r="Q27" i="163"/>
  <c r="R14" i="163"/>
  <c r="R11" i="163"/>
  <c r="U8" i="163"/>
  <c r="T5" i="163"/>
  <c r="S30" i="163"/>
  <c r="Q26" i="163"/>
  <c r="S26" i="163"/>
  <c r="P2" i="163"/>
  <c r="T36" i="163"/>
  <c r="Q2" i="163"/>
  <c r="P17" i="163"/>
  <c r="U26" i="163"/>
  <c r="R2" i="163"/>
  <c r="S10" i="163"/>
  <c r="V26" i="163"/>
  <c r="T10" i="163"/>
  <c r="Q37" i="163"/>
  <c r="U4" i="163"/>
  <c r="U29" i="163"/>
  <c r="P11" i="163"/>
  <c r="P20" i="163"/>
  <c r="V29" i="163"/>
  <c r="P5" i="163"/>
  <c r="Q20" i="163"/>
  <c r="Q5" i="163"/>
  <c r="P30" i="163"/>
  <c r="R20" i="163"/>
  <c r="R5" i="163"/>
  <c r="S20" i="163"/>
  <c r="Q30" i="163"/>
  <c r="G61" i="163"/>
  <c r="G85" i="163"/>
  <c r="G79" i="163"/>
  <c r="G73" i="163"/>
  <c r="G67" i="163"/>
  <c r="G55" i="163"/>
  <c r="R26" i="163"/>
  <c r="R29" i="163"/>
  <c r="R32" i="163"/>
  <c r="R35" i="163"/>
  <c r="V4" i="163"/>
  <c r="V7" i="163"/>
  <c r="Q10" i="163"/>
  <c r="P13" i="163"/>
  <c r="V15" i="163"/>
  <c r="U18" i="163"/>
  <c r="U21" i="163"/>
  <c r="U24" i="163"/>
  <c r="U27" i="163"/>
  <c r="U30" i="163"/>
  <c r="U33" i="163"/>
  <c r="U36" i="163"/>
  <c r="R10" i="163"/>
  <c r="Q13" i="163"/>
  <c r="V18" i="163"/>
  <c r="V21" i="163"/>
  <c r="V24" i="163"/>
  <c r="V27" i="163"/>
  <c r="V30" i="163"/>
  <c r="V33" i="163"/>
  <c r="V36" i="163"/>
  <c r="T6" i="167" l="1"/>
  <c r="V31" i="167"/>
  <c r="P29" i="167"/>
  <c r="T18" i="167"/>
  <c r="T35" i="167"/>
  <c r="P16" i="167"/>
  <c r="T2" i="167"/>
  <c r="U28" i="167"/>
  <c r="P22" i="167"/>
  <c r="U3" i="167"/>
  <c r="T25" i="167"/>
  <c r="P34" i="167"/>
  <c r="T7" i="167"/>
  <c r="V25" i="167"/>
  <c r="V33" i="167"/>
  <c r="V24" i="167"/>
  <c r="R10" i="167"/>
  <c r="V7" i="167"/>
  <c r="V4" i="167"/>
  <c r="V21" i="167"/>
  <c r="P9" i="167"/>
  <c r="P21" i="167"/>
  <c r="V36" i="167"/>
  <c r="U25" i="167"/>
  <c r="P19" i="167"/>
  <c r="P31" i="167"/>
  <c r="T31" i="167"/>
  <c r="Q10" i="167"/>
  <c r="P6" i="167"/>
  <c r="P7" i="167"/>
  <c r="V30" i="167"/>
  <c r="T30" i="167"/>
  <c r="T22" i="167"/>
  <c r="T19" i="167"/>
  <c r="V27" i="167"/>
  <c r="T24" i="167"/>
  <c r="V9" i="167"/>
  <c r="U31" i="167"/>
  <c r="V18" i="167"/>
  <c r="P10" i="167"/>
  <c r="U15" i="167"/>
  <c r="P24" i="167"/>
  <c r="Q13" i="167"/>
  <c r="U22" i="167"/>
  <c r="T9" i="167"/>
  <c r="T34" i="167"/>
  <c r="T28" i="167"/>
  <c r="U9" i="167"/>
  <c r="T12" i="167"/>
  <c r="R29" i="167"/>
  <c r="R16" i="167"/>
  <c r="S13" i="167"/>
  <c r="S4" i="167"/>
  <c r="Q22" i="167"/>
  <c r="R38" i="167"/>
  <c r="Q25" i="167"/>
  <c r="R15" i="167"/>
  <c r="U6" i="167"/>
  <c r="P38" i="167"/>
  <c r="V34" i="167"/>
  <c r="R28" i="167"/>
  <c r="R18" i="167"/>
  <c r="R12" i="167"/>
  <c r="U34" i="167"/>
  <c r="Q28" i="167"/>
  <c r="Q18" i="167"/>
  <c r="R3" i="167"/>
  <c r="S32" i="167"/>
  <c r="Q29" i="167"/>
  <c r="S19" i="167"/>
  <c r="Q16" i="167"/>
  <c r="R13" i="167"/>
  <c r="S7" i="167"/>
  <c r="R4" i="167"/>
  <c r="R25" i="167"/>
  <c r="V38" i="167"/>
  <c r="R32" i="167"/>
  <c r="R19" i="167"/>
  <c r="R7" i="167"/>
  <c r="Q4" i="167"/>
  <c r="U38" i="167"/>
  <c r="S35" i="167"/>
  <c r="Q32" i="167"/>
  <c r="S22" i="167"/>
  <c r="Q19" i="167"/>
  <c r="Q7" i="167"/>
  <c r="T38" i="167"/>
  <c r="R35" i="167"/>
  <c r="R22" i="167"/>
  <c r="V12" i="167"/>
  <c r="S38" i="167"/>
  <c r="Q35" i="167"/>
  <c r="S25" i="167"/>
  <c r="U12" i="167"/>
  <c r="S9" i="167"/>
  <c r="V3" i="167"/>
  <c r="P35" i="167"/>
  <c r="S15" i="167"/>
  <c r="R9" i="167"/>
  <c r="V6" i="167"/>
  <c r="Q38" i="167"/>
  <c r="S28" i="167"/>
  <c r="S18" i="167"/>
  <c r="S12" i="167"/>
  <c r="Q9" i="167"/>
  <c r="Q15" i="167"/>
  <c r="S3" i="167"/>
  <c r="S31" i="167"/>
  <c r="S21" i="167"/>
  <c r="P15" i="167"/>
  <c r="Q12" i="167"/>
  <c r="T37" i="167"/>
  <c r="R34" i="167"/>
  <c r="R24" i="167"/>
  <c r="V17" i="167"/>
  <c r="V11" i="167"/>
  <c r="S37" i="167"/>
  <c r="Q34" i="167"/>
  <c r="S27" i="167"/>
  <c r="Q24" i="167"/>
  <c r="U17" i="167"/>
  <c r="U11" i="167"/>
  <c r="R37" i="167"/>
  <c r="R27" i="167"/>
  <c r="T17" i="167"/>
  <c r="T11" i="167"/>
  <c r="V5" i="167"/>
  <c r="S17" i="167"/>
  <c r="R11" i="167"/>
  <c r="Q6" i="167"/>
  <c r="S24" i="167"/>
  <c r="R17" i="167"/>
  <c r="Q11" i="167"/>
  <c r="R31" i="167"/>
  <c r="Q17" i="167"/>
  <c r="P11" i="167"/>
  <c r="Q37" i="167"/>
  <c r="R30" i="167"/>
  <c r="T23" i="167"/>
  <c r="V16" i="167"/>
  <c r="U10" i="167"/>
  <c r="R5" i="167"/>
  <c r="P37" i="167"/>
  <c r="Q30" i="167"/>
  <c r="S23" i="167"/>
  <c r="U16" i="167"/>
  <c r="T10" i="167"/>
  <c r="Q5" i="167"/>
  <c r="T36" i="167"/>
  <c r="Q23" i="167"/>
  <c r="S16" i="167"/>
  <c r="R36" i="167"/>
  <c r="U29" i="167"/>
  <c r="T4" i="167"/>
  <c r="Q36" i="167"/>
  <c r="T29" i="167"/>
  <c r="R21" i="167"/>
  <c r="S14" i="167"/>
  <c r="Q3" i="167"/>
  <c r="U7" i="167"/>
  <c r="R26" i="167"/>
  <c r="Q26" i="167"/>
  <c r="S11" i="167"/>
  <c r="R6" i="167"/>
  <c r="U5" i="167"/>
  <c r="V37" i="167"/>
  <c r="Q31" i="167"/>
  <c r="V23" i="167"/>
  <c r="P17" i="167"/>
  <c r="T5" i="167"/>
  <c r="U37" i="167"/>
  <c r="S30" i="167"/>
  <c r="U23" i="167"/>
  <c r="V10" i="167"/>
  <c r="S5" i="167"/>
  <c r="P30" i="167"/>
  <c r="R23" i="167"/>
  <c r="T16" i="167"/>
  <c r="S10" i="167"/>
  <c r="P5" i="167"/>
  <c r="S36" i="167"/>
  <c r="V29" i="167"/>
  <c r="P23" i="167"/>
  <c r="U4" i="167"/>
  <c r="P36" i="167"/>
  <c r="S29" i="167"/>
  <c r="Q21" i="167"/>
  <c r="R14" i="167"/>
  <c r="P3" i="167"/>
  <c r="Q14" i="167"/>
  <c r="P14" i="167"/>
  <c r="U8" i="167"/>
  <c r="S2" i="167"/>
  <c r="Q27" i="167"/>
  <c r="S20" i="167"/>
  <c r="R2" i="167"/>
  <c r="S34" i="167"/>
  <c r="P27" i="167"/>
  <c r="R20" i="167"/>
  <c r="S8" i="167"/>
  <c r="Q2" i="167"/>
  <c r="Q20" i="167"/>
  <c r="V13" i="167"/>
  <c r="R8" i="167"/>
  <c r="T33" i="167"/>
  <c r="V26" i="167"/>
  <c r="P20" i="167"/>
  <c r="U13" i="167"/>
  <c r="Q8" i="167"/>
  <c r="S33" i="167"/>
  <c r="U26" i="167"/>
  <c r="T13" i="167"/>
  <c r="R33" i="167"/>
  <c r="T26" i="167"/>
  <c r="V19" i="167"/>
  <c r="Q33" i="167"/>
  <c r="S26" i="167"/>
  <c r="U19" i="167"/>
  <c r="P33" i="167"/>
  <c r="S6" i="167"/>
  <c r="P25" i="167"/>
  <c r="U36" i="167"/>
  <c r="T3" i="167"/>
  <c r="T27" i="167"/>
  <c r="P8" i="167"/>
  <c r="P2" i="167"/>
  <c r="U33" i="167"/>
  <c r="V2" i="167"/>
  <c r="V14" i="167"/>
  <c r="T8" i="167"/>
  <c r="U30" i="167"/>
  <c r="T21" i="167"/>
  <c r="V20" i="167"/>
  <c r="P28" i="167"/>
  <c r="U27" i="167"/>
  <c r="U2" i="167"/>
  <c r="U14" i="167"/>
  <c r="U20" i="167"/>
  <c r="U24" i="167"/>
  <c r="V22" i="167"/>
  <c r="V8" i="167"/>
  <c r="V32" i="167"/>
  <c r="U21" i="167"/>
  <c r="T15" i="167"/>
  <c r="T14" i="167"/>
  <c r="T20" i="167"/>
  <c r="U18" i="167"/>
  <c r="V35" i="167"/>
  <c r="P26" i="167"/>
  <c r="U32" i="167"/>
  <c r="V15" i="167"/>
  <c r="U35" i="167"/>
  <c r="P32" i="167"/>
  <c r="P18" i="167"/>
  <c r="P13" i="167"/>
  <c r="P4" i="167"/>
  <c r="T32" i="167"/>
  <c r="P12" i="167"/>
  <c r="O43" i="162" l="1"/>
  <c r="O44" i="162"/>
  <c r="F74" i="162"/>
  <c r="F75" i="162"/>
  <c r="F76" i="162"/>
  <c r="F77" i="162"/>
  <c r="F78" i="162"/>
  <c r="F79" i="162"/>
  <c r="F80" i="162"/>
  <c r="F81" i="162"/>
  <c r="F82" i="162"/>
  <c r="F83" i="162"/>
  <c r="F84" i="162"/>
  <c r="F85" i="162"/>
  <c r="F86" i="162"/>
  <c r="F87" i="162"/>
  <c r="F88" i="162"/>
  <c r="F89" i="162"/>
  <c r="F90" i="162"/>
  <c r="F91" i="162"/>
  <c r="F92" i="162"/>
  <c r="F93" i="162"/>
  <c r="F94" i="162"/>
  <c r="F95" i="162"/>
  <c r="F96" i="162"/>
  <c r="F97" i="162"/>
  <c r="F98" i="162"/>
  <c r="F99" i="162"/>
  <c r="F100" i="162"/>
  <c r="F101" i="162"/>
  <c r="F102" i="162"/>
  <c r="F103" i="162"/>
  <c r="F104" i="162"/>
  <c r="F105" i="162"/>
  <c r="F106" i="162"/>
  <c r="F107" i="162"/>
  <c r="F108" i="162"/>
  <c r="F109" i="162"/>
  <c r="F110" i="162"/>
  <c r="F111" i="162"/>
  <c r="F112" i="162"/>
  <c r="F113" i="162"/>
  <c r="F114" i="162"/>
  <c r="F115" i="162"/>
  <c r="F116" i="162"/>
  <c r="F73" i="162"/>
  <c r="H115" i="162"/>
  <c r="I115" i="162"/>
  <c r="H116" i="162"/>
  <c r="I116" i="162"/>
  <c r="H73" i="162"/>
  <c r="I73" i="162"/>
  <c r="G73" i="162"/>
  <c r="I114" i="162"/>
  <c r="H114" i="162"/>
  <c r="G114" i="162" s="1"/>
  <c r="I113" i="162"/>
  <c r="H113" i="162"/>
  <c r="G113" i="162"/>
  <c r="I112" i="162"/>
  <c r="H112" i="162"/>
  <c r="G112" i="162" s="1"/>
  <c r="I111" i="162"/>
  <c r="H111" i="162"/>
  <c r="I110" i="162"/>
  <c r="H110" i="162"/>
  <c r="G110" i="162"/>
  <c r="I109" i="162"/>
  <c r="H109" i="162"/>
  <c r="G109" i="162"/>
  <c r="I108" i="162"/>
  <c r="H108" i="162"/>
  <c r="G108" i="162"/>
  <c r="I107" i="162"/>
  <c r="H107" i="162"/>
  <c r="I106" i="162"/>
  <c r="H106" i="162"/>
  <c r="G106" i="162" s="1"/>
  <c r="I105" i="162"/>
  <c r="H105" i="162"/>
  <c r="G105" i="162"/>
  <c r="I104" i="162"/>
  <c r="H104" i="162"/>
  <c r="G104" i="162" s="1"/>
  <c r="I103" i="162"/>
  <c r="H103" i="162"/>
  <c r="G103" i="162" s="1"/>
  <c r="I102" i="162"/>
  <c r="H102" i="162"/>
  <c r="G102" i="162" s="1"/>
  <c r="I101" i="162"/>
  <c r="H101" i="162"/>
  <c r="G101" i="162"/>
  <c r="I100" i="162"/>
  <c r="H100" i="162"/>
  <c r="G100" i="162" s="1"/>
  <c r="I99" i="162"/>
  <c r="H99" i="162"/>
  <c r="G99" i="162" s="1"/>
  <c r="I98" i="162"/>
  <c r="H98" i="162"/>
  <c r="I97" i="162"/>
  <c r="H97" i="162"/>
  <c r="G97" i="162" s="1"/>
  <c r="I96" i="162"/>
  <c r="H96" i="162"/>
  <c r="I95" i="162"/>
  <c r="H95" i="162"/>
  <c r="G95" i="162"/>
  <c r="I94" i="162"/>
  <c r="H94" i="162"/>
  <c r="G94" i="162"/>
  <c r="I93" i="162"/>
  <c r="H93" i="162"/>
  <c r="G93" i="162" s="1"/>
  <c r="I92" i="162"/>
  <c r="H92" i="162"/>
  <c r="G92" i="162"/>
  <c r="I91" i="162"/>
  <c r="H91" i="162"/>
  <c r="G91" i="162"/>
  <c r="I90" i="162"/>
  <c r="H90" i="162"/>
  <c r="I89" i="162"/>
  <c r="H89" i="162"/>
  <c r="I88" i="162"/>
  <c r="H88" i="162"/>
  <c r="I87" i="162"/>
  <c r="H87" i="162"/>
  <c r="G87" i="162" s="1"/>
  <c r="I86" i="162"/>
  <c r="H86" i="162"/>
  <c r="I85" i="162"/>
  <c r="H85" i="162"/>
  <c r="G85" i="162" s="1"/>
  <c r="I84" i="162"/>
  <c r="H84" i="162"/>
  <c r="G84" i="162"/>
  <c r="I83" i="162"/>
  <c r="H83" i="162"/>
  <c r="G83" i="162" s="1"/>
  <c r="I82" i="162"/>
  <c r="H82" i="162"/>
  <c r="I81" i="162"/>
  <c r="H81" i="162"/>
  <c r="I80" i="162"/>
  <c r="H80" i="162"/>
  <c r="I79" i="162"/>
  <c r="H79" i="162"/>
  <c r="G79" i="162" s="1"/>
  <c r="I78" i="162"/>
  <c r="H78" i="162"/>
  <c r="G78" i="162" s="1"/>
  <c r="I77" i="162"/>
  <c r="H77" i="162"/>
  <c r="G77" i="162" s="1"/>
  <c r="I76" i="162"/>
  <c r="H76" i="162"/>
  <c r="G76" i="162" s="1"/>
  <c r="I75" i="162"/>
  <c r="H75" i="162"/>
  <c r="I74" i="162"/>
  <c r="H74" i="162"/>
  <c r="O42" i="162"/>
  <c r="O41" i="162"/>
  <c r="O40" i="162"/>
  <c r="O39" i="162"/>
  <c r="O38" i="162"/>
  <c r="O37" i="162"/>
  <c r="O36" i="162"/>
  <c r="O35" i="162"/>
  <c r="O34" i="162"/>
  <c r="O33" i="162"/>
  <c r="O32" i="162"/>
  <c r="O31" i="162"/>
  <c r="O30" i="162"/>
  <c r="O29" i="162"/>
  <c r="O28" i="162"/>
  <c r="O27" i="162"/>
  <c r="O26" i="162"/>
  <c r="O25" i="162"/>
  <c r="O24" i="162"/>
  <c r="O23" i="162"/>
  <c r="O22" i="162"/>
  <c r="O21" i="162"/>
  <c r="O20" i="162"/>
  <c r="O19" i="162"/>
  <c r="O18" i="162"/>
  <c r="O17" i="162"/>
  <c r="O16" i="162"/>
  <c r="O15" i="162"/>
  <c r="O14" i="162"/>
  <c r="AB13" i="162"/>
  <c r="O13" i="162"/>
  <c r="O12" i="162"/>
  <c r="O11" i="162"/>
  <c r="O10" i="162"/>
  <c r="O9" i="162"/>
  <c r="AC8" i="162"/>
  <c r="AB12" i="162" s="1"/>
  <c r="AB8" i="162"/>
  <c r="AB15" i="162" s="1"/>
  <c r="AA8" i="162"/>
  <c r="Z8" i="162"/>
  <c r="AB14" i="162" s="1"/>
  <c r="Y8" i="162"/>
  <c r="O8" i="162"/>
  <c r="O7" i="162"/>
  <c r="O6" i="162"/>
  <c r="O5" i="162"/>
  <c r="O4" i="162"/>
  <c r="O3" i="162"/>
  <c r="O2" i="162"/>
  <c r="G86" i="162" l="1"/>
  <c r="G96" i="162"/>
  <c r="G111" i="162"/>
  <c r="G88" i="162"/>
  <c r="G107" i="162"/>
  <c r="G75" i="162"/>
  <c r="G116" i="162"/>
  <c r="G115" i="162"/>
  <c r="G89" i="162"/>
  <c r="G98" i="162"/>
  <c r="G80" i="162"/>
  <c r="A1" i="162"/>
  <c r="P18" i="162" s="1"/>
  <c r="G90" i="162"/>
  <c r="G81" i="162"/>
  <c r="G82" i="162"/>
  <c r="G74" i="162"/>
  <c r="O36" i="161"/>
  <c r="O35" i="161"/>
  <c r="O34" i="161"/>
  <c r="O33" i="161"/>
  <c r="O32" i="161"/>
  <c r="O31" i="161"/>
  <c r="O30" i="161"/>
  <c r="O29" i="161"/>
  <c r="O28" i="161"/>
  <c r="O27" i="161"/>
  <c r="O26" i="161"/>
  <c r="O25" i="161"/>
  <c r="O24" i="161"/>
  <c r="O23" i="161"/>
  <c r="O22" i="161"/>
  <c r="O21" i="161"/>
  <c r="O20" i="161"/>
  <c r="O19" i="161"/>
  <c r="O18" i="161"/>
  <c r="O17" i="161"/>
  <c r="O16" i="161"/>
  <c r="O15" i="161"/>
  <c r="AB14" i="161"/>
  <c r="O14" i="161"/>
  <c r="AB13" i="161"/>
  <c r="O13" i="161"/>
  <c r="O12" i="161"/>
  <c r="O11" i="161"/>
  <c r="O10" i="161"/>
  <c r="O9" i="161"/>
  <c r="AC8" i="161"/>
  <c r="AB12" i="161" s="1"/>
  <c r="AB8" i="161"/>
  <c r="AB15" i="161" s="1"/>
  <c r="AA8" i="161"/>
  <c r="Z8" i="161"/>
  <c r="Y8" i="161"/>
  <c r="O8" i="161"/>
  <c r="O7" i="161"/>
  <c r="O6" i="161"/>
  <c r="O5" i="161"/>
  <c r="O4" i="161"/>
  <c r="O3" i="161"/>
  <c r="O2" i="161"/>
  <c r="A1" i="161"/>
  <c r="S10" i="162" l="1"/>
  <c r="T22" i="162"/>
  <c r="R43" i="162"/>
  <c r="S43" i="162"/>
  <c r="T43" i="162"/>
  <c r="U43" i="162"/>
  <c r="R44" i="162"/>
  <c r="U44" i="162"/>
  <c r="P43" i="162"/>
  <c r="V43" i="162"/>
  <c r="Q44" i="162"/>
  <c r="S44" i="162"/>
  <c r="V44" i="162"/>
  <c r="Q43" i="162"/>
  <c r="P44" i="162"/>
  <c r="T44" i="162"/>
  <c r="P8" i="162"/>
  <c r="P5" i="162"/>
  <c r="U30" i="162"/>
  <c r="P27" i="162"/>
  <c r="P24" i="162"/>
  <c r="P21" i="162"/>
  <c r="T23" i="162"/>
  <c r="V32" i="162"/>
  <c r="T17" i="162"/>
  <c r="T20" i="162"/>
  <c r="V14" i="162"/>
  <c r="P12" i="162"/>
  <c r="U21" i="162"/>
  <c r="T12" i="162"/>
  <c r="Q37" i="162"/>
  <c r="T9" i="162"/>
  <c r="Q34" i="162"/>
  <c r="Q10" i="162"/>
  <c r="V7" i="162"/>
  <c r="V4" i="162"/>
  <c r="Q22" i="162"/>
  <c r="V20" i="162"/>
  <c r="T39" i="162"/>
  <c r="P28" i="162"/>
  <c r="P32" i="162"/>
  <c r="T33" i="162"/>
  <c r="P22" i="162"/>
  <c r="V31" i="162"/>
  <c r="T27" i="162"/>
  <c r="P16" i="162"/>
  <c r="T31" i="162"/>
  <c r="U32" i="162"/>
  <c r="P42" i="162"/>
  <c r="U29" i="162"/>
  <c r="U14" i="162"/>
  <c r="Q8" i="162"/>
  <c r="P39" i="162"/>
  <c r="U26" i="162"/>
  <c r="U22" i="162"/>
  <c r="T42" i="162"/>
  <c r="Q19" i="162"/>
  <c r="U9" i="162"/>
  <c r="T36" i="162"/>
  <c r="P25" i="162"/>
  <c r="T15" i="162"/>
  <c r="T30" i="162"/>
  <c r="P19" i="162"/>
  <c r="U38" i="162"/>
  <c r="U27" i="162"/>
  <c r="S13" i="162"/>
  <c r="V22" i="162"/>
  <c r="P36" i="162"/>
  <c r="T14" i="162"/>
  <c r="Q2" i="162"/>
  <c r="P33" i="162"/>
  <c r="T29" i="162"/>
  <c r="P6" i="162"/>
  <c r="U24" i="162"/>
  <c r="Q15" i="162"/>
  <c r="P9" i="162"/>
  <c r="U18" i="162"/>
  <c r="V15" i="162"/>
  <c r="Q31" i="162"/>
  <c r="V29" i="162"/>
  <c r="Q28" i="162"/>
  <c r="V26" i="162"/>
  <c r="Q25" i="162"/>
  <c r="V23" i="162"/>
  <c r="T34" i="162"/>
  <c r="V17" i="162"/>
  <c r="R12" i="162"/>
  <c r="R9" i="162"/>
  <c r="U41" i="162"/>
  <c r="P23" i="162"/>
  <c r="U35" i="162"/>
  <c r="P13" i="162"/>
  <c r="T10" i="162"/>
  <c r="Q5" i="162"/>
  <c r="T32" i="162"/>
  <c r="R13" i="162"/>
  <c r="P30" i="162"/>
  <c r="T26" i="162"/>
  <c r="Q40" i="162"/>
  <c r="R39" i="162"/>
  <c r="S29" i="162"/>
  <c r="R25" i="162"/>
  <c r="S15" i="162"/>
  <c r="S6" i="162"/>
  <c r="R38" i="162"/>
  <c r="S33" i="162"/>
  <c r="S14" i="162"/>
  <c r="R19" i="162"/>
  <c r="T28" i="162"/>
  <c r="S42" i="162"/>
  <c r="Q23" i="162"/>
  <c r="R42" i="162"/>
  <c r="S32" i="162"/>
  <c r="Q18" i="162"/>
  <c r="S37" i="162"/>
  <c r="S27" i="162"/>
  <c r="T4" i="162"/>
  <c r="S41" i="162"/>
  <c r="V8" i="162"/>
  <c r="Q27" i="162"/>
  <c r="R17" i="162"/>
  <c r="R4" i="162"/>
  <c r="S36" i="162"/>
  <c r="S22" i="162"/>
  <c r="V12" i="162"/>
  <c r="R36" i="162"/>
  <c r="R22" i="162"/>
  <c r="U12" i="162"/>
  <c r="S8" i="162"/>
  <c r="S31" i="162"/>
  <c r="S21" i="162"/>
  <c r="V11" i="162"/>
  <c r="S3" i="162"/>
  <c r="U40" i="162"/>
  <c r="R31" i="162"/>
  <c r="R21" i="162"/>
  <c r="T7" i="162"/>
  <c r="R35" i="162"/>
  <c r="Q21" i="162"/>
  <c r="S7" i="162"/>
  <c r="Q35" i="162"/>
  <c r="V25" i="162"/>
  <c r="S11" i="162"/>
  <c r="P35" i="162"/>
  <c r="U25" i="162"/>
  <c r="R16" i="162"/>
  <c r="T25" i="162"/>
  <c r="R20" i="162"/>
  <c r="U6" i="162"/>
  <c r="V34" i="162"/>
  <c r="Q20" i="162"/>
  <c r="P11" i="162"/>
  <c r="U2" i="162"/>
  <c r="Q39" i="162"/>
  <c r="R29" i="162"/>
  <c r="R15" i="162"/>
  <c r="R6" i="162"/>
  <c r="S2" i="162"/>
  <c r="S34" i="162"/>
  <c r="Q29" i="162"/>
  <c r="S24" i="162"/>
  <c r="Q6" i="162"/>
  <c r="S38" i="162"/>
  <c r="R34" i="162"/>
  <c r="R24" i="162"/>
  <c r="Q24" i="162"/>
  <c r="Q38" i="162"/>
  <c r="V28" i="162"/>
  <c r="S19" i="162"/>
  <c r="R33" i="162"/>
  <c r="U28" i="162"/>
  <c r="S23" i="162"/>
  <c r="R14" i="162"/>
  <c r="Q33" i="162"/>
  <c r="R23" i="162"/>
  <c r="Q14" i="162"/>
  <c r="S28" i="162"/>
  <c r="S18" i="162"/>
  <c r="S5" i="162"/>
  <c r="R28" i="162"/>
  <c r="R18" i="162"/>
  <c r="Q42" i="162"/>
  <c r="R32" i="162"/>
  <c r="U4" i="162"/>
  <c r="Q32" i="162"/>
  <c r="R37" i="162"/>
  <c r="R27" i="162"/>
  <c r="S17" i="162"/>
  <c r="S4" i="162"/>
  <c r="R41" i="162"/>
  <c r="U8" i="162"/>
  <c r="Q41" i="162"/>
  <c r="Q17" i="162"/>
  <c r="T8" i="162"/>
  <c r="P41" i="162"/>
  <c r="S26" i="162"/>
  <c r="P17" i="162"/>
  <c r="U3" i="162"/>
  <c r="Q36" i="162"/>
  <c r="R26" i="162"/>
  <c r="T3" i="162"/>
  <c r="V40" i="162"/>
  <c r="Q26" i="162"/>
  <c r="V16" i="162"/>
  <c r="U7" i="162"/>
  <c r="S35" i="162"/>
  <c r="P26" i="162"/>
  <c r="U11" i="162"/>
  <c r="R3" i="162"/>
  <c r="T16" i="162"/>
  <c r="T11" i="162"/>
  <c r="Q3" i="162"/>
  <c r="S30" i="162"/>
  <c r="S16" i="162"/>
  <c r="P3" i="162"/>
  <c r="U16" i="162"/>
  <c r="T40" i="162"/>
  <c r="S40" i="162"/>
  <c r="R7" i="162"/>
  <c r="R40" i="162"/>
  <c r="R30" i="162"/>
  <c r="S20" i="162"/>
  <c r="R11" i="162"/>
  <c r="Q30" i="162"/>
  <c r="Q11" i="162"/>
  <c r="V2" i="162"/>
  <c r="S39" i="162"/>
  <c r="S25" i="162"/>
  <c r="T6" i="162"/>
  <c r="V13" i="162"/>
  <c r="Q16" i="162"/>
  <c r="P2" i="162"/>
  <c r="T24" i="162"/>
  <c r="Q7" i="162"/>
  <c r="U23" i="162"/>
  <c r="P14" i="162"/>
  <c r="P38" i="162"/>
  <c r="T13" i="162"/>
  <c r="V39" i="162"/>
  <c r="T21" i="162"/>
  <c r="Q4" i="162"/>
  <c r="U20" i="162"/>
  <c r="P20" i="162"/>
  <c r="U5" i="162"/>
  <c r="U10" i="162"/>
  <c r="V30" i="162"/>
  <c r="T18" i="162"/>
  <c r="P15" i="162"/>
  <c r="U17" i="162"/>
  <c r="V19" i="162"/>
  <c r="V37" i="162"/>
  <c r="R8" i="162"/>
  <c r="V24" i="162"/>
  <c r="U15" i="162"/>
  <c r="S12" i="162"/>
  <c r="Q12" i="162"/>
  <c r="U19" i="162"/>
  <c r="T5" i="162"/>
  <c r="R5" i="162"/>
  <c r="V18" i="162"/>
  <c r="V42" i="162"/>
  <c r="S9" i="162"/>
  <c r="Q9" i="162"/>
  <c r="T19" i="162"/>
  <c r="U37" i="162"/>
  <c r="R2" i="162"/>
  <c r="Q13" i="162"/>
  <c r="V36" i="162"/>
  <c r="P7" i="162"/>
  <c r="V6" i="162"/>
  <c r="V10" i="162"/>
  <c r="U31" i="162"/>
  <c r="P40" i="162"/>
  <c r="U42" i="162"/>
  <c r="V33" i="162"/>
  <c r="P4" i="162"/>
  <c r="V3" i="162"/>
  <c r="P10" i="162"/>
  <c r="V5" i="162"/>
  <c r="P37" i="162"/>
  <c r="U39" i="162"/>
  <c r="V27" i="162"/>
  <c r="V41" i="162"/>
  <c r="T41" i="162"/>
  <c r="T2" i="162"/>
  <c r="U13" i="162"/>
  <c r="P34" i="162"/>
  <c r="U36" i="162"/>
  <c r="V21" i="162"/>
  <c r="V38" i="162"/>
  <c r="T38" i="162"/>
  <c r="U34" i="162"/>
  <c r="P29" i="162"/>
  <c r="P31" i="162"/>
  <c r="U33" i="162"/>
  <c r="R10" i="162"/>
  <c r="V35" i="162"/>
  <c r="T35" i="162"/>
  <c r="V9" i="162"/>
  <c r="T37" i="162"/>
  <c r="P36" i="161"/>
  <c r="V32" i="161"/>
  <c r="T29" i="161"/>
  <c r="R26" i="161"/>
  <c r="P23" i="161"/>
  <c r="V19" i="161"/>
  <c r="T16" i="161"/>
  <c r="U13" i="161"/>
  <c r="S10" i="161"/>
  <c r="U7" i="161"/>
  <c r="T4" i="161"/>
  <c r="V22" i="161"/>
  <c r="S13" i="161"/>
  <c r="S7" i="161"/>
  <c r="V9" i="161"/>
  <c r="T35" i="161"/>
  <c r="R32" i="161"/>
  <c r="V25" i="161"/>
  <c r="R19" i="161"/>
  <c r="U9" i="161"/>
  <c r="Q7" i="161"/>
  <c r="P4" i="161"/>
  <c r="S35" i="161"/>
  <c r="Q32" i="161"/>
  <c r="U25" i="161"/>
  <c r="S22" i="161"/>
  <c r="Q19" i="161"/>
  <c r="V12" i="161"/>
  <c r="T9" i="161"/>
  <c r="P7" i="161"/>
  <c r="R35" i="161"/>
  <c r="V28" i="161"/>
  <c r="R22" i="161"/>
  <c r="U15" i="161"/>
  <c r="Q35" i="161"/>
  <c r="U28" i="161"/>
  <c r="S25" i="161"/>
  <c r="T15" i="161"/>
  <c r="T12" i="161"/>
  <c r="V6" i="161"/>
  <c r="P22" i="161"/>
  <c r="T3" i="161"/>
  <c r="Q25" i="161"/>
  <c r="R15" i="161"/>
  <c r="T6" i="161"/>
  <c r="V34" i="161"/>
  <c r="T31" i="161"/>
  <c r="P25" i="161"/>
  <c r="R18" i="161"/>
  <c r="Q15" i="161"/>
  <c r="S6" i="161"/>
  <c r="S31" i="161"/>
  <c r="Q18" i="161"/>
  <c r="P12" i="161"/>
  <c r="Q3" i="161"/>
  <c r="T34" i="161"/>
  <c r="P28" i="161"/>
  <c r="R21" i="161"/>
  <c r="Q6" i="161"/>
  <c r="V20" i="161"/>
  <c r="U5" i="161"/>
  <c r="S17" i="161"/>
  <c r="S2" i="161"/>
  <c r="V23" i="161"/>
  <c r="Q11" i="161"/>
  <c r="S33" i="161"/>
  <c r="U23" i="161"/>
  <c r="P11" i="161"/>
  <c r="Q2" i="161"/>
  <c r="R33" i="161"/>
  <c r="V26" i="161"/>
  <c r="P17" i="161"/>
  <c r="R8" i="161"/>
  <c r="U32" i="161"/>
  <c r="S29" i="161"/>
  <c r="Q26" i="161"/>
  <c r="U19" i="161"/>
  <c r="S16" i="161"/>
  <c r="T13" i="161"/>
  <c r="P10" i="161"/>
  <c r="T7" i="161"/>
  <c r="S4" i="161"/>
  <c r="T19" i="161"/>
  <c r="U35" i="161"/>
  <c r="R13" i="161"/>
  <c r="P29" i="161"/>
  <c r="T22" i="161"/>
  <c r="P16" i="161"/>
  <c r="P32" i="161"/>
  <c r="T25" i="161"/>
  <c r="P19" i="161"/>
  <c r="S9" i="161"/>
  <c r="V3" i="161"/>
  <c r="Q22" i="161"/>
  <c r="R9" i="161"/>
  <c r="U3" i="161"/>
  <c r="V31" i="161"/>
  <c r="T28" i="161"/>
  <c r="R25" i="161"/>
  <c r="T18" i="161"/>
  <c r="S15" i="161"/>
  <c r="S12" i="161"/>
  <c r="Q9" i="161"/>
  <c r="U6" i="161"/>
  <c r="U31" i="161"/>
  <c r="S28" i="161"/>
  <c r="S18" i="161"/>
  <c r="R12" i="161"/>
  <c r="P9" i="161"/>
  <c r="S3" i="161"/>
  <c r="R28" i="161"/>
  <c r="T21" i="161"/>
  <c r="Q12" i="161"/>
  <c r="R3" i="161"/>
  <c r="U34" i="161"/>
  <c r="Q28" i="161"/>
  <c r="S21" i="161"/>
  <c r="R6" i="161"/>
  <c r="R31" i="161"/>
  <c r="T24" i="161"/>
  <c r="P18" i="161"/>
  <c r="P3" i="161"/>
  <c r="T14" i="161"/>
  <c r="S11" i="161"/>
  <c r="T2" i="161"/>
  <c r="Q27" i="161"/>
  <c r="S14" i="161"/>
  <c r="U8" i="161"/>
  <c r="R30" i="161"/>
  <c r="T20" i="161"/>
  <c r="R14" i="161"/>
  <c r="S5" i="161"/>
  <c r="Q30" i="161"/>
  <c r="Q17" i="161"/>
  <c r="R5" i="161"/>
  <c r="T36" i="161"/>
  <c r="P30" i="161"/>
  <c r="R20" i="161"/>
  <c r="Q5" i="161"/>
  <c r="S36" i="161"/>
  <c r="U26" i="161"/>
  <c r="Q20" i="161"/>
  <c r="V35" i="161"/>
  <c r="T32" i="161"/>
  <c r="R29" i="161"/>
  <c r="P26" i="161"/>
  <c r="R16" i="161"/>
  <c r="R4" i="161"/>
  <c r="S32" i="161"/>
  <c r="Q29" i="161"/>
  <c r="U22" i="161"/>
  <c r="S19" i="161"/>
  <c r="Q16" i="161"/>
  <c r="R7" i="161"/>
  <c r="Q4" i="161"/>
  <c r="U12" i="161"/>
  <c r="P35" i="161"/>
  <c r="P15" i="161"/>
  <c r="S34" i="161"/>
  <c r="Q31" i="161"/>
  <c r="S24" i="161"/>
  <c r="Q21" i="161"/>
  <c r="V11" i="161"/>
  <c r="P6" i="161"/>
  <c r="R34" i="161"/>
  <c r="P31" i="161"/>
  <c r="T27" i="161"/>
  <c r="R24" i="161"/>
  <c r="P21" i="161"/>
  <c r="V17" i="161"/>
  <c r="V14" i="161"/>
  <c r="U11" i="161"/>
  <c r="V2" i="161"/>
  <c r="Q34" i="161"/>
  <c r="S27" i="161"/>
  <c r="Q24" i="161"/>
  <c r="U17" i="161"/>
  <c r="U14" i="161"/>
  <c r="T11" i="161"/>
  <c r="V5" i="161"/>
  <c r="U2" i="161"/>
  <c r="P34" i="161"/>
  <c r="T30" i="161"/>
  <c r="R27" i="161"/>
  <c r="P24" i="161"/>
  <c r="T17" i="161"/>
  <c r="V8" i="161"/>
  <c r="S30" i="161"/>
  <c r="U20" i="161"/>
  <c r="R11" i="161"/>
  <c r="T5" i="161"/>
  <c r="T33" i="161"/>
  <c r="P27" i="161"/>
  <c r="R17" i="161"/>
  <c r="T8" i="161"/>
  <c r="R2" i="161"/>
  <c r="S20" i="161"/>
  <c r="Q14" i="161"/>
  <c r="S8" i="161"/>
  <c r="T23" i="161"/>
  <c r="P14" i="161"/>
  <c r="P2" i="161"/>
  <c r="Q33" i="161"/>
  <c r="S23" i="161"/>
  <c r="U4" i="161"/>
  <c r="P5" i="161"/>
  <c r="V16" i="161"/>
  <c r="V13" i="161"/>
  <c r="V29" i="161"/>
  <c r="U16" i="161"/>
  <c r="P8" i="161"/>
  <c r="Q8" i="161"/>
  <c r="Q36" i="161"/>
  <c r="Q23" i="161"/>
  <c r="V10" i="161"/>
  <c r="T26" i="161"/>
  <c r="U29" i="161"/>
  <c r="P33" i="161"/>
  <c r="P20" i="161"/>
  <c r="R36" i="161"/>
  <c r="R23" i="161"/>
  <c r="T10" i="161"/>
  <c r="U10" i="161"/>
  <c r="S26" i="161"/>
  <c r="V4" i="161"/>
  <c r="V7" i="161"/>
  <c r="Q10" i="161"/>
  <c r="P13" i="161"/>
  <c r="V15" i="161"/>
  <c r="U18" i="161"/>
  <c r="U21" i="161"/>
  <c r="U24" i="161"/>
  <c r="U27" i="161"/>
  <c r="U30" i="161"/>
  <c r="U33" i="161"/>
  <c r="U36" i="161"/>
  <c r="R10" i="161"/>
  <c r="Q13" i="161"/>
  <c r="V18" i="161"/>
  <c r="V21" i="161"/>
  <c r="V24" i="161"/>
  <c r="V27" i="161"/>
  <c r="V30" i="161"/>
  <c r="V33" i="161"/>
  <c r="V36" i="161"/>
</calcChain>
</file>

<file path=xl/sharedStrings.xml><?xml version="1.0" encoding="utf-8"?>
<sst xmlns="http://schemas.openxmlformats.org/spreadsheetml/2006/main" count="1658" uniqueCount="172">
  <si>
    <t>Time (min)</t>
  </si>
  <si>
    <t>Free</t>
    <phoneticPr fontId="1" type="noConversion"/>
  </si>
  <si>
    <t>Bound</t>
    <phoneticPr fontId="1" type="noConversion"/>
  </si>
  <si>
    <t>Total Mass</t>
    <phoneticPr fontId="1" type="noConversion"/>
  </si>
  <si>
    <t>Decay</t>
    <phoneticPr fontId="1" type="noConversion"/>
  </si>
  <si>
    <t>Total Mass</t>
  </si>
  <si>
    <t>ECM</t>
  </si>
  <si>
    <t>sigma_ve</t>
  </si>
  <si>
    <t>sigma_le</t>
  </si>
  <si>
    <t>kf_m</t>
  </si>
  <si>
    <t>kr_m</t>
  </si>
  <si>
    <t>k_decay</t>
  </si>
  <si>
    <t>Baseline</t>
  </si>
  <si>
    <t>Total Area</t>
  </si>
  <si>
    <t>Total Peak Area</t>
  </si>
  <si>
    <t>Number of Peaks</t>
  </si>
  <si>
    <t>Lymph</t>
    <phoneticPr fontId="1" type="noConversion"/>
  </si>
  <si>
    <t>Vessel</t>
    <phoneticPr fontId="1" type="noConversion"/>
  </si>
  <si>
    <t>ECM</t>
    <phoneticPr fontId="1" type="noConversion"/>
  </si>
  <si>
    <t>% AUC</t>
    <phoneticPr fontId="1" type="noConversion"/>
  </si>
  <si>
    <t>Time (h)</t>
    <phoneticPr fontId="1" type="noConversion"/>
  </si>
  <si>
    <t>Lymph</t>
  </si>
  <si>
    <t>Blood</t>
  </si>
  <si>
    <t>Blood</t>
    <phoneticPr fontId="1" type="noConversion"/>
  </si>
  <si>
    <t>Decay</t>
  </si>
  <si>
    <t>Lp_ve</t>
  </si>
  <si>
    <t>8e-12 [m/(Pa*s)]</t>
  </si>
  <si>
    <t>8E-12 m²·s/kg</t>
  </si>
  <si>
    <t>K</t>
  </si>
  <si>
    <t>1e-15 [m^2]</t>
  </si>
  <si>
    <t>1E-15 m²</t>
  </si>
  <si>
    <t>Hydraulic permeablility of 6mg/ml fibrin gel</t>
  </si>
  <si>
    <t>reflection coeff of IgG</t>
  </si>
  <si>
    <t>D_gel</t>
  </si>
  <si>
    <t>Forward reaction rate constant, drug dissociation</t>
  </si>
  <si>
    <t>Reverse reaction rate constant, drug dissociation</t>
  </si>
  <si>
    <t>P_artery</t>
  </si>
  <si>
    <t>3130 [Pa]</t>
  </si>
  <si>
    <t>3130 Pa</t>
  </si>
  <si>
    <t>P_vein</t>
  </si>
  <si>
    <t>2540 [Pa]</t>
  </si>
  <si>
    <t>2540 Pa</t>
  </si>
  <si>
    <t>P_lymph</t>
  </si>
  <si>
    <t>0 [Pa]</t>
  </si>
  <si>
    <t>0 Pa</t>
  </si>
  <si>
    <t>P_oncotic</t>
  </si>
  <si>
    <t>3590 [Pa]</t>
  </si>
  <si>
    <t>3590 Pa</t>
  </si>
  <si>
    <t>c_0</t>
  </si>
  <si>
    <t>1 [mol/m^3]</t>
  </si>
  <si>
    <t>1 mol/m³</t>
  </si>
  <si>
    <t>concentration at source</t>
  </si>
  <si>
    <t>sigma_AB</t>
  </si>
  <si>
    <t>reflec coef of albumin</t>
  </si>
  <si>
    <t>Ssa</t>
  </si>
  <si>
    <t>1.88E04[m^2/m^3]</t>
  </si>
  <si>
    <t>18800 1/m</t>
  </si>
  <si>
    <t>th</t>
  </si>
  <si>
    <t>20e-6 [m]</t>
  </si>
  <si>
    <t>2E-5 m</t>
  </si>
  <si>
    <t>thickness of barrier</t>
  </si>
  <si>
    <t>Mu</t>
  </si>
  <si>
    <t>0.0046 [Pa*s]</t>
  </si>
  <si>
    <t>0.0046 Pa·s</t>
  </si>
  <si>
    <t>dynamic viscosity of plasma</t>
  </si>
  <si>
    <t>porosity</t>
  </si>
  <si>
    <t>Expression</t>
    <phoneticPr fontId="1" type="noConversion"/>
  </si>
  <si>
    <t>Value</t>
    <phoneticPr fontId="1" type="noConversion"/>
  </si>
  <si>
    <t>Description</t>
    <phoneticPr fontId="1" type="noConversion"/>
  </si>
  <si>
    <t>Name</t>
    <phoneticPr fontId="1" type="noConversion"/>
  </si>
  <si>
    <t>Best combination</t>
    <phoneticPr fontId="1" type="noConversion"/>
  </si>
  <si>
    <t>cA</t>
    <phoneticPr fontId="1" type="noConversion"/>
  </si>
  <si>
    <t>cMA</t>
    <phoneticPr fontId="1" type="noConversion"/>
  </si>
  <si>
    <t>cA+cMA</t>
    <phoneticPr fontId="1" type="noConversion"/>
  </si>
  <si>
    <t>lymph cell+ vessel cell</t>
    <phoneticPr fontId="1" type="noConversion"/>
  </si>
  <si>
    <t>ECM+cell</t>
    <phoneticPr fontId="1" type="noConversion"/>
  </si>
  <si>
    <t>MW=4.2, sigma_ve=0.1, sigma_le=0, p_ve=4.4E-9, p_le=7.2E-8, D_gel=1.6E-10, kf_m=0.62, kr_m=11.14, k_decay=0, Cumulative integral: (cA+cMA)*k_decay (mol)</t>
  </si>
  <si>
    <t>MW=150, sigma_ve=0.9, sigma_le=0.1, p_ve=1E-9, p_le=1E-8, D_gel=4.5E-11, kf_m=0.48, kr_m=4.2, k_decay=0, cA+cMA (mol)</t>
  </si>
  <si>
    <t>MW=150, sigma_ve=0.9, sigma_le=0.1, p_ve=1E-9, p_le=1E-8, D_gel=4.5E-11, kf_m=0.48, kr_m=4.2, k_decay=0, Concentration (mol)</t>
  </si>
  <si>
    <t>MW=150, sigma_ve=0.9, sigma_le=0.1, p_ve=1E-9, p_le=1E-8, D_gel=4.5E-11, kf_m=0.48, kr_m=4.2, k_decay=0, Cumulative integral: Normal convective flux (mol)</t>
  </si>
  <si>
    <t>MW=150, sigma_ve=0.9, sigma_le=0.1, p_ve=1E-9, p_le=1E-8, D_gel=4.5E-11, kf_m=0.48, kr_m=4.2, k_decay=0, Cumulative integral: Normal total flux (mol)</t>
  </si>
  <si>
    <t>MW=150, sigma_ve=0.9, sigma_le=0.1, p_ve=1E-9, p_le=1E-8, D_gel=4.5E-11, kf_m=0.48, kr_m=4.2, k_decay=0, Cumulative integral: (cA+cMA)*k_decay (mol)</t>
  </si>
  <si>
    <t>MW=5.8, sigma_ve=0.1, sigma_le=0, p_ve=1E-8, p_le=7.2E-8, D_gel=9.4E-11, kf_m=1.45, kr_m=6.82, k_decay=0, cA+cMA (mol)</t>
  </si>
  <si>
    <t>MW=5.8, sigma_ve=0.1, sigma_le=0, p_ve=1E-8, p_le=7.2E-8, D_gel=9.4E-11, kf_m=1.45, kr_m=6.82, k_decay=0, Concentration (mol)</t>
  </si>
  <si>
    <t>MW=5.8, sigma_ve=0.1, sigma_le=0, p_ve=1E-8, p_le=7.2E-8, D_gel=9.4E-11, kf_m=1.45, kr_m=6.82, k_decay=0, Cumulative integral: Normal convective flux (mol)</t>
  </si>
  <si>
    <t>MW=5.8, sigma_ve=0.1, sigma_le=0, p_ve=1E-8, p_le=7.2E-8, D_gel=9.4E-11, kf_m=1.45, kr_m=6.82, k_decay=0, Cumulative integral: Normal total flux (mol)</t>
  </si>
  <si>
    <t>MW=66.5, sigma_ve=0.7, sigma_le=0.05, p_ve=1E-9, p_le=1E-8, D_gel=6.2E-11, kf_m=0.17, kr_m=4.77, k_decay=0, cA+cMA (mol)</t>
  </si>
  <si>
    <t>MW=66.5, sigma_ve=0.7, sigma_le=0.05, p_ve=1E-9, p_le=1E-8, D_gel=6.2E-11, kf_m=0.17, kr_m=4.77, k_decay=0, Concentration (mol)</t>
  </si>
  <si>
    <t>MW=66.5, sigma_ve=0.7, sigma_le=0.05, p_ve=1E-9, p_le=1E-8, D_gel=6.2E-11, kf_m=0.17, kr_m=4.77, k_decay=0, Cumulative integral: Normal convective flux (mol)</t>
  </si>
  <si>
    <t>MW=66.5, sigma_ve=0.7, sigma_le=0.05, p_ve=1E-9, p_le=1E-8, D_gel=6.2E-11, kf_m=0.17, kr_m=4.77, k_decay=0, Cumulative integral: Normal total flux (mol)</t>
  </si>
  <si>
    <t>MW=150, sigma_ve=0.9, sigma_le=0.1, p_ve=1E-9, p_le=1E-8, D_gel=4.5E-11, kf_m=0.48, kr_m=4.2, k_decay=2.9E-7, cA+cMA (mol)</t>
  </si>
  <si>
    <t>MW=150, sigma_ve=0.9, sigma_le=0.1, p_ve=1E-9, p_le=1E-8, D_gel=4.5E-11, kf_m=0.48, kr_m=4.2, k_decay=2.9E-7, Concentration (mol)</t>
  </si>
  <si>
    <t>MW=150, sigma_ve=0.9, sigma_le=0.1, p_ve=1E-9, p_le=1E-8, D_gel=4.5E-11, kf_m=0.48, kr_m=4.2, k_decay=2.9E-7, Cumulative integral: Normal convective flux (mol)</t>
  </si>
  <si>
    <t>MW=150, sigma_ve=0.9, sigma_le=0.1, p_ve=1E-9, p_le=1E-8, D_gel=4.5E-11, kf_m=0.48, kr_m=4.2, k_decay=2.9E-7, Cumulative integral: Normal total flux (mol)</t>
  </si>
  <si>
    <t>MW=150, sigma_ve=0.9, sigma_le=0.1, p_ve=1E-9, p_le=1E-8, D_gel=4.5E-11, kf_m=0.48, kr_m=4.2, k_decay=2.9E-7, Cumulative integral: (cA+cMA)*k_decay (mol)</t>
  </si>
  <si>
    <t>MW=5.8, sigma_ve=0.1, sigma_le=0, p_ve=1E-8, p_le=7.2E-8, D_gel=9.4E-11, kf_m=1.45, kr_m=6.82, k_decay=2.9E-7, cA+cMA (mol)</t>
  </si>
  <si>
    <t>MW=5.8, sigma_ve=0.1, sigma_le=0, p_ve=1E-8, p_le=7.2E-8, D_gel=9.4E-11, kf_m=1.45, kr_m=6.82, k_decay=2.9E-7, Concentration (mol)</t>
  </si>
  <si>
    <t>MW=5.8, sigma_ve=0.1, sigma_le=0, p_ve=1E-8, p_le=7.2E-8, D_gel=9.4E-11, kf_m=1.45, kr_m=6.82, k_decay=2.9E-7, Cumulative integral: Normal convective flux (mol)</t>
  </si>
  <si>
    <t>MW=5.8, sigma_ve=0.1, sigma_le=0, p_ve=1E-8, p_le=7.2E-8, D_gel=9.4E-11, kf_m=1.45, kr_m=6.82, k_decay=2.9E-7, Cumulative integral: Normal total flux (mol)</t>
  </si>
  <si>
    <t>MW=5.8, sigma_ve=0.1, sigma_le=0, p_ve=1E-8, p_le=7.2E-8, D_gel=9.4E-11, kf_m=1.45, kr_m=6.82, k_decay=2.9E-7, Cumulative integral: (cA+cMA)*k_decay (mol)</t>
  </si>
  <si>
    <t>MW=66.5, sigma_ve=0.7, sigma_le=0.05, p_ve=1E-9, p_le=1E-8, D_gel=6.2E-11, kf_m=0.17, kr_m=4.77, k_decay=2.9E-7, cA+cMA (mol)</t>
  </si>
  <si>
    <t>MW=66.5, sigma_ve=0.7, sigma_le=0.05, p_ve=1E-9, p_le=1E-8, D_gel=6.2E-11, kf_m=0.17, kr_m=4.77, k_decay=2.9E-7, Concentration (mol)</t>
  </si>
  <si>
    <t>MW=66.5, sigma_ve=0.7, sigma_le=0.05, p_ve=1E-9, p_le=1E-8, D_gel=6.2E-11, kf_m=0.17, kr_m=4.77, k_decay=2.9E-7, Cumulative integral: Normal convective flux (mol)</t>
  </si>
  <si>
    <t>MW=66.5, sigma_ve=0.7, sigma_le=0.05, p_ve=1E-9, p_le=1E-8, D_gel=6.2E-11, kf_m=0.17, kr_m=4.77, k_decay=2.9E-7, Cumulative integral: Normal total flux (mol)</t>
  </si>
  <si>
    <t>MW=66.5, sigma_ve=0.7, sigma_le=0.05, p_ve=1E-9, p_le=1E-8, D_gel=6.2E-11, kf_m=0.17, kr_m=4.77, k_decay=2.9E-7, Cumulative integral: (cA+cMA)*k_decay (mol)</t>
  </si>
  <si>
    <t>MW=150, sigma_ve=0.9, sigma_le=0.1, p_ve=1E-9, p_le=1E-8, D_gel=4.5E-11, kf_m=0.48, kr_m=4.2, k_decay=1.7E-6, cA+cMA (mol)</t>
  </si>
  <si>
    <t>MW=150, sigma_ve=0.9, sigma_le=0.1, p_ve=1E-9, p_le=1E-8, D_gel=4.5E-11, kf_m=0.48, kr_m=4.2, k_decay=1.7E-6, Concentration (mol)</t>
  </si>
  <si>
    <t>MW=150, sigma_ve=0.9, sigma_le=0.1, p_ve=1E-9, p_le=1E-8, D_gel=4.5E-11, kf_m=0.48, kr_m=4.2, k_decay=1.7E-6, Cumulative integral: Normal convective flux (mol)</t>
  </si>
  <si>
    <t>MW=150, sigma_ve=0.9, sigma_le=0.1, p_ve=1E-9, p_le=1E-8, D_gel=4.5E-11, kf_m=0.48, kr_m=4.2, k_decay=1.7E-6, Cumulative integral: Normal total flux (mol)</t>
  </si>
  <si>
    <t>MW=150, sigma_ve=0.9, sigma_le=0.1, p_ve=1E-9, p_le=1E-8, D_gel=4.5E-11, kf_m=0.48, kr_m=4.2, k_decay=1.7E-6, Cumulative integral: (cA+cMA)*k_decay (mol)</t>
  </si>
  <si>
    <t>MW=5.8, sigma_ve=0.1, sigma_le=0, p_ve=1E-8, p_le=7.2E-8, D_gel=9.4E-11, kf_m=1.45, kr_m=6.82, k_decay=1.7E-6, cA+cMA (mol)</t>
  </si>
  <si>
    <t>MW=5.8, sigma_ve=0.1, sigma_le=0, p_ve=1E-8, p_le=7.2E-8, D_gel=9.4E-11, kf_m=1.45, kr_m=6.82, k_decay=1.7E-6, Concentration (mol)</t>
  </si>
  <si>
    <t>MW=5.8, sigma_ve=0.1, sigma_le=0, p_ve=1E-8, p_le=7.2E-8, D_gel=9.4E-11, kf_m=1.45, kr_m=6.82, k_decay=1.7E-6, Cumulative integral: Normal convective flux (mol)</t>
  </si>
  <si>
    <t>MW=5.8, sigma_ve=0.1, sigma_le=0, p_ve=1E-8, p_le=7.2E-8, D_gel=9.4E-11, kf_m=1.45, kr_m=6.82, k_decay=1.7E-6, Cumulative integral: Normal total flux (mol)</t>
  </si>
  <si>
    <t>MW=5.8, sigma_ve=0.1, sigma_le=0, p_ve=1E-8, p_le=7.2E-8, D_gel=9.4E-11, kf_m=1.45, kr_m=6.82, k_decay=1.7E-6, Cumulative integral: (cA+cMA)*k_decay (mol)</t>
  </si>
  <si>
    <t>MW=66.5, sigma_ve=0.7, sigma_le=0.05, p_ve=1E-9, p_le=1E-8, D_gel=6.2E-11, kf_m=0.17, kr_m=4.77, k_decay=1.7E-6, cA+cMA (mol)</t>
  </si>
  <si>
    <t>MW=66.5, sigma_ve=0.7, sigma_le=0.05, p_ve=1E-9, p_le=1E-8, D_gel=6.2E-11, kf_m=0.17, kr_m=4.77, k_decay=1.7E-6, Concentration (mol)</t>
  </si>
  <si>
    <t>MW=66.5, sigma_ve=0.7, sigma_le=0.05, p_ve=1E-9, p_le=1E-8, D_gel=6.2E-11, kf_m=0.17, kr_m=4.77, k_decay=1.7E-6, Cumulative integral: Normal convective flux (mol)</t>
  </si>
  <si>
    <t>MW=66.5, sigma_ve=0.7, sigma_le=0.05, p_ve=1E-9, p_le=1E-8, D_gel=6.2E-11, kf_m=0.17, kr_m=4.77, k_decay=1.7E-6, Cumulative integral: Normal total flux (mol)</t>
  </si>
  <si>
    <t>MW=66.5, sigma_ve=0.7, sigma_le=0.05, p_ve=1E-9, p_le=1E-8, D_gel=6.2E-11, kf_m=0.17, kr_m=4.77, k_decay=1.7E-6, Cumulative integral: (cA+cMA)*k_decay (mol)</t>
  </si>
  <si>
    <t>MW=150, sigma_ve=0.9, sigma_le=0.1, p_ve=1E-9, p_le=1E-8, D_gel=4.5E-11, kf_m=0.48, kr_m=4.2, k_decay=1E-5, cA+cMA (mol)</t>
  </si>
  <si>
    <t>MW=150, sigma_ve=0.9, sigma_le=0.1, p_ve=1E-9, p_le=1E-8, D_gel=4.5E-11, kf_m=0.48, kr_m=4.2, k_decay=1E-5, Concentration (mol)</t>
  </si>
  <si>
    <t>MW=150, sigma_ve=0.9, sigma_le=0.1, p_ve=1E-9, p_le=1E-8, D_gel=4.5E-11, kf_m=0.48, kr_m=4.2, k_decay=1E-5, Cumulative integral: Normal convective flux (mol)</t>
  </si>
  <si>
    <t>MW=150, sigma_ve=0.9, sigma_le=0.1, p_ve=1E-9, p_le=1E-8, D_gel=4.5E-11, kf_m=0.48, kr_m=4.2, k_decay=1E-5, Cumulative integral: Normal total flux (mol)</t>
  </si>
  <si>
    <t>MW=150, sigma_ve=0.9, sigma_le=0.1, p_ve=1E-9, p_le=1E-8, D_gel=4.5E-11, kf_m=0.48, kr_m=4.2, k_decay=1E-5, Cumulative integral: (cA+cMA)*k_decay (mol)</t>
  </si>
  <si>
    <t>MW=5.8, sigma_ve=0.1, sigma_le=0, p_ve=1E-8, p_le=7.2E-8, D_gel=9.4E-11, kf_m=1.45, kr_m=6.82, k_decay=1E-5, cA+cMA (mol)</t>
  </si>
  <si>
    <t>MW=5.8, sigma_ve=0.1, sigma_le=0, p_ve=1E-8, p_le=7.2E-8, D_gel=9.4E-11, kf_m=1.45, kr_m=6.82, k_decay=1E-5, Concentration (mol)</t>
  </si>
  <si>
    <t>MW=5.8, sigma_ve=0.1, sigma_le=0, p_ve=1E-8, p_le=7.2E-8, D_gel=9.4E-11, kf_m=1.45, kr_m=6.82, k_decay=1E-5, Cumulative integral: Normal convective flux (mol)</t>
  </si>
  <si>
    <t>MW=5.8, sigma_ve=0.1, sigma_le=0, p_ve=1E-8, p_le=7.2E-8, D_gel=9.4E-11, kf_m=1.45, kr_m=6.82, k_decay=1E-5, Cumulative integral: Normal total flux (mol)</t>
  </si>
  <si>
    <t>MW=5.8, sigma_ve=0.1, sigma_le=0, p_ve=1E-8, p_le=7.2E-8, D_gel=9.4E-11, kf_m=1.45, kr_m=6.82, k_decay=1E-5, Cumulative integral: (cA+cMA)*k_decay (mol)</t>
  </si>
  <si>
    <t>MW=66.5, sigma_ve=0.7, sigma_le=0.05, p_ve=1E-9, p_le=1E-8, D_gel=6.2E-11, kf_m=0.17, kr_m=4.77, k_decay=1E-5, cA+cMA (mol)</t>
  </si>
  <si>
    <t>MW=66.5, sigma_ve=0.7, sigma_le=0.05, p_ve=1E-9, p_le=1E-8, D_gel=6.2E-11, kf_m=0.17, kr_m=4.77, k_decay=1E-5, Concentration (mol)</t>
  </si>
  <si>
    <t>MW=66.5, sigma_ve=0.7, sigma_le=0.05, p_ve=1E-9, p_le=1E-8, D_gel=6.2E-11, kf_m=0.17, kr_m=4.77, k_decay=1E-5, Cumulative integral: Normal convective flux (mol)</t>
  </si>
  <si>
    <t>MW=66.5, sigma_ve=0.7, sigma_le=0.05, p_ve=1E-9, p_le=1E-8, D_gel=6.2E-11, kf_m=0.17, kr_m=4.77, k_decay=1E-5, Cumulative integral: Normal total flux (mol)</t>
  </si>
  <si>
    <t>MW=66.5, sigma_ve=0.7, sigma_le=0.05, p_ve=1E-9, p_le=1E-8, D_gel=6.2E-11, kf_m=0.17, kr_m=4.77, k_decay=1E-5, Cumulative integral: (cA+cMA)*k_decay (mol)</t>
  </si>
  <si>
    <t>y0+(y00-y0)*F*(1-exp(-k_fast*time))+(y00-y0)*(1-F)*(1-exp(-k_slow*time))</t>
  </si>
  <si>
    <t>y0_fit,</t>
    <phoneticPr fontId="1" type="noConversion"/>
  </si>
  <si>
    <t xml:space="preserve"> y00_fit, </t>
    <phoneticPr fontId="1" type="noConversion"/>
  </si>
  <si>
    <t xml:space="preserve">F_fit, </t>
    <phoneticPr fontId="1" type="noConversion"/>
  </si>
  <si>
    <t>k_fast_fit,</t>
    <phoneticPr fontId="1" type="noConversion"/>
  </si>
  <si>
    <t xml:space="preserve"> k_slow_fit, </t>
    <phoneticPr fontId="1" type="noConversion"/>
  </si>
  <si>
    <t>Lym</t>
    <phoneticPr fontId="1" type="noConversion"/>
  </si>
  <si>
    <t>VES</t>
    <phoneticPr fontId="1" type="noConversion"/>
  </si>
  <si>
    <t>A = (y00_fit-y0_fit)*F_fit*k_fast_fit;</t>
  </si>
  <si>
    <t>B = k_fast_fit;</t>
  </si>
  <si>
    <t>C = (y00_fit-y0_fit)*(1-F_fit)*k_slow_fit;</t>
  </si>
  <si>
    <t>D = k_slow_fit;</t>
  </si>
  <si>
    <t>mass rate is [A*exp(-B*time)+C*exp(-D*time)]*dose*0.01</t>
  </si>
  <si>
    <t>IV_AUC</t>
    <phoneticPr fontId="1" type="noConversion"/>
  </si>
  <si>
    <t>SC_AUC</t>
    <phoneticPr fontId="1" type="noConversion"/>
  </si>
  <si>
    <t>BA</t>
    <phoneticPr fontId="1" type="noConversion"/>
  </si>
  <si>
    <t>A</t>
    <phoneticPr fontId="1" type="noConversion"/>
  </si>
  <si>
    <t>-B</t>
    <phoneticPr fontId="1" type="noConversion"/>
  </si>
  <si>
    <t>C</t>
    <phoneticPr fontId="1" type="noConversion"/>
  </si>
  <si>
    <t>-D</t>
    <phoneticPr fontId="1" type="noConversion"/>
  </si>
  <si>
    <t>MW=150, sigma_ve=0.9, sigma_le=0.1, p_ve=1E-9, p_le=1E-8, D_gel=4.5E-11, kf_m=0.48, kr_m=4.2, k_decay=0, cA+cMA (mol)</t>
    <phoneticPr fontId="1" type="noConversion"/>
  </si>
  <si>
    <t>45e-12 [m^2/s]</t>
    <phoneticPr fontId="1" type="noConversion"/>
  </si>
  <si>
    <t>MW=5.8, sigma_ve=0.1, sigma_le=0, p_ve=1E-8, p_le=7.2E-8, D_gel=9.4E-11, kf_m=1.45, kr_m=6.82, k_decay=0, cA+cMA (mol)</t>
    <phoneticPr fontId="1" type="noConversion"/>
  </si>
  <si>
    <t>94e-12 [m^2/s]</t>
    <phoneticPr fontId="1" type="noConversion"/>
  </si>
  <si>
    <t>9.4E-11 m²/s</t>
    <phoneticPr fontId="1" type="noConversion"/>
  </si>
  <si>
    <t>4.5E-11 m²/s</t>
    <phoneticPr fontId="1" type="noConversion"/>
  </si>
  <si>
    <t>62e-12 [m^2/s]</t>
    <phoneticPr fontId="1" type="noConversion"/>
  </si>
  <si>
    <t>6.2E-11 m²/s</t>
    <phoneticPr fontId="1" type="noConversion"/>
  </si>
  <si>
    <t>p_le</t>
    <phoneticPr fontId="1" type="noConversion"/>
  </si>
  <si>
    <t>p_ve</t>
    <phoneticPr fontId="1" type="noConversion"/>
  </si>
  <si>
    <t>1E-9 [m/s]</t>
    <phoneticPr fontId="1" type="noConversion"/>
  </si>
  <si>
    <t>1E-8 [m/s]</t>
    <phoneticPr fontId="1" type="noConversion"/>
  </si>
  <si>
    <t>1E-8 m/s</t>
    <phoneticPr fontId="1" type="noConversion"/>
  </si>
  <si>
    <t>7.2E-8 [m/s]</t>
    <phoneticPr fontId="1" type="noConversion"/>
  </si>
  <si>
    <t>7.2E-8 m/s</t>
    <phoneticPr fontId="1" type="noConversion"/>
  </si>
  <si>
    <t>MW=66.5, sigma_ve=0.7, sigma_le=0.05, p_ve=1E-9, p_le=1E-8, D_gel=6.2E-11, kf_m=0.17, kr_m=4.77, k_decay=0, cA+cMA (mol)</t>
    <phoneticPr fontId="1" type="noConversion"/>
  </si>
  <si>
    <t>1E-9 m/s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</si>
</sst>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E+00"/>
    <numFmt numFmtId="178" formatCode="0.0000000"/>
    <numFmt numFmtId="179" formatCode="0.00000000"/>
    <numFmt numFmtId="180" formatCode="0.000000000"/>
  </numFmts>
  <fonts count="2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color theme="5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1"/>
      <color rgb="FF132BD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5"/>
      <name val="Arial"/>
      <family val="2"/>
    </font>
    <font>
      <b/>
      <i/>
      <sz val="11"/>
      <color rgb="FFFF0000"/>
      <name val="Arial"/>
      <family val="2"/>
    </font>
    <font>
      <b/>
      <i/>
      <sz val="11"/>
      <color rgb="FF00B050"/>
      <name val="Arial"/>
      <family val="2"/>
    </font>
    <font>
      <b/>
      <i/>
      <sz val="11"/>
      <color rgb="FF132BDF"/>
      <name val="Arial"/>
      <family val="2"/>
    </font>
    <font>
      <b/>
      <sz val="10"/>
      <name val="Arial"/>
      <family val="2"/>
    </font>
    <font>
      <sz val="11"/>
      <color rgb="FFFF0000"/>
      <name val="맑은 고딕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name val="맑은 고딕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11" fontId="2" fillId="0" borderId="0" xfId="0" applyNumberFormat="1" applyFont="1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horizontal="left"/>
    </xf>
    <xf numFmtId="176" fontId="2" fillId="0" borderId="0" xfId="0" applyNumberFormat="1" applyFont="1"/>
    <xf numFmtId="0" fontId="9" fillId="0" borderId="2" xfId="0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5" fillId="0" borderId="3" xfId="0" applyNumberFormat="1" applyFont="1" applyBorder="1" applyAlignment="1">
      <alignment horizontal="center"/>
    </xf>
    <xf numFmtId="11" fontId="6" fillId="0" borderId="3" xfId="0" applyNumberFormat="1" applyFont="1" applyBorder="1" applyAlignment="1">
      <alignment horizontal="center"/>
    </xf>
    <xf numFmtId="11" fontId="7" fillId="0" borderId="5" xfId="0" applyNumberFormat="1" applyFont="1" applyBorder="1" applyAlignment="1">
      <alignment horizontal="center"/>
    </xf>
    <xf numFmtId="0" fontId="10" fillId="0" borderId="1" xfId="0" applyFont="1" applyBorder="1"/>
    <xf numFmtId="2" fontId="11" fillId="0" borderId="4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2" fontId="13" fillId="0" borderId="4" xfId="0" applyNumberFormat="1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/>
    </xf>
    <xf numFmtId="11" fontId="6" fillId="0" borderId="0" xfId="0" applyNumberFormat="1" applyFont="1" applyAlignment="1">
      <alignment horizontal="center"/>
    </xf>
    <xf numFmtId="11" fontId="7" fillId="0" borderId="0" xfId="0" applyNumberFormat="1" applyFont="1" applyAlignment="1">
      <alignment horizontal="center"/>
    </xf>
    <xf numFmtId="176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1" fontId="0" fillId="0" borderId="1" xfId="0" applyNumberFormat="1" applyBorder="1"/>
    <xf numFmtId="11" fontId="0" fillId="0" borderId="7" xfId="0" applyNumberFormat="1" applyBorder="1" applyAlignment="1">
      <alignment vertical="center"/>
    </xf>
    <xf numFmtId="11" fontId="0" fillId="0" borderId="2" xfId="0" applyNumberFormat="1" applyBorder="1" applyAlignment="1">
      <alignment vertical="center"/>
    </xf>
    <xf numFmtId="11" fontId="0" fillId="0" borderId="3" xfId="0" applyNumberFormat="1" applyBorder="1"/>
    <xf numFmtId="11" fontId="0" fillId="0" borderId="4" xfId="0" applyNumberFormat="1" applyBorder="1" applyAlignment="1">
      <alignment vertical="center"/>
    </xf>
    <xf numFmtId="0" fontId="0" fillId="0" borderId="3" xfId="0" applyBorder="1"/>
    <xf numFmtId="11" fontId="0" fillId="0" borderId="4" xfId="0" applyNumberFormat="1" applyBorder="1"/>
    <xf numFmtId="0" fontId="0" fillId="0" borderId="5" xfId="0" applyBorder="1"/>
    <xf numFmtId="11" fontId="0" fillId="0" borderId="8" xfId="0" applyNumberFormat="1" applyBorder="1" applyAlignment="1">
      <alignment vertical="center"/>
    </xf>
    <xf numFmtId="11" fontId="0" fillId="0" borderId="8" xfId="0" applyNumberFormat="1" applyBorder="1"/>
    <xf numFmtId="11" fontId="0" fillId="0" borderId="6" xfId="0" applyNumberFormat="1" applyBorder="1"/>
    <xf numFmtId="0" fontId="16" fillId="0" borderId="0" xfId="0" applyFont="1"/>
    <xf numFmtId="176" fontId="16" fillId="0" borderId="0" xfId="0" applyNumberFormat="1" applyFont="1"/>
    <xf numFmtId="11" fontId="17" fillId="0" borderId="0" xfId="0" applyNumberFormat="1" applyFont="1"/>
    <xf numFmtId="11" fontId="16" fillId="0" borderId="0" xfId="0" applyNumberFormat="1" applyFont="1"/>
    <xf numFmtId="176" fontId="17" fillId="0" borderId="0" xfId="0" applyNumberFormat="1" applyFont="1"/>
    <xf numFmtId="11" fontId="18" fillId="0" borderId="0" xfId="0" applyNumberFormat="1" applyFont="1"/>
    <xf numFmtId="176" fontId="18" fillId="0" borderId="0" xfId="0" applyNumberFormat="1" applyFont="1"/>
    <xf numFmtId="0" fontId="19" fillId="0" borderId="0" xfId="0" applyFont="1"/>
    <xf numFmtId="176" fontId="19" fillId="0" borderId="0" xfId="0" applyNumberFormat="1" applyFont="1"/>
    <xf numFmtId="11" fontId="19" fillId="0" borderId="0" xfId="0" applyNumberFormat="1" applyFont="1"/>
    <xf numFmtId="0" fontId="0" fillId="2" borderId="0" xfId="0" applyFill="1"/>
    <xf numFmtId="176" fontId="0" fillId="2" borderId="0" xfId="0" applyNumberFormat="1" applyFill="1"/>
    <xf numFmtId="176" fontId="2" fillId="2" borderId="0" xfId="0" applyNumberFormat="1" applyFont="1" applyFill="1"/>
    <xf numFmtId="0" fontId="19" fillId="0" borderId="0" xfId="0" applyFont="1" applyAlignment="1">
      <alignment vertical="center"/>
    </xf>
    <xf numFmtId="11" fontId="2" fillId="0" borderId="0" xfId="0" applyNumberFormat="1" applyFont="1" applyAlignment="1">
      <alignment horizontal="left" vertical="center"/>
    </xf>
    <xf numFmtId="11" fontId="21" fillId="0" borderId="0" xfId="0" applyNumberFormat="1" applyFont="1"/>
    <xf numFmtId="11" fontId="15" fillId="0" borderId="0" xfId="0" applyNumberFormat="1" applyFont="1"/>
    <xf numFmtId="0" fontId="22" fillId="0" borderId="9" xfId="0" applyFont="1" applyBorder="1" applyAlignment="1">
      <alignment vertical="center"/>
    </xf>
    <xf numFmtId="11" fontId="0" fillId="0" borderId="10" xfId="0" applyNumberFormat="1" applyBorder="1"/>
    <xf numFmtId="0" fontId="0" fillId="0" borderId="10" xfId="0" applyBorder="1"/>
    <xf numFmtId="11" fontId="2" fillId="0" borderId="11" xfId="0" applyNumberFormat="1" applyFont="1" applyBorder="1"/>
    <xf numFmtId="11" fontId="0" fillId="0" borderId="12" xfId="0" applyNumberFormat="1" applyBorder="1"/>
    <xf numFmtId="11" fontId="0" fillId="0" borderId="0" xfId="0" applyNumberFormat="1" applyBorder="1"/>
    <xf numFmtId="0" fontId="0" fillId="0" borderId="0" xfId="0" applyBorder="1"/>
    <xf numFmtId="11" fontId="2" fillId="0" borderId="13" xfId="0" applyNumberFormat="1" applyFont="1" applyBorder="1"/>
    <xf numFmtId="0" fontId="23" fillId="0" borderId="12" xfId="0" applyFont="1" applyBorder="1" applyAlignment="1">
      <alignment vertical="center"/>
    </xf>
    <xf numFmtId="11" fontId="22" fillId="0" borderId="12" xfId="0" applyNumberFormat="1" applyFont="1" applyBorder="1"/>
    <xf numFmtId="0" fontId="20" fillId="0" borderId="0" xfId="0" applyFont="1" applyBorder="1" applyAlignment="1">
      <alignment horizontal="left" vertical="center"/>
    </xf>
    <xf numFmtId="11" fontId="20" fillId="0" borderId="0" xfId="0" applyNumberFormat="1" applyFont="1" applyBorder="1"/>
    <xf numFmtId="177" fontId="20" fillId="0" borderId="13" xfId="0" applyNumberFormat="1" applyFont="1" applyBorder="1"/>
    <xf numFmtId="11" fontId="2" fillId="0" borderId="12" xfId="0" applyNumberFormat="1" applyFont="1" applyBorder="1"/>
    <xf numFmtId="11" fontId="20" fillId="0" borderId="0" xfId="0" applyNumberFormat="1" applyFont="1" applyBorder="1" applyAlignment="1">
      <alignment horizontal="left" vertical="center"/>
    </xf>
    <xf numFmtId="11" fontId="2" fillId="0" borderId="0" xfId="0" applyNumberFormat="1" applyFont="1" applyBorder="1"/>
    <xf numFmtId="11" fontId="2" fillId="0" borderId="14" xfId="0" applyNumberFormat="1" applyFont="1" applyBorder="1"/>
    <xf numFmtId="11" fontId="24" fillId="0" borderId="0" xfId="0" applyNumberFormat="1" applyFont="1" applyBorder="1"/>
    <xf numFmtId="11" fontId="17" fillId="0" borderId="0" xfId="0" applyNumberFormat="1" applyFont="1" applyBorder="1"/>
    <xf numFmtId="11" fontId="17" fillId="0" borderId="15" xfId="0" applyNumberFormat="1" applyFont="1" applyBorder="1"/>
    <xf numFmtId="0" fontId="0" fillId="0" borderId="0" xfId="0" applyNumberFormat="1"/>
    <xf numFmtId="0" fontId="2" fillId="0" borderId="13" xfId="0" applyNumberFormat="1" applyFont="1" applyBorder="1"/>
    <xf numFmtId="0" fontId="20" fillId="0" borderId="13" xfId="0" applyNumberFormat="1" applyFont="1" applyBorder="1"/>
    <xf numFmtId="0" fontId="24" fillId="0" borderId="13" xfId="0" applyNumberFormat="1" applyFont="1" applyBorder="1"/>
    <xf numFmtId="0" fontId="24" fillId="0" borderId="16" xfId="0" applyNumberFormat="1" applyFont="1" applyBorder="1"/>
    <xf numFmtId="0" fontId="2" fillId="0" borderId="0" xfId="0" applyNumberFormat="1" applyFont="1"/>
    <xf numFmtId="11" fontId="24" fillId="0" borderId="0" xfId="0" applyNumberFormat="1" applyFont="1"/>
    <xf numFmtId="0" fontId="10" fillId="0" borderId="0" xfId="0" applyFont="1"/>
    <xf numFmtId="176" fontId="21" fillId="0" borderId="0" xfId="0" applyNumberFormat="1" applyFont="1"/>
    <xf numFmtId="178" fontId="24" fillId="0" borderId="13" xfId="0" applyNumberFormat="1" applyFont="1" applyBorder="1"/>
    <xf numFmtId="178" fontId="2" fillId="0" borderId="13" xfId="0" applyNumberFormat="1" applyFont="1" applyBorder="1"/>
    <xf numFmtId="178" fontId="20" fillId="0" borderId="13" xfId="0" applyNumberFormat="1" applyFont="1" applyBorder="1"/>
    <xf numFmtId="178" fontId="24" fillId="0" borderId="16" xfId="0" applyNumberFormat="1" applyFont="1" applyBorder="1"/>
    <xf numFmtId="0" fontId="2" fillId="0" borderId="0" xfId="0" applyNumberFormat="1" applyFont="1" applyBorder="1"/>
    <xf numFmtId="0" fontId="20" fillId="0" borderId="0" xfId="0" applyNumberFormat="1" applyFont="1" applyBorder="1" applyAlignment="1">
      <alignment horizontal="left" vertical="center"/>
    </xf>
    <xf numFmtId="49" fontId="24" fillId="0" borderId="0" xfId="0" applyNumberFormat="1" applyFont="1" applyBorder="1" applyAlignment="1">
      <alignment horizontal="left" vertical="center"/>
    </xf>
    <xf numFmtId="49" fontId="24" fillId="0" borderId="15" xfId="0" applyNumberFormat="1" applyFont="1" applyBorder="1" applyAlignment="1">
      <alignment horizontal="left" vertical="center"/>
    </xf>
    <xf numFmtId="179" fontId="24" fillId="0" borderId="13" xfId="0" applyNumberFormat="1" applyFont="1" applyBorder="1"/>
    <xf numFmtId="179" fontId="2" fillId="0" borderId="13" xfId="0" applyNumberFormat="1" applyFont="1" applyBorder="1"/>
    <xf numFmtId="179" fontId="20" fillId="0" borderId="13" xfId="0" applyNumberFormat="1" applyFont="1" applyBorder="1"/>
    <xf numFmtId="179" fontId="24" fillId="0" borderId="16" xfId="0" applyNumberFormat="1" applyFont="1" applyBorder="1"/>
    <xf numFmtId="180" fontId="24" fillId="0" borderId="13" xfId="0" applyNumberFormat="1" applyFont="1" applyBorder="1"/>
    <xf numFmtId="180" fontId="2" fillId="0" borderId="13" xfId="0" applyNumberFormat="1" applyFont="1" applyBorder="1"/>
    <xf numFmtId="180" fontId="20" fillId="0" borderId="13" xfId="0" applyNumberFormat="1" applyFont="1" applyBorder="1"/>
    <xf numFmtId="180" fontId="24" fillId="0" borderId="16" xfId="0" applyNumberFormat="1" applyFont="1" applyBorder="1"/>
    <xf numFmtId="0" fontId="8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32BDF"/>
      <color rgb="FF00E668"/>
      <color rgb="FF050E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304800</xdr:colOff>
      <xdr:row>55</xdr:row>
      <xdr:rowOff>190500</xdr:rowOff>
    </xdr:from>
    <xdr:to>
      <xdr:col>33</xdr:col>
      <xdr:colOff>149679</xdr:colOff>
      <xdr:row>97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59B97-CF22-5804-77C6-F57CF699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12801600"/>
          <a:ext cx="11296650" cy="944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138544</xdr:colOff>
      <xdr:row>46</xdr:row>
      <xdr:rowOff>207819</xdr:rowOff>
    </xdr:from>
    <xdr:to>
      <xdr:col>34</xdr:col>
      <xdr:colOff>220805</xdr:colOff>
      <xdr:row>64</xdr:row>
      <xdr:rowOff>103909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C01F7-757B-7643-9861-D884BC9F1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06953" y="10148455"/>
          <a:ext cx="5364307" cy="3965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242453</xdr:colOff>
      <xdr:row>28</xdr:row>
      <xdr:rowOff>69273</xdr:rowOff>
    </xdr:from>
    <xdr:to>
      <xdr:col>34</xdr:col>
      <xdr:colOff>303067</xdr:colOff>
      <xdr:row>46</xdr:row>
      <xdr:rowOff>22514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579B9-A07B-BE1B-01D3-E5F0623CE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8135" y="5922818"/>
          <a:ext cx="5342660" cy="404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65F5-D318-408A-9040-9A93EDF901C4}">
  <dimension ref="A1:BM602"/>
  <sheetViews>
    <sheetView zoomScale="70" zoomScaleNormal="70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20" max="20" width="11" bestFit="1" customWidth="1"/>
    <col min="21" max="21" width="9.5" bestFit="1" customWidth="1"/>
    <col min="22" max="22" width="13.375" bestFit="1" customWidth="1"/>
    <col min="24" max="24" width="12.875" bestFit="1" customWidth="1"/>
    <col min="25" max="25" width="11.75" bestFit="1" customWidth="1"/>
    <col min="27" max="27" width="15.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1.2735587532151998E-10</v>
      </c>
      <c r="B1" s="7" t="s">
        <v>0</v>
      </c>
      <c r="C1" s="8" t="s">
        <v>77</v>
      </c>
      <c r="D1" s="8" t="s">
        <v>78</v>
      </c>
      <c r="E1" s="8" t="s">
        <v>78</v>
      </c>
      <c r="F1" t="s">
        <v>78</v>
      </c>
      <c r="G1" t="s">
        <v>78</v>
      </c>
      <c r="H1" t="s">
        <v>79</v>
      </c>
      <c r="I1" t="s">
        <v>80</v>
      </c>
      <c r="J1" s="7" t="s">
        <v>81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1.2709878519999999E-10</v>
      </c>
      <c r="D2" s="1">
        <v>1.270922E-10</v>
      </c>
      <c r="E2" s="1">
        <v>6.5851999999999998E-15</v>
      </c>
      <c r="F2" s="1">
        <v>2.5709000000000002E-13</v>
      </c>
      <c r="G2" s="1">
        <v>1.2152E-19</v>
      </c>
      <c r="H2" s="1">
        <v>0</v>
      </c>
      <c r="I2" s="1">
        <v>0</v>
      </c>
      <c r="J2" s="8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36" si="0">(H2+F2)/$A$1*100</f>
        <v>0.20186740450800245</v>
      </c>
      <c r="R2" s="6">
        <f t="shared" ref="R2:R36" si="1">(G2+I2)/$A$1*100</f>
        <v>9.5417663058899438E-8</v>
      </c>
      <c r="S2" s="5">
        <f t="shared" ref="S2:S36" si="2">J2/$A$1*100</f>
        <v>0</v>
      </c>
      <c r="T2" s="6">
        <f t="shared" ref="T2:V17" si="3">C2/$A$1*100</f>
        <v>99.798132500074345</v>
      </c>
      <c r="U2" s="1">
        <f t="shared" si="3"/>
        <v>99.792961792414914</v>
      </c>
      <c r="V2" s="1">
        <f t="shared" si="3"/>
        <v>5.1707076594425987E-3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2.468</v>
      </c>
      <c r="C3" s="8">
        <v>1.2613010000000001E-10</v>
      </c>
      <c r="D3" s="1">
        <v>1.138241E-10</v>
      </c>
      <c r="E3" s="1">
        <v>1.2306E-11</v>
      </c>
      <c r="F3" s="1">
        <v>1.1752000000000001E-12</v>
      </c>
      <c r="G3" s="1">
        <v>9.1316E-18</v>
      </c>
      <c r="H3" s="1">
        <v>2.5861999999999999E-14</v>
      </c>
      <c r="I3" s="1">
        <v>1.6733999999999999E-15</v>
      </c>
      <c r="J3" s="8">
        <v>0</v>
      </c>
      <c r="K3" s="1"/>
      <c r="L3" s="1"/>
      <c r="N3" s="7"/>
      <c r="O3">
        <f t="shared" ref="O3:O36" si="4">B3/60</f>
        <v>4.1133333333333334E-2</v>
      </c>
      <c r="P3" s="6">
        <f t="shared" ref="P3:P36" si="5">(SUM(F3:J3)+C3)/$A$1*100</f>
        <v>99.981916193609578</v>
      </c>
      <c r="Q3" s="6">
        <f t="shared" si="0"/>
        <v>0.94307545448360686</v>
      </c>
      <c r="R3" s="6">
        <f t="shared" si="1"/>
        <v>1.3211260146045998E-3</v>
      </c>
      <c r="S3" s="5">
        <f t="shared" si="2"/>
        <v>0</v>
      </c>
      <c r="T3" s="6">
        <f t="shared" si="3"/>
        <v>99.037519613111371</v>
      </c>
      <c r="U3" s="1">
        <f t="shared" si="3"/>
        <v>89.374832305649079</v>
      </c>
      <c r="V3" s="1">
        <f t="shared" si="3"/>
        <v>9.6626873074622832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4.516</v>
      </c>
      <c r="C4" s="8">
        <v>1.2584740000000001E-10</v>
      </c>
      <c r="D4" s="1">
        <v>1.135724E-10</v>
      </c>
      <c r="E4" s="1">
        <v>1.2274999999999999E-11</v>
      </c>
      <c r="F4" s="1">
        <v>1.4001000000000001E-12</v>
      </c>
      <c r="G4" s="1">
        <v>1.1002E-17</v>
      </c>
      <c r="H4" s="1">
        <v>7.3009E-14</v>
      </c>
      <c r="I4" s="1">
        <v>4.7291000000000003E-15</v>
      </c>
      <c r="J4" s="8">
        <v>0</v>
      </c>
      <c r="K4" s="1"/>
      <c r="L4" s="1"/>
      <c r="N4" s="7"/>
      <c r="O4">
        <f t="shared" si="4"/>
        <v>7.5266666666666662E-2</v>
      </c>
      <c r="P4" s="6">
        <f t="shared" si="5"/>
        <v>99.975952252345905</v>
      </c>
      <c r="Q4" s="6">
        <f t="shared" si="0"/>
        <v>1.1566871149689952</v>
      </c>
      <c r="R4" s="6">
        <f t="shared" si="1"/>
        <v>3.7219342947730034E-3</v>
      </c>
      <c r="S4" s="5">
        <f t="shared" si="2"/>
        <v>0</v>
      </c>
      <c r="T4" s="6">
        <f t="shared" si="3"/>
        <v>98.815543203082143</v>
      </c>
      <c r="U4" s="1">
        <f t="shared" si="3"/>
        <v>89.177197136196114</v>
      </c>
      <c r="V4" s="1">
        <f t="shared" si="3"/>
        <v>9.6383460668860312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7.5880000000000001</v>
      </c>
      <c r="C5" s="8">
        <v>1.25526E-10</v>
      </c>
      <c r="D5" s="1">
        <v>1.1330099999999999E-10</v>
      </c>
      <c r="E5" s="1">
        <v>1.2225E-11</v>
      </c>
      <c r="F5" s="1">
        <v>1.6268000000000001E-12</v>
      </c>
      <c r="G5" s="1">
        <v>1.4808E-17</v>
      </c>
      <c r="H5" s="1">
        <v>1.5700000000000001E-13</v>
      </c>
      <c r="I5" s="1">
        <v>1.0619E-14</v>
      </c>
      <c r="J5" s="8">
        <v>0</v>
      </c>
      <c r="K5" s="1"/>
      <c r="L5" s="1"/>
      <c r="N5" s="7"/>
      <c r="O5">
        <f t="shared" si="4"/>
        <v>0.12646666666666667</v>
      </c>
      <c r="P5" s="6">
        <f t="shared" si="5"/>
        <v>99.972171277194306</v>
      </c>
      <c r="Q5" s="6">
        <f t="shared" si="0"/>
        <v>1.4006420948359517</v>
      </c>
      <c r="R5" s="6">
        <f t="shared" si="1"/>
        <v>8.3496799603113014E-3</v>
      </c>
      <c r="S5" s="5">
        <f t="shared" si="2"/>
        <v>0</v>
      </c>
      <c r="T5" s="6">
        <f t="shared" si="3"/>
        <v>98.563179502398057</v>
      </c>
      <c r="U5" s="1">
        <f t="shared" si="3"/>
        <v>88.964093500957588</v>
      </c>
      <c r="V5" s="1">
        <f t="shared" si="3"/>
        <v>9.5990860014404689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9.6359999999999992</v>
      </c>
      <c r="C6" s="8">
        <v>1.2534199999999999E-10</v>
      </c>
      <c r="D6" s="1">
        <v>1.1315E-10</v>
      </c>
      <c r="E6" s="1">
        <v>1.2192E-11</v>
      </c>
      <c r="F6" s="1">
        <v>1.7380000000000001E-12</v>
      </c>
      <c r="G6" s="1">
        <v>1.7355999999999999E-17</v>
      </c>
      <c r="H6" s="1">
        <v>2.1952000000000001E-13</v>
      </c>
      <c r="I6" s="1">
        <v>1.5530000000000001E-14</v>
      </c>
      <c r="J6" s="8">
        <v>0</v>
      </c>
      <c r="K6" s="1"/>
      <c r="L6" s="1"/>
      <c r="N6" s="7"/>
      <c r="O6">
        <f t="shared" si="4"/>
        <v>0.16059999999999999</v>
      </c>
      <c r="P6" s="6">
        <f t="shared" si="5"/>
        <v>99.9679575320597</v>
      </c>
      <c r="Q6" s="6">
        <f t="shared" si="0"/>
        <v>1.5370472662200201</v>
      </c>
      <c r="R6" s="6">
        <f t="shared" si="1"/>
        <v>1.2207804281309732E-2</v>
      </c>
      <c r="S6" s="5">
        <f t="shared" si="2"/>
        <v>0</v>
      </c>
      <c r="T6" s="6">
        <f t="shared" si="3"/>
        <v>98.418702461558368</v>
      </c>
      <c r="U6" s="1">
        <f t="shared" si="3"/>
        <v>88.845528103311992</v>
      </c>
      <c r="V6" s="1">
        <f t="shared" si="3"/>
        <v>9.573174358246396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0.9</v>
      </c>
      <c r="AH6" s="1">
        <v>0.9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13.731999999999999</v>
      </c>
      <c r="C7" s="8">
        <v>1.2501250000000001E-10</v>
      </c>
      <c r="D7" s="1">
        <v>1.1288350000000001E-10</v>
      </c>
      <c r="E7" s="1">
        <v>1.2129000000000001E-11</v>
      </c>
      <c r="F7" s="1">
        <v>1.9118E-12</v>
      </c>
      <c r="G7" s="1">
        <v>2.3497000000000001E-17</v>
      </c>
      <c r="H7" s="1">
        <v>3.5569000000000002E-13</v>
      </c>
      <c r="I7" s="1">
        <v>2.8093E-14</v>
      </c>
      <c r="J7" s="8">
        <v>0</v>
      </c>
      <c r="K7" s="1"/>
      <c r="L7" s="1"/>
      <c r="N7" s="7"/>
      <c r="O7">
        <f t="shared" si="4"/>
        <v>0.22886666666666666</v>
      </c>
      <c r="P7" s="6">
        <f t="shared" si="5"/>
        <v>99.962491856461781</v>
      </c>
      <c r="Q7" s="6">
        <f t="shared" si="0"/>
        <v>1.7804361159432514</v>
      </c>
      <c r="R7" s="6">
        <f t="shared" si="1"/>
        <v>2.2077110246400241E-2</v>
      </c>
      <c r="S7" s="5">
        <f t="shared" si="2"/>
        <v>0</v>
      </c>
      <c r="T7" s="6">
        <f t="shared" si="3"/>
        <v>98.159978630272121</v>
      </c>
      <c r="U7" s="1">
        <f t="shared" si="3"/>
        <v>88.636271954487128</v>
      </c>
      <c r="V7" s="1">
        <f t="shared" si="3"/>
        <v>9.5237066757849842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156</v>
      </c>
      <c r="AH7" s="1" t="s">
        <v>160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17.417999999999999</v>
      </c>
      <c r="C8" s="8">
        <v>1.247391E-10</v>
      </c>
      <c r="D8" s="1">
        <v>1.126621E-10</v>
      </c>
      <c r="E8" s="1">
        <v>1.2077E-11</v>
      </c>
      <c r="F8" s="1">
        <v>2.0301E-12</v>
      </c>
      <c r="G8" s="1">
        <v>3.0114999999999997E-17</v>
      </c>
      <c r="H8" s="1">
        <v>4.8872999999999998E-13</v>
      </c>
      <c r="I8" s="1">
        <v>4.2966E-14</v>
      </c>
      <c r="J8" s="8">
        <v>0</v>
      </c>
      <c r="K8" s="1"/>
      <c r="L8" s="1"/>
      <c r="M8" s="4"/>
      <c r="N8" s="7"/>
      <c r="O8">
        <f t="shared" si="4"/>
        <v>0.2903</v>
      </c>
      <c r="P8" s="6">
        <f t="shared" si="5"/>
        <v>99.956853811116872</v>
      </c>
      <c r="Q8" s="6">
        <f t="shared" si="0"/>
        <v>1.977788612925014</v>
      </c>
      <c r="R8" s="6">
        <f t="shared" si="1"/>
        <v>3.3760605776100169E-2</v>
      </c>
      <c r="S8" s="5">
        <f t="shared" si="2"/>
        <v>0</v>
      </c>
      <c r="T8" s="6">
        <f t="shared" si="3"/>
        <v>97.945304592415766</v>
      </c>
      <c r="U8" s="1">
        <f t="shared" si="3"/>
        <v>88.462428384694164</v>
      </c>
      <c r="V8" s="1">
        <f t="shared" si="3"/>
        <v>9.4828762077215973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0.48</v>
      </c>
      <c r="AH8" s="37">
        <v>0.48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21.105</v>
      </c>
      <c r="C9" s="8">
        <v>1.2447819999999999E-10</v>
      </c>
      <c r="D9" s="1">
        <v>1.124502E-10</v>
      </c>
      <c r="E9" s="1">
        <v>1.2028E-11</v>
      </c>
      <c r="F9" s="1">
        <v>2.1270000000000001E-12</v>
      </c>
      <c r="G9" s="1">
        <v>3.7223E-17</v>
      </c>
      <c r="H9" s="1">
        <v>6.2974E-13</v>
      </c>
      <c r="I9" s="1">
        <v>6.1588E-14</v>
      </c>
      <c r="J9" s="8">
        <v>0</v>
      </c>
      <c r="K9" s="1"/>
      <c r="L9" s="1"/>
      <c r="N9" s="7"/>
      <c r="O9">
        <f t="shared" si="4"/>
        <v>0.35175000000000001</v>
      </c>
      <c r="P9" s="6">
        <f t="shared" si="5"/>
        <v>99.953429633010458</v>
      </c>
      <c r="Q9" s="6">
        <f t="shared" si="0"/>
        <v>2.164595856328098</v>
      </c>
      <c r="R9" s="6">
        <f t="shared" si="1"/>
        <v>4.8388205761549868E-2</v>
      </c>
      <c r="S9" s="5">
        <f t="shared" si="2"/>
        <v>0</v>
      </c>
      <c r="T9" s="6">
        <f t="shared" si="3"/>
        <v>97.740445570920798</v>
      </c>
      <c r="U9" s="1">
        <f t="shared" si="3"/>
        <v>88.296044227335855</v>
      </c>
      <c r="V9" s="1">
        <f t="shared" si="3"/>
        <v>9.4444013435849445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4.2</v>
      </c>
      <c r="AH9" s="37">
        <v>4.2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24.791</v>
      </c>
      <c r="C10" s="8">
        <v>1.242215E-10</v>
      </c>
      <c r="D10" s="1">
        <v>1.122375E-10</v>
      </c>
      <c r="E10" s="1">
        <v>1.1984000000000001E-11</v>
      </c>
      <c r="F10" s="1">
        <v>2.2085000000000001E-12</v>
      </c>
      <c r="G10" s="1">
        <v>4.4511999999999999E-17</v>
      </c>
      <c r="H10" s="1">
        <v>7.7754000000000004E-13</v>
      </c>
      <c r="I10" s="1">
        <v>8.4180999999999997E-14</v>
      </c>
      <c r="J10" s="8">
        <v>0</v>
      </c>
      <c r="K10" s="1"/>
      <c r="L10" s="1"/>
      <c r="N10" s="7"/>
      <c r="O10">
        <f t="shared" si="4"/>
        <v>0.41318333333333335</v>
      </c>
      <c r="P10" s="6">
        <f t="shared" si="5"/>
        <v>99.949660893650858</v>
      </c>
      <c r="Q10" s="6">
        <f t="shared" si="0"/>
        <v>2.3446425164614557</v>
      </c>
      <c r="R10" s="6">
        <f t="shared" si="1"/>
        <v>6.6133982266123201E-2</v>
      </c>
      <c r="S10" s="5">
        <f t="shared" si="2"/>
        <v>0</v>
      </c>
      <c r="T10" s="6">
        <f t="shared" si="3"/>
        <v>97.538884394923286</v>
      </c>
      <c r="U10" s="1">
        <f t="shared" si="3"/>
        <v>88.129031908930429</v>
      </c>
      <c r="V10" s="1">
        <f t="shared" si="3"/>
        <v>9.4098524859928485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0</v>
      </c>
      <c r="AH10" s="37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32.164000000000001</v>
      </c>
      <c r="C11" s="8">
        <v>1.2371390000000001E-10</v>
      </c>
      <c r="D11" s="1">
        <v>1.118109E-10</v>
      </c>
      <c r="E11" s="1">
        <v>1.1903E-11</v>
      </c>
      <c r="F11" s="1">
        <v>2.3365E-12</v>
      </c>
      <c r="G11" s="1">
        <v>5.7926999999999997E-17</v>
      </c>
      <c r="H11" s="1">
        <v>1.0895E-12</v>
      </c>
      <c r="I11" s="1">
        <v>1.4122999999999999E-13</v>
      </c>
      <c r="J11" s="8">
        <v>0</v>
      </c>
      <c r="K11" s="1"/>
      <c r="L11" s="1"/>
      <c r="N11" s="7"/>
      <c r="O11">
        <f t="shared" si="4"/>
        <v>0.53606666666666669</v>
      </c>
      <c r="P11" s="6">
        <f t="shared" si="5"/>
        <v>99.941355360063739</v>
      </c>
      <c r="Q11" s="6">
        <f t="shared" si="0"/>
        <v>2.6900996843300651</v>
      </c>
      <c r="R11" s="6">
        <f t="shared" si="1"/>
        <v>0.11093946521376218</v>
      </c>
      <c r="S11" s="5">
        <f t="shared" si="2"/>
        <v>0</v>
      </c>
      <c r="T11" s="6">
        <f t="shared" si="3"/>
        <v>97.140316210519913</v>
      </c>
      <c r="U11" s="1">
        <f t="shared" si="3"/>
        <v>87.794065030548879</v>
      </c>
      <c r="V11" s="1">
        <f t="shared" si="3"/>
        <v>9.3462511799710359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39.536999999999999</v>
      </c>
      <c r="C12" s="8">
        <v>1.232184E-10</v>
      </c>
      <c r="D12" s="1">
        <v>1.1138739999999999E-10</v>
      </c>
      <c r="E12" s="1">
        <v>1.1831E-11</v>
      </c>
      <c r="F12" s="1">
        <v>2.4255000000000001E-12</v>
      </c>
      <c r="G12" s="1">
        <v>7.0353999999999994E-17</v>
      </c>
      <c r="H12" s="1">
        <v>1.4186E-12</v>
      </c>
      <c r="I12" s="1">
        <v>2.131E-13</v>
      </c>
      <c r="J12" s="8">
        <v>0</v>
      </c>
      <c r="K12" s="1"/>
      <c r="L12" s="1"/>
      <c r="N12" s="7"/>
      <c r="O12">
        <f t="shared" si="4"/>
        <v>0.65895000000000004</v>
      </c>
      <c r="P12" s="6">
        <f t="shared" si="5"/>
        <v>99.937022954522121</v>
      </c>
      <c r="Q12" s="6">
        <f t="shared" si="0"/>
        <v>3.0183923515858733</v>
      </c>
      <c r="R12" s="6">
        <f t="shared" si="1"/>
        <v>0.16738164098188213</v>
      </c>
      <c r="S12" s="5">
        <f t="shared" si="2"/>
        <v>0</v>
      </c>
      <c r="T12" s="6">
        <f t="shared" si="3"/>
        <v>96.751248961954374</v>
      </c>
      <c r="U12" s="1">
        <f t="shared" si="3"/>
        <v>87.461532276224943</v>
      </c>
      <c r="V12" s="1">
        <f t="shared" si="3"/>
        <v>9.2897166857294202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46.91</v>
      </c>
      <c r="C13" s="8">
        <v>1.22721E-10</v>
      </c>
      <c r="D13" s="1">
        <v>1.1095599999999999E-10</v>
      </c>
      <c r="E13" s="1">
        <v>1.1764999999999999E-11</v>
      </c>
      <c r="F13" s="1">
        <v>2.4853999999999999E-12</v>
      </c>
      <c r="G13" s="1">
        <v>8.1322000000000005E-17</v>
      </c>
      <c r="H13" s="1">
        <v>1.7598E-12</v>
      </c>
      <c r="I13" s="1">
        <v>2.9784999999999999E-13</v>
      </c>
      <c r="J13" s="8">
        <v>0</v>
      </c>
      <c r="K13" s="1"/>
      <c r="L13" s="1"/>
      <c r="N13" s="7"/>
      <c r="O13">
        <f t="shared" si="4"/>
        <v>0.78183333333333327</v>
      </c>
      <c r="P13" s="6">
        <f t="shared" si="5"/>
        <v>99.927962491492167</v>
      </c>
      <c r="Q13" s="6">
        <f t="shared" si="0"/>
        <v>3.3333365965901898</v>
      </c>
      <c r="R13" s="6">
        <f t="shared" si="1"/>
        <v>0.23393606400006975</v>
      </c>
      <c r="S13" s="5">
        <f t="shared" si="2"/>
        <v>0</v>
      </c>
      <c r="T13" s="6">
        <f t="shared" si="3"/>
        <v>96.360689830901904</v>
      </c>
      <c r="U13" s="1">
        <f t="shared" si="3"/>
        <v>87.122796431560616</v>
      </c>
      <c r="V13" s="1">
        <f t="shared" si="3"/>
        <v>9.2378933993412762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54.281999999999996</v>
      </c>
      <c r="C14" s="8">
        <v>1.2223489999999999E-10</v>
      </c>
      <c r="D14" s="1">
        <v>1.1053089999999999E-10</v>
      </c>
      <c r="E14" s="1">
        <v>1.1703999999999999E-11</v>
      </c>
      <c r="F14" s="1">
        <v>2.5244E-12</v>
      </c>
      <c r="G14" s="1">
        <v>9.0073000000000004E-17</v>
      </c>
      <c r="H14" s="1">
        <v>2.1093999999999999E-12</v>
      </c>
      <c r="I14" s="1">
        <v>3.9322000000000001E-13</v>
      </c>
      <c r="J14" s="8">
        <v>0</v>
      </c>
      <c r="K14" s="1"/>
      <c r="L14" s="1"/>
      <c r="N14" s="7"/>
      <c r="O14">
        <f t="shared" si="4"/>
        <v>0.90469999999999995</v>
      </c>
      <c r="P14" s="6">
        <f t="shared" si="5"/>
        <v>99.926296884000806</v>
      </c>
      <c r="Q14" s="6">
        <f t="shared" si="0"/>
        <v>3.6384658252331157</v>
      </c>
      <c r="R14" s="6">
        <f t="shared" si="1"/>
        <v>0.30882758412759337</v>
      </c>
      <c r="S14" s="5">
        <f t="shared" si="2"/>
        <v>0</v>
      </c>
      <c r="T14" s="6">
        <f t="shared" si="3"/>
        <v>95.979003474640109</v>
      </c>
      <c r="U14" s="1">
        <f t="shared" si="3"/>
        <v>86.789007355142431</v>
      </c>
      <c r="V14" s="1">
        <f t="shared" si="3"/>
        <v>9.1899961194976889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69.028000000000006</v>
      </c>
      <c r="C15" s="8">
        <v>1.2124739999999999E-10</v>
      </c>
      <c r="D15" s="1">
        <v>1.096574E-10</v>
      </c>
      <c r="E15" s="1">
        <v>1.159E-11</v>
      </c>
      <c r="F15" s="1">
        <v>2.5664000000000001E-12</v>
      </c>
      <c r="G15" s="1">
        <v>1.0058E-16</v>
      </c>
      <c r="H15" s="1">
        <v>2.8226000000000001E-12</v>
      </c>
      <c r="I15" s="1">
        <v>6.0693000000000002E-13</v>
      </c>
      <c r="J15" s="8">
        <v>0</v>
      </c>
      <c r="K15" s="1"/>
      <c r="L15" s="1"/>
      <c r="N15" s="7"/>
      <c r="O15">
        <f t="shared" si="4"/>
        <v>1.1504666666666667</v>
      </c>
      <c r="P15" s="6">
        <f t="shared" si="5"/>
        <v>99.911708241778314</v>
      </c>
      <c r="Q15" s="6">
        <f t="shared" si="0"/>
        <v>4.2314498537229186</v>
      </c>
      <c r="R15" s="6">
        <f t="shared" si="1"/>
        <v>0.47664120596517701</v>
      </c>
      <c r="S15" s="5">
        <f t="shared" si="2"/>
        <v>0</v>
      </c>
      <c r="T15" s="6">
        <f t="shared" si="3"/>
        <v>95.203617182090213</v>
      </c>
      <c r="U15" s="1">
        <f t="shared" si="3"/>
        <v>86.103134011808422</v>
      </c>
      <c r="V15" s="1">
        <f t="shared" si="3"/>
        <v>9.1004831702818016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0.1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83.774000000000001</v>
      </c>
      <c r="C16" s="8">
        <v>1.2027759999999998E-10</v>
      </c>
      <c r="D16" s="1">
        <v>1.087926E-10</v>
      </c>
      <c r="E16" s="1">
        <v>1.1485E-11</v>
      </c>
      <c r="F16" s="1">
        <v>2.5757E-12</v>
      </c>
      <c r="G16" s="1">
        <v>1.0705E-16</v>
      </c>
      <c r="H16" s="1">
        <v>3.5455000000000002E-12</v>
      </c>
      <c r="I16" s="1">
        <v>8.4223000000000004E-13</v>
      </c>
      <c r="J16" s="8">
        <v>0</v>
      </c>
      <c r="K16" s="1"/>
      <c r="L16" s="1"/>
      <c r="N16" s="7"/>
      <c r="O16">
        <f t="shared" si="4"/>
        <v>1.3962333333333334</v>
      </c>
      <c r="P16" s="6">
        <f t="shared" si="5"/>
        <v>99.909907359020295</v>
      </c>
      <c r="Q16" s="6">
        <f t="shared" si="0"/>
        <v>4.8063742521077621</v>
      </c>
      <c r="R16" s="6">
        <f t="shared" si="1"/>
        <v>0.66140415420447118</v>
      </c>
      <c r="S16" s="5">
        <f t="shared" si="2"/>
        <v>0</v>
      </c>
      <c r="T16" s="6">
        <f t="shared" si="3"/>
        <v>94.442128952708046</v>
      </c>
      <c r="U16" s="1">
        <f t="shared" si="3"/>
        <v>85.424091919861951</v>
      </c>
      <c r="V16" s="1">
        <f t="shared" si="3"/>
        <v>9.0180370328461166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98.519000000000005</v>
      </c>
      <c r="C17" s="8">
        <v>1.1929980000000001E-10</v>
      </c>
      <c r="D17" s="1">
        <v>1.079138E-10</v>
      </c>
      <c r="E17" s="1">
        <v>1.1386E-11</v>
      </c>
      <c r="F17" s="1">
        <v>2.568E-12</v>
      </c>
      <c r="G17" s="1">
        <v>1.1218000000000001E-16</v>
      </c>
      <c r="H17" s="1">
        <v>4.2698999999999998E-12</v>
      </c>
      <c r="I17" s="1">
        <v>1.0901E-12</v>
      </c>
      <c r="J17" s="8">
        <v>0</v>
      </c>
      <c r="K17" s="1"/>
      <c r="L17" s="1"/>
      <c r="N17" s="7"/>
      <c r="O17">
        <f t="shared" si="4"/>
        <v>1.6419833333333334</v>
      </c>
      <c r="P17" s="6">
        <f t="shared" si="5"/>
        <v>99.899523173786122</v>
      </c>
      <c r="Q17" s="6">
        <f t="shared" si="0"/>
        <v>5.3691280302044806</v>
      </c>
      <c r="R17" s="6">
        <f t="shared" si="1"/>
        <v>0.85603603072702628</v>
      </c>
      <c r="S17" s="5">
        <f t="shared" si="2"/>
        <v>0</v>
      </c>
      <c r="T17" s="6">
        <f t="shared" si="3"/>
        <v>93.674359112854617</v>
      </c>
      <c r="U17" s="1">
        <f t="shared" si="3"/>
        <v>84.734057009590714</v>
      </c>
      <c r="V17" s="1">
        <f t="shared" si="3"/>
        <v>8.9403021032638996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113.26</v>
      </c>
      <c r="C18" s="8">
        <v>1.1832700000000002E-10</v>
      </c>
      <c r="D18" s="1">
        <v>1.0703800000000001E-10</v>
      </c>
      <c r="E18" s="1">
        <v>1.1289E-11</v>
      </c>
      <c r="F18" s="1">
        <v>2.5522E-12</v>
      </c>
      <c r="G18" s="1">
        <v>1.1486000000000001E-16</v>
      </c>
      <c r="H18" s="1">
        <v>4.9915000000000003E-12</v>
      </c>
      <c r="I18" s="1">
        <v>1.3446999999999999E-12</v>
      </c>
      <c r="J18" s="8">
        <v>0</v>
      </c>
      <c r="K18" s="1"/>
      <c r="L18" s="1"/>
      <c r="N18" s="7"/>
      <c r="O18">
        <f t="shared" si="4"/>
        <v>1.8876666666666668</v>
      </c>
      <c r="P18" s="6">
        <f t="shared" si="5"/>
        <v>99.889788781895135</v>
      </c>
      <c r="Q18" s="6">
        <f t="shared" si="0"/>
        <v>5.9233231140340665</v>
      </c>
      <c r="R18" s="6">
        <f t="shared" si="1"/>
        <v>1.0559503883153474</v>
      </c>
      <c r="S18" s="5">
        <f t="shared" si="2"/>
        <v>0</v>
      </c>
      <c r="T18" s="6">
        <f t="shared" ref="T18:V36" si="6">C18/$A$1*100</f>
        <v>92.91051527954572</v>
      </c>
      <c r="U18" s="1">
        <f t="shared" si="6"/>
        <v>84.046377703246208</v>
      </c>
      <c r="V18" s="1">
        <f t="shared" si="6"/>
        <v>8.8641375762995054</v>
      </c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128.01</v>
      </c>
      <c r="C19" s="8">
        <v>1.1735940000000001E-10</v>
      </c>
      <c r="D19" s="1">
        <v>1.0616440000000001E-10</v>
      </c>
      <c r="E19" s="1">
        <v>1.1195E-11</v>
      </c>
      <c r="F19" s="1">
        <v>2.5329999999999998E-12</v>
      </c>
      <c r="G19" s="1">
        <v>1.1583E-16</v>
      </c>
      <c r="H19" s="1">
        <v>5.7084999999999998E-12</v>
      </c>
      <c r="I19" s="1">
        <v>1.6026000000000001E-12</v>
      </c>
      <c r="J19" s="8">
        <v>0</v>
      </c>
      <c r="K19" s="1"/>
      <c r="L19" s="1"/>
      <c r="N19" s="7"/>
      <c r="O19">
        <f t="shared" si="4"/>
        <v>2.1334999999999997</v>
      </c>
      <c r="P19" s="6">
        <f t="shared" si="5"/>
        <v>99.880445647964351</v>
      </c>
      <c r="Q19" s="6">
        <f t="shared" si="0"/>
        <v>6.4712365873923607</v>
      </c>
      <c r="R19" s="6">
        <f t="shared" si="1"/>
        <v>1.2584545675288379</v>
      </c>
      <c r="S19" s="5">
        <f t="shared" si="2"/>
        <v>0</v>
      </c>
      <c r="T19" s="6">
        <f t="shared" si="6"/>
        <v>92.150754493043152</v>
      </c>
      <c r="U19" s="1">
        <f t="shared" si="6"/>
        <v>83.3604258397813</v>
      </c>
      <c r="V19" s="1">
        <f t="shared" si="6"/>
        <v>8.7903286532618434</v>
      </c>
      <c r="X19" s="5"/>
      <c r="Y19" s="6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142.76</v>
      </c>
      <c r="C20" s="8">
        <v>1.163973E-10</v>
      </c>
      <c r="D20" s="1">
        <v>1.052953E-10</v>
      </c>
      <c r="E20" s="1">
        <v>1.1102E-11</v>
      </c>
      <c r="F20" s="1">
        <v>2.5125E-12</v>
      </c>
      <c r="G20" s="1">
        <v>1.1559E-16</v>
      </c>
      <c r="H20" s="1">
        <v>6.4199999999999997E-12</v>
      </c>
      <c r="I20" s="1">
        <v>1.8615000000000001E-12</v>
      </c>
      <c r="J20" s="8">
        <v>0</v>
      </c>
      <c r="K20" s="1"/>
      <c r="L20" s="1"/>
      <c r="N20" s="7"/>
      <c r="O20">
        <f t="shared" si="4"/>
        <v>2.3793333333333333</v>
      </c>
      <c r="P20" s="6">
        <f t="shared" si="5"/>
        <v>99.87086600354732</v>
      </c>
      <c r="Q20" s="6">
        <f t="shared" si="0"/>
        <v>7.0138106918500602</v>
      </c>
      <c r="R20" s="6">
        <f t="shared" si="1"/>
        <v>1.4617429979576555</v>
      </c>
      <c r="S20" s="5">
        <f t="shared" si="2"/>
        <v>0</v>
      </c>
      <c r="T20" s="6">
        <f t="shared" si="6"/>
        <v>91.395312313739595</v>
      </c>
      <c r="U20" s="1">
        <f t="shared" si="6"/>
        <v>82.678007382206502</v>
      </c>
      <c r="V20" s="1">
        <f t="shared" si="6"/>
        <v>8.7173049315330946</v>
      </c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172.25</v>
      </c>
      <c r="C21" s="8">
        <v>1.1449280000000001E-10</v>
      </c>
      <c r="D21" s="1">
        <v>1.0357380000000001E-10</v>
      </c>
      <c r="E21" s="1">
        <v>1.0919000000000001E-11</v>
      </c>
      <c r="F21" s="1">
        <v>2.4713000000000002E-12</v>
      </c>
      <c r="G21" s="1">
        <v>1.1193E-16</v>
      </c>
      <c r="H21" s="1">
        <v>7.8255000000000005E-12</v>
      </c>
      <c r="I21" s="1">
        <v>2.3771E-12</v>
      </c>
      <c r="J21" s="8">
        <v>0</v>
      </c>
      <c r="K21" s="1"/>
      <c r="L21" s="1"/>
      <c r="N21" s="7"/>
      <c r="O21">
        <f t="shared" si="4"/>
        <v>2.8708333333333331</v>
      </c>
      <c r="P21" s="6">
        <f t="shared" si="5"/>
        <v>99.851547177511307</v>
      </c>
      <c r="Q21" s="6">
        <f t="shared" si="0"/>
        <v>8.0850608375977266</v>
      </c>
      <c r="R21" s="6">
        <f t="shared" si="1"/>
        <v>1.8665899189955235</v>
      </c>
      <c r="S21" s="5">
        <f t="shared" si="2"/>
        <v>0</v>
      </c>
      <c r="T21" s="6">
        <f t="shared" si="6"/>
        <v>89.899896420918068</v>
      </c>
      <c r="U21" s="1">
        <f t="shared" si="6"/>
        <v>81.326283328915736</v>
      </c>
      <c r="V21" s="1">
        <f t="shared" si="6"/>
        <v>8.5736130920023292</v>
      </c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ht="18.75" x14ac:dyDescent="0.3">
      <c r="B22" s="7">
        <v>201.74</v>
      </c>
      <c r="C22" s="8">
        <v>1.126166E-10</v>
      </c>
      <c r="D22" s="1">
        <v>1.018766E-10</v>
      </c>
      <c r="E22" s="1">
        <v>1.074E-11</v>
      </c>
      <c r="F22" s="1">
        <v>2.4302999999999999E-12</v>
      </c>
      <c r="G22" s="1">
        <v>1.1019E-16</v>
      </c>
      <c r="H22" s="1">
        <v>9.2079000000000008E-12</v>
      </c>
      <c r="I22" s="1">
        <v>2.8875E-12</v>
      </c>
      <c r="J22" s="8">
        <v>0</v>
      </c>
      <c r="K22" s="1"/>
      <c r="L22" s="1"/>
      <c r="N22" s="7"/>
      <c r="O22">
        <f t="shared" si="4"/>
        <v>3.3623333333333334</v>
      </c>
      <c r="P22" s="6">
        <f t="shared" si="5"/>
        <v>99.832386899323595</v>
      </c>
      <c r="Q22" s="6">
        <f t="shared" si="0"/>
        <v>9.1383298733713278</v>
      </c>
      <c r="R22" s="6">
        <f t="shared" si="1"/>
        <v>2.2673553008135663</v>
      </c>
      <c r="S22" s="5">
        <f t="shared" si="2"/>
        <v>0</v>
      </c>
      <c r="T22" s="6">
        <f t="shared" si="6"/>
        <v>88.426701725138699</v>
      </c>
      <c r="U22" s="1">
        <f t="shared" si="6"/>
        <v>79.993639667431495</v>
      </c>
      <c r="V22" s="1">
        <f t="shared" si="6"/>
        <v>8.4330620577072093</v>
      </c>
      <c r="X22" s="94" t="s">
        <v>147</v>
      </c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260.72000000000003</v>
      </c>
      <c r="C23" s="8">
        <v>1.0895229999999999E-10</v>
      </c>
      <c r="D23" s="1">
        <v>9.856229999999999E-11</v>
      </c>
      <c r="E23" s="1">
        <v>1.0390000000000001E-11</v>
      </c>
      <c r="F23" s="1">
        <v>2.3509E-12</v>
      </c>
      <c r="G23" s="1">
        <v>1.0746E-16</v>
      </c>
      <c r="H23" s="1">
        <v>1.1905E-11</v>
      </c>
      <c r="I23" s="1">
        <v>3.8862000000000001E-12</v>
      </c>
      <c r="J23" s="8">
        <v>0</v>
      </c>
      <c r="K23" s="1"/>
      <c r="L23" s="1"/>
      <c r="N23" s="7"/>
      <c r="O23">
        <f t="shared" si="4"/>
        <v>4.3453333333333335</v>
      </c>
      <c r="P23" s="6">
        <f t="shared" si="5"/>
        <v>99.794773613027161</v>
      </c>
      <c r="Q23" s="6">
        <f t="shared" si="0"/>
        <v>11.193751339708397</v>
      </c>
      <c r="R23" s="6">
        <f t="shared" si="1"/>
        <v>3.0515337044236945</v>
      </c>
      <c r="S23" s="5">
        <f t="shared" si="2"/>
        <v>0</v>
      </c>
      <c r="T23" s="6">
        <f t="shared" si="6"/>
        <v>85.549488568895072</v>
      </c>
      <c r="U23" s="1">
        <f t="shared" si="6"/>
        <v>77.39124696930682</v>
      </c>
      <c r="V23" s="1">
        <f t="shared" si="6"/>
        <v>8.1582415995882585</v>
      </c>
      <c r="AB23" s="5"/>
      <c r="AC23" s="1"/>
      <c r="AD23" s="5"/>
      <c r="AE23" s="5"/>
      <c r="AF23" s="36" t="s">
        <v>164</v>
      </c>
      <c r="AG23" s="1" t="s">
        <v>165</v>
      </c>
      <c r="AH23" s="1" t="s">
        <v>167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378.69</v>
      </c>
      <c r="C24" s="8">
        <v>1.021868E-10</v>
      </c>
      <c r="D24" s="1">
        <v>9.2441700000000005E-11</v>
      </c>
      <c r="E24" s="1">
        <v>9.7451000000000006E-12</v>
      </c>
      <c r="F24" s="1">
        <v>2.2048000000000001E-12</v>
      </c>
      <c r="G24" s="1">
        <v>1.0200000000000001E-16</v>
      </c>
      <c r="H24" s="1">
        <v>1.7043E-11</v>
      </c>
      <c r="I24" s="1">
        <v>5.7906E-12</v>
      </c>
      <c r="J24" s="8">
        <v>0</v>
      </c>
      <c r="K24" s="1"/>
      <c r="L24" s="1"/>
      <c r="N24" s="7"/>
      <c r="O24">
        <f t="shared" si="4"/>
        <v>6.3114999999999997</v>
      </c>
      <c r="P24" s="6">
        <f t="shared" si="5"/>
        <v>99.897473657033615</v>
      </c>
      <c r="Q24" s="6">
        <f t="shared" si="0"/>
        <v>15.113397753662646</v>
      </c>
      <c r="R24" s="6">
        <f t="shared" si="1"/>
        <v>4.5468667899152004</v>
      </c>
      <c r="S24" s="5">
        <f t="shared" si="2"/>
        <v>0</v>
      </c>
      <c r="T24" s="6">
        <f t="shared" si="6"/>
        <v>80.237209113455776</v>
      </c>
      <c r="U24" s="1">
        <f t="shared" si="6"/>
        <v>72.585343837984411</v>
      </c>
      <c r="V24" s="1">
        <f t="shared" si="6"/>
        <v>7.6518652754713719</v>
      </c>
      <c r="X24" s="68" t="s">
        <v>135</v>
      </c>
      <c r="Y24" s="69"/>
      <c r="Z24" s="70"/>
      <c r="AA24" s="71"/>
      <c r="AB24" s="5"/>
      <c r="AC24" s="1"/>
      <c r="AD24" s="5"/>
      <c r="AE24" s="5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496.65</v>
      </c>
      <c r="C25" s="8">
        <v>9.5842099999999999E-11</v>
      </c>
      <c r="D25" s="1">
        <v>8.6702E-11</v>
      </c>
      <c r="E25" s="1">
        <v>9.1400999999999998E-12</v>
      </c>
      <c r="F25" s="1">
        <v>2.0679000000000001E-12</v>
      </c>
      <c r="G25" s="1">
        <v>9.6755999999999999E-17</v>
      </c>
      <c r="H25" s="1">
        <v>2.1862999999999999E-11</v>
      </c>
      <c r="I25" s="1">
        <v>7.5759999999999992E-12</v>
      </c>
      <c r="J25" s="8">
        <v>0</v>
      </c>
      <c r="K25" s="1"/>
      <c r="L25" s="1"/>
      <c r="N25" s="7"/>
      <c r="O25">
        <f t="shared" si="4"/>
        <v>8.2774999999999999</v>
      </c>
      <c r="P25" s="6">
        <f t="shared" si="5"/>
        <v>99.99467746148116</v>
      </c>
      <c r="Q25" s="6">
        <f t="shared" si="0"/>
        <v>18.790574003425085</v>
      </c>
      <c r="R25" s="6">
        <f t="shared" si="1"/>
        <v>5.9487610892497464</v>
      </c>
      <c r="S25" s="5">
        <f t="shared" si="2"/>
        <v>0</v>
      </c>
      <c r="T25" s="6">
        <f t="shared" si="6"/>
        <v>75.255342368806339</v>
      </c>
      <c r="U25" s="1">
        <f t="shared" si="6"/>
        <v>68.078523885226289</v>
      </c>
      <c r="V25" s="1">
        <f t="shared" si="6"/>
        <v>7.1768184835800426</v>
      </c>
      <c r="X25" s="72"/>
      <c r="Y25" s="73"/>
      <c r="Z25" s="74"/>
      <c r="AA25" s="7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614.62</v>
      </c>
      <c r="C26" s="8">
        <v>8.9890900000000002E-11</v>
      </c>
      <c r="D26" s="1">
        <v>8.1318299999999998E-11</v>
      </c>
      <c r="E26" s="1">
        <v>8.5725999999999992E-12</v>
      </c>
      <c r="F26" s="1">
        <v>1.9395E-12</v>
      </c>
      <c r="G26" s="1">
        <v>9.1028E-17</v>
      </c>
      <c r="H26" s="1">
        <v>2.6383E-11</v>
      </c>
      <c r="I26" s="1">
        <v>9.2501999999999995E-12</v>
      </c>
      <c r="J26" s="8">
        <v>0</v>
      </c>
      <c r="K26" s="1"/>
      <c r="L26" s="1"/>
      <c r="N26" s="7"/>
      <c r="O26">
        <f t="shared" si="4"/>
        <v>10.243666666666666</v>
      </c>
      <c r="P26" s="6">
        <f t="shared" si="5"/>
        <v>100.0846570338493</v>
      </c>
      <c r="Q26" s="6">
        <f t="shared" si="0"/>
        <v>22.238864071639892</v>
      </c>
      <c r="R26" s="6">
        <f t="shared" si="1"/>
        <v>7.2633406229959228</v>
      </c>
      <c r="S26" s="5">
        <f t="shared" si="2"/>
        <v>0</v>
      </c>
      <c r="T26" s="6">
        <f t="shared" si="6"/>
        <v>70.582452339213503</v>
      </c>
      <c r="U26" s="1">
        <f t="shared" si="6"/>
        <v>63.851235598440603</v>
      </c>
      <c r="V26" s="1">
        <f t="shared" si="6"/>
        <v>6.7312167407728873</v>
      </c>
      <c r="X26" s="76" t="s">
        <v>143</v>
      </c>
      <c r="Y26" s="73"/>
      <c r="Z26" s="74"/>
      <c r="AA26" s="7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850.54</v>
      </c>
      <c r="C27" s="8">
        <v>7.8842799999999997E-11</v>
      </c>
      <c r="D27" s="1">
        <v>7.1323899999999995E-11</v>
      </c>
      <c r="E27" s="1">
        <v>7.5189000000000002E-12</v>
      </c>
      <c r="F27" s="1">
        <v>1.7011000000000001E-12</v>
      </c>
      <c r="G27" s="1">
        <v>7.7497E-17</v>
      </c>
      <c r="H27" s="1">
        <v>3.4596E-11</v>
      </c>
      <c r="I27" s="1">
        <v>1.229E-11</v>
      </c>
      <c r="J27" s="8">
        <v>0</v>
      </c>
      <c r="K27" s="1"/>
      <c r="L27" s="1"/>
      <c r="N27" s="7"/>
      <c r="O27">
        <f t="shared" si="4"/>
        <v>14.175666666666666</v>
      </c>
      <c r="P27" s="6">
        <f t="shared" si="5"/>
        <v>100.05818512518007</v>
      </c>
      <c r="Q27" s="6">
        <f t="shared" si="0"/>
        <v>28.500530429683828</v>
      </c>
      <c r="R27" s="6">
        <f t="shared" si="1"/>
        <v>9.6501849372655375</v>
      </c>
      <c r="S27" s="5">
        <f t="shared" si="2"/>
        <v>0</v>
      </c>
      <c r="T27" s="6">
        <f t="shared" si="6"/>
        <v>61.907469758230718</v>
      </c>
      <c r="U27" s="1">
        <f t="shared" si="6"/>
        <v>56.003619636657653</v>
      </c>
      <c r="V27" s="1">
        <f t="shared" si="6"/>
        <v>5.9038501215730665</v>
      </c>
      <c r="X27" s="76" t="s">
        <v>144</v>
      </c>
      <c r="Y27" s="73"/>
      <c r="Z27" s="74"/>
      <c r="AA27" s="7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1086.5</v>
      </c>
      <c r="C28" s="8">
        <v>6.9066499999999996E-11</v>
      </c>
      <c r="D28" s="1">
        <v>6.2479899999999994E-11</v>
      </c>
      <c r="E28" s="1">
        <v>6.5866000000000002E-12</v>
      </c>
      <c r="F28" s="1">
        <v>1.4902000000000001E-12</v>
      </c>
      <c r="G28" s="1">
        <v>6.6977999999999996E-17</v>
      </c>
      <c r="H28" s="1">
        <v>4.1795000000000003E-11</v>
      </c>
      <c r="I28" s="1">
        <v>1.4953000000000001E-11</v>
      </c>
      <c r="J28" s="8">
        <v>0</v>
      </c>
      <c r="K28" s="1"/>
      <c r="L28" s="1"/>
      <c r="N28" s="7"/>
      <c r="O28">
        <f t="shared" si="4"/>
        <v>18.108333333333334</v>
      </c>
      <c r="P28" s="6">
        <f t="shared" si="5"/>
        <v>99.959869661771833</v>
      </c>
      <c r="Q28" s="6">
        <f t="shared" si="0"/>
        <v>33.987595696486785</v>
      </c>
      <c r="R28" s="6">
        <f t="shared" si="1"/>
        <v>11.741167763363725</v>
      </c>
      <c r="S28" s="5">
        <f t="shared" si="2"/>
        <v>0</v>
      </c>
      <c r="T28" s="6">
        <f t="shared" si="6"/>
        <v>54.231106201921307</v>
      </c>
      <c r="U28" s="1">
        <f t="shared" si="6"/>
        <v>49.059299260646242</v>
      </c>
      <c r="V28" s="1">
        <f t="shared" si="6"/>
        <v>5.1718069412750749</v>
      </c>
      <c r="X28" s="76" t="s">
        <v>145</v>
      </c>
      <c r="Y28" s="73"/>
      <c r="Z28" s="74"/>
      <c r="AA28" s="7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1518.5</v>
      </c>
      <c r="C29" s="8">
        <v>5.4052000000000001E-11</v>
      </c>
      <c r="D29" s="1">
        <v>4.88972E-11</v>
      </c>
      <c r="E29" s="1">
        <v>5.1547999999999998E-12</v>
      </c>
      <c r="F29" s="1">
        <v>1.1662E-12</v>
      </c>
      <c r="G29" s="1">
        <v>5.2925999999999997E-17</v>
      </c>
      <c r="H29" s="1">
        <v>5.2767999999999998E-11</v>
      </c>
      <c r="I29" s="1">
        <v>1.9011E-11</v>
      </c>
      <c r="J29" s="8">
        <v>0</v>
      </c>
      <c r="K29" s="1"/>
      <c r="L29" s="1"/>
      <c r="N29" s="7"/>
      <c r="O29">
        <f t="shared" si="4"/>
        <v>25.308333333333334</v>
      </c>
      <c r="P29" s="6">
        <f t="shared" si="5"/>
        <v>99.718409225632811</v>
      </c>
      <c r="Q29" s="6">
        <f t="shared" si="0"/>
        <v>42.349204435083067</v>
      </c>
      <c r="R29" s="6">
        <f t="shared" si="1"/>
        <v>14.927503641276928</v>
      </c>
      <c r="S29" s="5">
        <f t="shared" si="2"/>
        <v>0</v>
      </c>
      <c r="T29" s="6">
        <f t="shared" si="6"/>
        <v>42.441701149272824</v>
      </c>
      <c r="U29" s="1">
        <f t="shared" si="6"/>
        <v>38.394145442096921</v>
      </c>
      <c r="V29" s="1">
        <f t="shared" si="6"/>
        <v>4.0475557071758956</v>
      </c>
      <c r="X29" s="76" t="s">
        <v>146</v>
      </c>
      <c r="Y29" s="73"/>
      <c r="Z29" s="74"/>
      <c r="AA29" s="7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1950.5</v>
      </c>
      <c r="C30" s="8">
        <v>4.2233399999999997E-11</v>
      </c>
      <c r="D30" s="1">
        <v>3.8205799999999995E-11</v>
      </c>
      <c r="E30" s="1">
        <v>4.0276000000000003E-12</v>
      </c>
      <c r="F30" s="1">
        <v>9.1122999999999995E-13</v>
      </c>
      <c r="G30" s="1">
        <v>4.2046E-17</v>
      </c>
      <c r="H30" s="1">
        <v>6.1349000000000004E-11</v>
      </c>
      <c r="I30" s="1">
        <v>2.2187E-11</v>
      </c>
      <c r="J30" s="8">
        <v>0</v>
      </c>
      <c r="K30" s="1"/>
      <c r="L30" s="1"/>
      <c r="N30" s="7"/>
      <c r="O30">
        <f t="shared" si="4"/>
        <v>32.508333333333333</v>
      </c>
      <c r="P30" s="6">
        <f t="shared" si="5"/>
        <v>99.469829504280526</v>
      </c>
      <c r="Q30" s="6">
        <f t="shared" si="0"/>
        <v>48.886814089117706</v>
      </c>
      <c r="R30" s="6">
        <f t="shared" si="1"/>
        <v>17.421294455388932</v>
      </c>
      <c r="S30" s="5">
        <f t="shared" si="2"/>
        <v>0</v>
      </c>
      <c r="T30" s="6">
        <f t="shared" si="6"/>
        <v>33.161720959773895</v>
      </c>
      <c r="U30" s="1">
        <f t="shared" si="6"/>
        <v>29.999244168002797</v>
      </c>
      <c r="V30" s="1">
        <f t="shared" si="6"/>
        <v>3.1624767917710948</v>
      </c>
      <c r="X30" s="72"/>
      <c r="Y30" s="73"/>
      <c r="Z30" s="74"/>
      <c r="AA30" s="7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2382.5</v>
      </c>
      <c r="C31" s="8">
        <v>3.2974800000000002E-11</v>
      </c>
      <c r="D31" s="1">
        <v>2.9830100000000002E-11</v>
      </c>
      <c r="E31" s="1">
        <v>3.1447000000000001E-12</v>
      </c>
      <c r="F31" s="1">
        <v>7.1148000000000001E-13</v>
      </c>
      <c r="G31" s="1">
        <v>3.2583999999999999E-17</v>
      </c>
      <c r="H31" s="1">
        <v>6.8052000000000004E-11</v>
      </c>
      <c r="I31" s="1">
        <v>2.4667000000000001E-11</v>
      </c>
      <c r="J31" s="8">
        <v>0</v>
      </c>
      <c r="K31" s="1"/>
      <c r="L31" s="1"/>
      <c r="N31" s="7"/>
      <c r="O31">
        <f t="shared" si="4"/>
        <v>39.708333333333336</v>
      </c>
      <c r="P31" s="6">
        <f t="shared" si="5"/>
        <v>99.253616894297039</v>
      </c>
      <c r="Q31" s="6">
        <f t="shared" si="0"/>
        <v>53.99317450129503</v>
      </c>
      <c r="R31" s="6">
        <f t="shared" si="1"/>
        <v>19.368586271914133</v>
      </c>
      <c r="S31" s="5">
        <f t="shared" si="2"/>
        <v>0</v>
      </c>
      <c r="T31" s="6">
        <f t="shared" si="6"/>
        <v>25.891856121087869</v>
      </c>
      <c r="U31" s="1">
        <f t="shared" si="6"/>
        <v>23.422633564954545</v>
      </c>
      <c r="V31" s="1">
        <f t="shared" si="6"/>
        <v>2.4692225561333205</v>
      </c>
      <c r="X31" s="72"/>
      <c r="Y31" s="73"/>
      <c r="Z31" s="74"/>
      <c r="AA31" s="7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ht="18.75" x14ac:dyDescent="0.3">
      <c r="B32" s="7">
        <v>2814.5</v>
      </c>
      <c r="C32" s="8">
        <v>2.5738900000000001E-11</v>
      </c>
      <c r="D32" s="1">
        <v>2.32843E-11</v>
      </c>
      <c r="E32" s="1">
        <v>2.4546000000000001E-12</v>
      </c>
      <c r="F32" s="1">
        <v>5.5534000000000003E-13</v>
      </c>
      <c r="G32" s="1">
        <v>2.5077999999999999E-17</v>
      </c>
      <c r="H32" s="1">
        <v>7.3284999999999996E-11</v>
      </c>
      <c r="I32" s="1">
        <v>2.6603E-11</v>
      </c>
      <c r="J32" s="8">
        <v>0</v>
      </c>
      <c r="K32" s="1"/>
      <c r="L32" s="1"/>
      <c r="N32" s="7"/>
      <c r="O32">
        <f t="shared" si="4"/>
        <v>46.908333333333331</v>
      </c>
      <c r="P32" s="6">
        <f t="shared" si="5"/>
        <v>99.078479700636436</v>
      </c>
      <c r="Q32" s="6">
        <f t="shared" si="0"/>
        <v>57.979531618454359</v>
      </c>
      <c r="R32" s="6">
        <f t="shared" si="1"/>
        <v>20.888730112245359</v>
      </c>
      <c r="S32" s="5">
        <f t="shared" si="2"/>
        <v>0</v>
      </c>
      <c r="T32" s="6">
        <f t="shared" si="6"/>
        <v>20.210217969936693</v>
      </c>
      <c r="U32" s="1">
        <f t="shared" si="6"/>
        <v>18.282862837083051</v>
      </c>
      <c r="V32" s="1">
        <f t="shared" si="6"/>
        <v>1.927355132853642</v>
      </c>
      <c r="X32" s="77" t="s">
        <v>141</v>
      </c>
      <c r="Y32" s="78" t="s">
        <v>136</v>
      </c>
      <c r="Z32" s="79"/>
      <c r="AA32" s="80">
        <v>0.33305748694196802</v>
      </c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ht="18.75" x14ac:dyDescent="0.3">
      <c r="B33" s="7">
        <v>3246.5</v>
      </c>
      <c r="C33" s="8">
        <v>2.00874E-11</v>
      </c>
      <c r="D33" s="1">
        <v>1.8171699999999999E-11</v>
      </c>
      <c r="E33" s="1">
        <v>1.9157E-12</v>
      </c>
      <c r="F33" s="1">
        <v>4.3341000000000002E-13</v>
      </c>
      <c r="G33" s="1">
        <v>1.9654E-17</v>
      </c>
      <c r="H33" s="1">
        <v>7.7369000000000004E-11</v>
      </c>
      <c r="I33" s="1">
        <v>2.8113999999999999E-11</v>
      </c>
      <c r="J33" s="8">
        <v>0</v>
      </c>
      <c r="K33" s="1"/>
      <c r="L33" s="1"/>
      <c r="N33" s="7"/>
      <c r="O33">
        <f t="shared" si="4"/>
        <v>54.108333333333334</v>
      </c>
      <c r="P33" s="6">
        <f t="shared" si="5"/>
        <v>98.93837197215548</v>
      </c>
      <c r="Q33" s="6">
        <f t="shared" si="0"/>
        <v>61.090554168452506</v>
      </c>
      <c r="R33" s="6">
        <f t="shared" si="1"/>
        <v>22.075165031078413</v>
      </c>
      <c r="S33" s="5">
        <f t="shared" si="2"/>
        <v>0</v>
      </c>
      <c r="T33" s="6">
        <f t="shared" si="6"/>
        <v>15.772652772624562</v>
      </c>
      <c r="U33" s="1">
        <f t="shared" si="6"/>
        <v>14.26844262514321</v>
      </c>
      <c r="V33" s="1">
        <f t="shared" si="6"/>
        <v>1.5042101474813501</v>
      </c>
      <c r="X33" s="81"/>
      <c r="Y33" s="82" t="s">
        <v>137</v>
      </c>
      <c r="Z33" s="79"/>
      <c r="AA33" s="80">
        <v>72.359991899292496</v>
      </c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ht="18.75" x14ac:dyDescent="0.3">
      <c r="B34" s="7">
        <v>3678.5</v>
      </c>
      <c r="C34" s="8">
        <v>1.5676099999999999E-11</v>
      </c>
      <c r="D34" s="1">
        <v>1.41811E-11</v>
      </c>
      <c r="E34" s="1">
        <v>1.495E-12</v>
      </c>
      <c r="F34" s="1">
        <v>3.3823000000000001E-13</v>
      </c>
      <c r="G34" s="1">
        <v>1.5537999999999999E-17</v>
      </c>
      <c r="H34" s="1">
        <v>8.0557000000000004E-11</v>
      </c>
      <c r="I34" s="1">
        <v>2.9293000000000003E-11</v>
      </c>
      <c r="J34" s="8">
        <v>0</v>
      </c>
      <c r="K34" s="1"/>
      <c r="L34" s="1"/>
      <c r="N34" s="7"/>
      <c r="O34">
        <f t="shared" si="4"/>
        <v>61.30833333333333</v>
      </c>
      <c r="P34" s="6">
        <f t="shared" si="5"/>
        <v>98.828848861699939</v>
      </c>
      <c r="Q34" s="6">
        <f t="shared" si="0"/>
        <v>63.519040480679514</v>
      </c>
      <c r="R34" s="6">
        <f t="shared" si="1"/>
        <v>23.00091414239623</v>
      </c>
      <c r="S34" s="5">
        <f t="shared" si="2"/>
        <v>0</v>
      </c>
      <c r="T34" s="6">
        <f t="shared" si="6"/>
        <v>12.308894238624205</v>
      </c>
      <c r="U34" s="1">
        <f t="shared" si="6"/>
        <v>11.135018281801834</v>
      </c>
      <c r="V34" s="1">
        <f t="shared" si="6"/>
        <v>1.1738759568223722</v>
      </c>
      <c r="X34" s="81"/>
      <c r="Y34" s="82" t="s">
        <v>138</v>
      </c>
      <c r="Z34" s="79"/>
      <c r="AA34" s="80">
        <v>1.5694093539790999E-2</v>
      </c>
      <c r="AB34" s="5"/>
      <c r="AC34" s="1"/>
      <c r="AD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4110.5</v>
      </c>
      <c r="C35" s="8">
        <v>1.22332E-11</v>
      </c>
      <c r="D35" s="1">
        <v>1.1066499999999999E-11</v>
      </c>
      <c r="E35" s="1">
        <v>1.1667000000000001E-12</v>
      </c>
      <c r="F35" s="1">
        <v>2.6395E-13</v>
      </c>
      <c r="G35" s="1">
        <v>1.2064E-17</v>
      </c>
      <c r="H35" s="1">
        <v>8.3044E-11</v>
      </c>
      <c r="I35" s="1">
        <v>3.0214E-11</v>
      </c>
      <c r="J35" s="8">
        <v>0</v>
      </c>
      <c r="K35" s="1"/>
      <c r="L35" s="1"/>
      <c r="N35" s="7"/>
      <c r="O35">
        <f t="shared" si="4"/>
        <v>68.50833333333334</v>
      </c>
      <c r="P35" s="6">
        <f t="shared" si="5"/>
        <v>98.743117855003661</v>
      </c>
      <c r="Q35" s="6">
        <f t="shared" si="0"/>
        <v>65.413511382715953</v>
      </c>
      <c r="R35" s="6">
        <f t="shared" si="1"/>
        <v>23.724081820114176</v>
      </c>
      <c r="S35" s="5">
        <f t="shared" si="2"/>
        <v>0</v>
      </c>
      <c r="T35" s="6">
        <f t="shared" si="6"/>
        <v>9.6055246521735409</v>
      </c>
      <c r="U35" s="1">
        <f t="shared" si="6"/>
        <v>8.6894302850667433</v>
      </c>
      <c r="V35" s="1">
        <f t="shared" si="6"/>
        <v>0.91609436710679715</v>
      </c>
      <c r="X35" s="81"/>
      <c r="Y35" s="82" t="s">
        <v>139</v>
      </c>
      <c r="Z35" s="79"/>
      <c r="AA35" s="80">
        <v>8.8350097491710002</v>
      </c>
      <c r="AB35" s="5"/>
      <c r="AC35" s="1"/>
      <c r="AD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4320</v>
      </c>
      <c r="C36" s="8">
        <v>1.0835819999999999E-11</v>
      </c>
      <c r="D36" s="1">
        <v>9.8024199999999989E-12</v>
      </c>
      <c r="E36" s="1">
        <v>1.0334E-12</v>
      </c>
      <c r="F36" s="1">
        <v>2.3379000000000001E-13</v>
      </c>
      <c r="G36" s="1">
        <v>1.0647E-17</v>
      </c>
      <c r="H36" s="1">
        <v>8.4040999999999997E-11</v>
      </c>
      <c r="I36" s="1">
        <v>3.0582999999999999E-11</v>
      </c>
      <c r="J36" s="8">
        <v>0</v>
      </c>
      <c r="K36" s="1"/>
      <c r="L36" s="1"/>
      <c r="N36" s="7"/>
      <c r="O36" s="51">
        <f t="shared" si="4"/>
        <v>72</v>
      </c>
      <c r="P36" s="52">
        <f t="shared" si="5"/>
        <v>98.694795453823019</v>
      </c>
      <c r="Q36" s="52">
        <f t="shared" si="0"/>
        <v>66.17267541622374</v>
      </c>
      <c r="R36" s="52">
        <f t="shared" si="1"/>
        <v>24.013819990472189</v>
      </c>
      <c r="S36" s="53">
        <f t="shared" si="2"/>
        <v>0</v>
      </c>
      <c r="T36" s="52">
        <f t="shared" si="6"/>
        <v>8.5083000471270882</v>
      </c>
      <c r="U36" s="54">
        <f t="shared" si="6"/>
        <v>7.6968730144981654</v>
      </c>
      <c r="V36" s="54">
        <f t="shared" si="6"/>
        <v>0.81142703262892268</v>
      </c>
      <c r="W36" s="51"/>
      <c r="X36" s="81"/>
      <c r="Y36" s="82" t="s">
        <v>140</v>
      </c>
      <c r="Z36" s="79"/>
      <c r="AA36" s="80">
        <v>3.3957497164998698E-2</v>
      </c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3220.9</v>
      </c>
      <c r="C37" s="8">
        <v>1.0906719999999999E-11</v>
      </c>
      <c r="D37" s="1">
        <v>9.8669199999999997E-12</v>
      </c>
      <c r="E37" s="1">
        <v>1.0398000000000001E-12</v>
      </c>
      <c r="F37" s="1">
        <v>2.2961000000000002E-13</v>
      </c>
      <c r="G37" s="1">
        <v>2.6138999999999999E-17</v>
      </c>
      <c r="H37" s="1">
        <v>6.1192000000000002E-11</v>
      </c>
      <c r="I37" s="1">
        <v>5.5174999999999999E-11</v>
      </c>
      <c r="J37" s="8">
        <v>0</v>
      </c>
      <c r="K37" s="1"/>
      <c r="L37" s="1"/>
      <c r="N37" s="7"/>
      <c r="P37" s="6"/>
      <c r="Q37" s="6"/>
      <c r="R37" s="6"/>
      <c r="S37" s="5"/>
      <c r="T37" s="6"/>
      <c r="U37" s="1"/>
      <c r="V37" s="1"/>
      <c r="X37" s="81"/>
      <c r="Y37" s="103" t="s">
        <v>151</v>
      </c>
      <c r="Z37" s="85"/>
      <c r="AA37" s="97">
        <v>9.9870724563058193</v>
      </c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3456.8</v>
      </c>
      <c r="C38" s="8">
        <v>9.0989499999999993E-12</v>
      </c>
      <c r="D38" s="1">
        <v>8.2314699999999991E-12</v>
      </c>
      <c r="E38" s="1">
        <v>8.6747999999999995E-13</v>
      </c>
      <c r="F38" s="1">
        <v>1.9155E-13</v>
      </c>
      <c r="G38" s="1">
        <v>2.1756E-17</v>
      </c>
      <c r="H38" s="1">
        <v>6.2144999999999996E-11</v>
      </c>
      <c r="I38" s="1">
        <v>5.6037000000000001E-11</v>
      </c>
      <c r="J38" s="8">
        <v>0</v>
      </c>
      <c r="K38" s="1"/>
      <c r="L38" s="1"/>
      <c r="N38" s="7"/>
      <c r="P38" s="6"/>
      <c r="Q38" s="6"/>
      <c r="R38" s="6"/>
      <c r="S38" s="5"/>
      <c r="T38" s="6"/>
      <c r="U38" s="1"/>
      <c r="V38" s="1"/>
      <c r="X38" s="81"/>
      <c r="Y38" s="103" t="s">
        <v>152</v>
      </c>
      <c r="Z38" s="85"/>
      <c r="AA38" s="97">
        <v>-8.8350097491710002</v>
      </c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3692.8</v>
      </c>
      <c r="C39" s="8">
        <v>7.5907099999999993E-12</v>
      </c>
      <c r="D39" s="1">
        <v>6.86702E-12</v>
      </c>
      <c r="E39" s="1">
        <v>7.2369000000000002E-13</v>
      </c>
      <c r="F39" s="1">
        <v>1.5980000000000001E-13</v>
      </c>
      <c r="G39" s="1">
        <v>1.8182000000000001E-17</v>
      </c>
      <c r="H39" s="1">
        <v>6.2940000000000004E-11</v>
      </c>
      <c r="I39" s="1">
        <v>5.6757E-11</v>
      </c>
      <c r="J39" s="8">
        <v>0</v>
      </c>
      <c r="K39" s="1"/>
      <c r="L39" s="1"/>
      <c r="N39" s="7"/>
      <c r="P39" s="6"/>
      <c r="Q39" s="6"/>
      <c r="R39" s="6"/>
      <c r="S39" s="5"/>
      <c r="T39" s="6"/>
      <c r="U39" s="1"/>
      <c r="V39" s="1"/>
      <c r="X39" s="81"/>
      <c r="Y39" s="103" t="s">
        <v>153</v>
      </c>
      <c r="Z39" s="85"/>
      <c r="AA39" s="97">
        <v>2.40746895304131</v>
      </c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3928.7</v>
      </c>
      <c r="C40" s="8">
        <v>6.3324200000000002E-12</v>
      </c>
      <c r="D40" s="1">
        <v>5.7286899999999999E-12</v>
      </c>
      <c r="E40" s="1">
        <v>6.0372999999999999E-13</v>
      </c>
      <c r="F40" s="1">
        <v>1.3330999999999999E-13</v>
      </c>
      <c r="G40" s="1">
        <v>1.5185999999999999E-17</v>
      </c>
      <c r="H40" s="1">
        <v>6.3603000000000005E-11</v>
      </c>
      <c r="I40" s="1">
        <v>5.7357000000000003E-11</v>
      </c>
      <c r="J40" s="8">
        <v>0</v>
      </c>
      <c r="K40" s="1"/>
      <c r="L40" s="1"/>
      <c r="N40" s="7"/>
      <c r="P40" s="6"/>
      <c r="Q40" s="6"/>
      <c r="R40" s="6"/>
      <c r="S40" s="5"/>
      <c r="T40" s="6"/>
      <c r="U40" s="1"/>
      <c r="V40" s="1"/>
      <c r="X40" s="81"/>
      <c r="Y40" s="103" t="s">
        <v>154</v>
      </c>
      <c r="Z40" s="85"/>
      <c r="AA40" s="97">
        <v>-3.3957497164998698E-2</v>
      </c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x14ac:dyDescent="0.3">
      <c r="B41" s="7">
        <v>4164.6000000000004</v>
      </c>
      <c r="C41" s="8">
        <v>5.2828000000000001E-12</v>
      </c>
      <c r="D41" s="1">
        <v>4.7791399999999998E-12</v>
      </c>
      <c r="E41" s="1">
        <v>5.0366E-13</v>
      </c>
      <c r="F41" s="1">
        <v>1.1121E-13</v>
      </c>
      <c r="G41" s="1">
        <v>1.2634999999999999E-17</v>
      </c>
      <c r="H41" s="1">
        <v>6.4156000000000006E-11</v>
      </c>
      <c r="I41" s="1">
        <v>5.7857999999999997E-11</v>
      </c>
      <c r="J41" s="8">
        <v>0</v>
      </c>
      <c r="K41" s="1"/>
      <c r="L41" s="1"/>
      <c r="N41" s="7"/>
      <c r="P41" s="6"/>
      <c r="Q41" s="6"/>
      <c r="R41" s="6"/>
      <c r="S41" s="56"/>
      <c r="T41" s="6"/>
      <c r="U41" s="1"/>
      <c r="V41" s="1"/>
      <c r="X41" s="81"/>
      <c r="Y41" s="101"/>
      <c r="Z41" s="83"/>
      <c r="AA41" s="98"/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4320</v>
      </c>
      <c r="C42" s="8">
        <v>4.6865500000000001E-12</v>
      </c>
      <c r="D42" s="1">
        <v>4.2397399999999999E-12</v>
      </c>
      <c r="E42" s="1">
        <v>4.4680999999999999E-13</v>
      </c>
      <c r="F42" s="1">
        <v>9.8661000000000002E-14</v>
      </c>
      <c r="G42" s="1">
        <v>1.1193E-17</v>
      </c>
      <c r="H42" s="1">
        <v>6.4467999999999994E-11</v>
      </c>
      <c r="I42" s="1">
        <v>5.8141000000000001E-11</v>
      </c>
      <c r="J42" s="8">
        <v>0</v>
      </c>
      <c r="K42" s="1"/>
      <c r="L42" s="1"/>
      <c r="N42" s="7"/>
      <c r="P42" s="6"/>
      <c r="Q42" s="6"/>
      <c r="R42" s="6"/>
      <c r="S42" s="56"/>
      <c r="T42" s="6"/>
      <c r="U42" s="1"/>
      <c r="V42" s="1"/>
      <c r="X42" s="77" t="s">
        <v>142</v>
      </c>
      <c r="Y42" s="102" t="s">
        <v>136</v>
      </c>
      <c r="Z42" s="83"/>
      <c r="AA42" s="99">
        <v>9.6558863526460901E-3</v>
      </c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/>
      <c r="C43" s="8"/>
      <c r="D43" s="8"/>
      <c r="E43" s="8"/>
      <c r="F43" s="1"/>
      <c r="G43" s="1"/>
      <c r="H43" s="1"/>
      <c r="I43" s="1"/>
      <c r="J43" s="8"/>
      <c r="K43" s="1"/>
      <c r="L43" s="1"/>
      <c r="N43" s="7"/>
      <c r="P43" s="6"/>
      <c r="Q43" s="6"/>
      <c r="R43" s="6"/>
      <c r="S43" s="5"/>
      <c r="T43" s="6"/>
      <c r="U43" s="1"/>
      <c r="V43" s="1"/>
      <c r="X43" s="81"/>
      <c r="Y43" s="102" t="s">
        <v>137</v>
      </c>
      <c r="Z43" s="83"/>
      <c r="AA43" s="99">
        <v>26.3761683776582</v>
      </c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/>
      <c r="C44" s="8"/>
      <c r="D44" s="8"/>
      <c r="E44" s="8"/>
      <c r="F44" s="1"/>
      <c r="G44" s="1"/>
      <c r="H44" s="1"/>
      <c r="I44" s="1"/>
      <c r="J44" s="8"/>
      <c r="K44" s="1"/>
      <c r="L44" s="1"/>
      <c r="N44" s="7"/>
      <c r="P44" s="6"/>
      <c r="Q44" s="6"/>
      <c r="R44" s="6"/>
      <c r="S44" s="5"/>
      <c r="T44" s="6"/>
      <c r="V44" s="1"/>
      <c r="X44" s="81"/>
      <c r="Y44" s="102" t="s">
        <v>138</v>
      </c>
      <c r="Z44" s="83"/>
      <c r="AA44" s="99">
        <v>-2.5460058500313201E-2</v>
      </c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/>
      <c r="C45" s="8"/>
      <c r="D45" s="8"/>
      <c r="E45" s="8"/>
      <c r="F45" s="1"/>
      <c r="G45" s="1"/>
      <c r="H45" s="1"/>
      <c r="I45" s="1"/>
      <c r="J45" s="8"/>
      <c r="K45" s="1"/>
      <c r="L45" s="1"/>
      <c r="N45" s="7"/>
      <c r="P45" s="6"/>
      <c r="Q45" s="6"/>
      <c r="R45" s="6"/>
      <c r="S45" s="5"/>
      <c r="T45" s="6"/>
      <c r="V45" s="1"/>
      <c r="X45" s="81"/>
      <c r="Y45" s="102" t="s">
        <v>139</v>
      </c>
      <c r="Z45" s="83"/>
      <c r="AA45" s="99">
        <v>1.5807405100729</v>
      </c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/>
      <c r="C46" s="8"/>
      <c r="D46" s="8"/>
      <c r="E46" s="8"/>
      <c r="F46" s="1"/>
      <c r="G46" s="1"/>
      <c r="H46" s="1"/>
      <c r="I46" s="1"/>
      <c r="J46" s="8"/>
      <c r="K46" s="1"/>
      <c r="L46" s="1"/>
      <c r="N46" s="7"/>
      <c r="P46" s="6"/>
      <c r="Q46" s="6"/>
      <c r="R46" s="6"/>
      <c r="S46" s="5"/>
      <c r="T46" s="6"/>
      <c r="V46" s="1"/>
      <c r="X46" s="81"/>
      <c r="Y46" s="102" t="s">
        <v>140</v>
      </c>
      <c r="Z46" s="83"/>
      <c r="AA46" s="99">
        <v>3.39447418646006E-2</v>
      </c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/>
      <c r="C47" s="8"/>
      <c r="D47" s="8"/>
      <c r="E47" s="8"/>
      <c r="F47" s="1"/>
      <c r="G47" s="1"/>
      <c r="H47" s="1"/>
      <c r="I47" s="1"/>
      <c r="J47" s="8"/>
      <c r="K47" s="1"/>
      <c r="L47" s="1"/>
      <c r="N47" s="7"/>
      <c r="P47" s="6"/>
      <c r="Q47" s="6"/>
      <c r="R47" s="6"/>
      <c r="S47" s="5"/>
      <c r="T47" s="6"/>
      <c r="V47" s="1"/>
      <c r="X47" s="81"/>
      <c r="Y47" s="103" t="s">
        <v>151</v>
      </c>
      <c r="Z47" s="86"/>
      <c r="AA47" s="97">
        <v>-1.06113996094675</v>
      </c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9.5" thickBot="1" x14ac:dyDescent="0.35">
      <c r="B48" s="7"/>
      <c r="C48" s="8"/>
      <c r="D48" s="8"/>
      <c r="E48" s="8"/>
      <c r="F48" s="1"/>
      <c r="G48" s="1"/>
      <c r="H48" s="1"/>
      <c r="I48" s="1"/>
      <c r="J48" s="8"/>
      <c r="K48" s="1"/>
      <c r="L48" s="1"/>
      <c r="N48" s="7"/>
      <c r="P48" s="6"/>
      <c r="Q48" s="6"/>
      <c r="R48" s="6"/>
      <c r="S48" s="5"/>
      <c r="T48" s="6"/>
      <c r="V48" s="1"/>
      <c r="X48" s="81"/>
      <c r="Y48" s="103" t="s">
        <v>152</v>
      </c>
      <c r="Z48" s="86"/>
      <c r="AA48" s="97">
        <v>-1.5807405100729</v>
      </c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A49" s="7"/>
      <c r="B49" s="8" t="s">
        <v>18</v>
      </c>
      <c r="C49" s="8" t="s">
        <v>18</v>
      </c>
      <c r="D49" s="8" t="s">
        <v>18</v>
      </c>
      <c r="E49" s="1" t="s">
        <v>74</v>
      </c>
      <c r="F49" s="40"/>
      <c r="G49" s="41" t="s">
        <v>75</v>
      </c>
      <c r="H49" s="41" t="s">
        <v>75</v>
      </c>
      <c r="I49" s="42" t="s">
        <v>75</v>
      </c>
      <c r="K49" s="8"/>
      <c r="L49" s="8"/>
      <c r="N49" s="7"/>
      <c r="P49" s="6"/>
      <c r="Q49" s="6"/>
      <c r="R49" s="6"/>
      <c r="S49" s="5"/>
      <c r="T49" s="6"/>
      <c r="V49" s="1"/>
      <c r="X49" s="81"/>
      <c r="Y49" s="103" t="s">
        <v>153</v>
      </c>
      <c r="Z49" s="86"/>
      <c r="AA49" s="97">
        <v>0.91779132630663296</v>
      </c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A50" s="7"/>
      <c r="B50" s="8" t="s">
        <v>73</v>
      </c>
      <c r="C50" s="8" t="s">
        <v>71</v>
      </c>
      <c r="D50" s="8" t="s">
        <v>72</v>
      </c>
      <c r="E50" s="1" t="s">
        <v>71</v>
      </c>
      <c r="F50" s="43"/>
      <c r="G50" s="8" t="s">
        <v>73</v>
      </c>
      <c r="H50" s="8" t="s">
        <v>71</v>
      </c>
      <c r="I50" s="44" t="s">
        <v>72</v>
      </c>
      <c r="K50" s="8"/>
      <c r="L50" s="8"/>
      <c r="N50" s="7"/>
      <c r="P50" s="6"/>
      <c r="Q50" s="6"/>
      <c r="R50" s="6"/>
      <c r="S50" s="5"/>
      <c r="T50" s="6"/>
      <c r="X50" s="84"/>
      <c r="Y50" s="104" t="s">
        <v>154</v>
      </c>
      <c r="Z50" s="87"/>
      <c r="AA50" s="100">
        <v>-3.39447418646006E-2</v>
      </c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3">
      <c r="A51" s="7" t="s">
        <v>0</v>
      </c>
      <c r="B51" s="8" t="s">
        <v>155</v>
      </c>
      <c r="C51" s="8" t="s">
        <v>78</v>
      </c>
      <c r="D51" s="8" t="s">
        <v>78</v>
      </c>
      <c r="E51" s="1" t="s">
        <v>78</v>
      </c>
      <c r="F51" s="45" t="str">
        <f>A51</f>
        <v>Time (min)</v>
      </c>
      <c r="G51" s="8" t="str">
        <f>B51</f>
        <v>MW=150, sigma_ve=0.9, sigma_le=0.1, p_ve=1E-9, p_le=1E-8, D_gel=4.5E-11, kf_m=0.48, kr_m=4.2, k_decay=0, cA+cMA (mol)</v>
      </c>
      <c r="H51" s="8" t="str">
        <f>C51</f>
        <v>MW=150, sigma_ve=0.9, sigma_le=0.1, p_ve=1E-9, p_le=1E-8, D_gel=4.5E-11, kf_m=0.48, kr_m=4.2, k_decay=0, Concentration (mol)</v>
      </c>
      <c r="I51" s="44" t="str">
        <f>D51</f>
        <v>MW=150, sigma_ve=0.9, sigma_le=0.1, p_ve=1E-9, p_le=1E-8, D_gel=4.5E-11, kf_m=0.48, kr_m=4.2, k_decay=0, Concentration (mol)</v>
      </c>
      <c r="K51" s="8"/>
      <c r="L51" s="8"/>
      <c r="N51" s="7"/>
      <c r="P51" s="6"/>
      <c r="Q51" s="6"/>
      <c r="R51" s="6"/>
      <c r="S51" s="5"/>
      <c r="T51" s="6"/>
      <c r="Y51" s="5"/>
      <c r="Z51" s="5"/>
      <c r="AA51" s="5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7">
        <v>0</v>
      </c>
      <c r="B52" s="8">
        <v>1.2102999999999999E-10</v>
      </c>
      <c r="C52" s="8">
        <v>1.2102000000000001E-10</v>
      </c>
      <c r="D52" s="8">
        <v>6.5851999999999998E-15</v>
      </c>
      <c r="E52" s="1">
        <v>6.0721999999999999E-12</v>
      </c>
      <c r="F52" s="45">
        <f t="shared" ref="F52:F94" si="7">A52</f>
        <v>0</v>
      </c>
      <c r="G52" s="8">
        <f>H52+I52</f>
        <v>1.2709878519999999E-10</v>
      </c>
      <c r="H52" s="1">
        <f t="shared" ref="H52:H94" si="8">C52+E52</f>
        <v>1.270922E-10</v>
      </c>
      <c r="I52" s="46">
        <f t="shared" ref="I52:I94" si="9">D52</f>
        <v>6.5851999999999998E-15</v>
      </c>
      <c r="K52" s="1"/>
      <c r="L52" s="1"/>
      <c r="N52" s="7"/>
      <c r="P52" s="6"/>
      <c r="Q52" s="6"/>
      <c r="R52" s="6"/>
      <c r="S52" s="5"/>
      <c r="T52" s="6"/>
      <c r="Y52" s="67" t="s">
        <v>148</v>
      </c>
      <c r="Z52" s="95">
        <v>8973.7743828574494</v>
      </c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7">
        <v>2.468</v>
      </c>
      <c r="B53" s="8">
        <v>1.1998999999999999E-10</v>
      </c>
      <c r="C53" s="8">
        <v>1.0768E-10</v>
      </c>
      <c r="D53" s="8">
        <v>1.2306E-11</v>
      </c>
      <c r="E53" s="1">
        <v>6.1441E-12</v>
      </c>
      <c r="F53" s="45">
        <f t="shared" si="7"/>
        <v>2.468</v>
      </c>
      <c r="G53" s="8">
        <f t="shared" ref="G53:G94" si="10">H53+I53</f>
        <v>1.2613010000000001E-10</v>
      </c>
      <c r="H53" s="1">
        <f t="shared" si="8"/>
        <v>1.138241E-10</v>
      </c>
      <c r="I53" s="46">
        <f t="shared" si="9"/>
        <v>1.2306E-11</v>
      </c>
      <c r="K53" s="1"/>
      <c r="L53" s="1"/>
      <c r="N53" s="7"/>
      <c r="P53" s="6"/>
      <c r="Q53" s="6"/>
      <c r="R53" s="6"/>
      <c r="S53" s="5"/>
      <c r="T53" s="6"/>
      <c r="Y53" s="67" t="s">
        <v>149</v>
      </c>
      <c r="Z53" s="95">
        <v>8902.8066671648503</v>
      </c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8.75" x14ac:dyDescent="0.3">
      <c r="A54" s="7">
        <v>4.516</v>
      </c>
      <c r="B54" s="8">
        <v>1.1967999999999999E-10</v>
      </c>
      <c r="C54" s="8">
        <v>1.074E-10</v>
      </c>
      <c r="D54" s="8">
        <v>1.2274999999999999E-11</v>
      </c>
      <c r="E54" s="1">
        <v>6.1723999999999998E-12</v>
      </c>
      <c r="F54" s="45">
        <f t="shared" si="7"/>
        <v>4.516</v>
      </c>
      <c r="G54" s="8">
        <f t="shared" si="10"/>
        <v>1.2584740000000001E-10</v>
      </c>
      <c r="H54" s="1">
        <f t="shared" si="8"/>
        <v>1.135724E-10</v>
      </c>
      <c r="I54" s="46">
        <f t="shared" si="9"/>
        <v>1.2274999999999999E-11</v>
      </c>
      <c r="K54" s="1"/>
      <c r="L54" s="1"/>
      <c r="N54" s="7"/>
      <c r="P54" s="6"/>
      <c r="Q54" s="6"/>
      <c r="R54" s="6"/>
      <c r="S54" s="5"/>
      <c r="T54" s="6"/>
      <c r="Y54" s="66" t="s">
        <v>150</v>
      </c>
      <c r="Z54" s="96">
        <f>Z53/Z52*100</f>
        <v>99.209165367159571</v>
      </c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7">
        <v>7.5880000000000001</v>
      </c>
      <c r="B55" s="8">
        <v>1.1919E-10</v>
      </c>
      <c r="C55" s="8">
        <v>1.0696999999999999E-10</v>
      </c>
      <c r="D55" s="8">
        <v>1.2225E-11</v>
      </c>
      <c r="E55" s="1">
        <v>6.3310000000000004E-12</v>
      </c>
      <c r="F55" s="45">
        <f t="shared" si="7"/>
        <v>7.5880000000000001</v>
      </c>
      <c r="G55" s="8">
        <f t="shared" si="10"/>
        <v>1.25526E-10</v>
      </c>
      <c r="H55" s="1">
        <f t="shared" si="8"/>
        <v>1.1330099999999999E-10</v>
      </c>
      <c r="I55" s="46">
        <f t="shared" si="9"/>
        <v>1.2225E-11</v>
      </c>
      <c r="K55" s="1"/>
      <c r="L55" s="1"/>
      <c r="N55" s="7"/>
      <c r="P55" s="6"/>
      <c r="Q55" s="6"/>
      <c r="R55" s="6"/>
      <c r="S55" s="5"/>
      <c r="T55" s="6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7">
        <v>9.6359999999999992</v>
      </c>
      <c r="B56" s="8">
        <v>1.1887E-10</v>
      </c>
      <c r="C56" s="8">
        <v>1.0668E-10</v>
      </c>
      <c r="D56" s="8">
        <v>1.2192E-11</v>
      </c>
      <c r="E56" s="1">
        <v>6.4699999999999997E-12</v>
      </c>
      <c r="F56" s="45">
        <f t="shared" si="7"/>
        <v>9.6359999999999992</v>
      </c>
      <c r="G56" s="8">
        <f t="shared" si="10"/>
        <v>1.2534199999999999E-10</v>
      </c>
      <c r="H56" s="1">
        <f t="shared" si="8"/>
        <v>1.1315E-10</v>
      </c>
      <c r="I56" s="46">
        <f t="shared" si="9"/>
        <v>1.2192E-11</v>
      </c>
      <c r="K56" s="1"/>
      <c r="L56" s="1"/>
      <c r="N56" s="7"/>
      <c r="P56" s="6"/>
      <c r="Q56" s="6"/>
      <c r="R56" s="6"/>
      <c r="S56" s="5"/>
      <c r="T56" s="6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7">
        <v>13.731999999999999</v>
      </c>
      <c r="B57" s="8">
        <v>1.1825999999999999E-10</v>
      </c>
      <c r="C57" s="8">
        <v>1.0613E-10</v>
      </c>
      <c r="D57" s="8">
        <v>1.2129000000000001E-11</v>
      </c>
      <c r="E57" s="1">
        <v>6.7535000000000003E-12</v>
      </c>
      <c r="F57" s="45">
        <f t="shared" si="7"/>
        <v>13.731999999999999</v>
      </c>
      <c r="G57" s="8">
        <f t="shared" si="10"/>
        <v>1.2501250000000001E-10</v>
      </c>
      <c r="H57" s="1">
        <f t="shared" si="8"/>
        <v>1.1288350000000001E-10</v>
      </c>
      <c r="I57" s="46">
        <f t="shared" si="9"/>
        <v>1.2129000000000001E-11</v>
      </c>
      <c r="K57" s="1"/>
      <c r="L57" s="1"/>
      <c r="N57" s="7"/>
      <c r="P57" s="6"/>
      <c r="Q57" s="6"/>
      <c r="R57" s="6"/>
      <c r="S57" s="5"/>
      <c r="T57" s="6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7">
        <v>17.417999999999999</v>
      </c>
      <c r="B58" s="8">
        <v>1.1775000000000001E-10</v>
      </c>
      <c r="C58" s="8">
        <v>1.0567E-10</v>
      </c>
      <c r="D58" s="8">
        <v>1.2077E-11</v>
      </c>
      <c r="E58" s="1">
        <v>6.9920999999999997E-12</v>
      </c>
      <c r="F58" s="45">
        <f t="shared" si="7"/>
        <v>17.417999999999999</v>
      </c>
      <c r="G58" s="8">
        <f t="shared" si="10"/>
        <v>1.247391E-10</v>
      </c>
      <c r="H58" s="1">
        <f t="shared" si="8"/>
        <v>1.126621E-10</v>
      </c>
      <c r="I58" s="46">
        <f t="shared" si="9"/>
        <v>1.2077E-11</v>
      </c>
      <c r="K58" s="1"/>
      <c r="L58" s="1"/>
      <c r="N58" s="7"/>
      <c r="P58" s="6"/>
      <c r="Q58" s="6"/>
      <c r="R58" s="6"/>
      <c r="S58" s="5"/>
      <c r="T58" s="6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7">
        <v>21.105</v>
      </c>
      <c r="B59" s="8">
        <v>1.1728000000000001E-10</v>
      </c>
      <c r="C59" s="8">
        <v>1.0525E-10</v>
      </c>
      <c r="D59" s="8">
        <v>1.2028E-11</v>
      </c>
      <c r="E59" s="1">
        <v>7.2002E-12</v>
      </c>
      <c r="F59" s="45">
        <f t="shared" si="7"/>
        <v>21.105</v>
      </c>
      <c r="G59" s="8">
        <f t="shared" si="10"/>
        <v>1.2447819999999999E-10</v>
      </c>
      <c r="H59" s="1">
        <f t="shared" si="8"/>
        <v>1.124502E-10</v>
      </c>
      <c r="I59" s="46">
        <f t="shared" si="9"/>
        <v>1.2028E-11</v>
      </c>
      <c r="K59" s="1"/>
      <c r="L59" s="1"/>
      <c r="N59" s="7"/>
      <c r="P59" s="6"/>
      <c r="Q59" s="6"/>
      <c r="R59" s="6"/>
      <c r="S59" s="5"/>
      <c r="T59" s="6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>
        <v>24.791</v>
      </c>
      <c r="B60" s="8">
        <v>1.1684000000000001E-10</v>
      </c>
      <c r="C60" s="8">
        <v>1.0486E-10</v>
      </c>
      <c r="D60" s="8">
        <v>1.1984000000000001E-11</v>
      </c>
      <c r="E60" s="1">
        <v>7.3774999999999992E-12</v>
      </c>
      <c r="F60" s="45">
        <f t="shared" si="7"/>
        <v>24.791</v>
      </c>
      <c r="G60" s="8">
        <f t="shared" si="10"/>
        <v>1.242215E-10</v>
      </c>
      <c r="H60" s="1">
        <f t="shared" si="8"/>
        <v>1.122375E-10</v>
      </c>
      <c r="I60" s="46">
        <f t="shared" si="9"/>
        <v>1.1984000000000001E-11</v>
      </c>
      <c r="K60" s="1"/>
      <c r="L60" s="1"/>
      <c r="N60" s="7"/>
      <c r="P60" s="6"/>
      <c r="Q60" s="6"/>
      <c r="R60" s="6"/>
      <c r="S60" s="5"/>
      <c r="T60" s="6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>
        <v>32.164000000000001</v>
      </c>
      <c r="B61" s="8">
        <v>1.1605E-10</v>
      </c>
      <c r="C61" s="8">
        <v>1.0415E-10</v>
      </c>
      <c r="D61" s="8">
        <v>1.1903E-11</v>
      </c>
      <c r="E61" s="1">
        <v>7.6609000000000002E-12</v>
      </c>
      <c r="F61" s="45">
        <f t="shared" si="7"/>
        <v>32.164000000000001</v>
      </c>
      <c r="G61" s="8">
        <f t="shared" si="10"/>
        <v>1.2371390000000001E-10</v>
      </c>
      <c r="H61" s="1">
        <f t="shared" si="8"/>
        <v>1.118109E-10</v>
      </c>
      <c r="I61" s="46">
        <f t="shared" si="9"/>
        <v>1.1903E-11</v>
      </c>
      <c r="K61" s="1"/>
      <c r="L61" s="1"/>
      <c r="N61" s="7"/>
      <c r="P61" s="6"/>
      <c r="Q61" s="6"/>
      <c r="R61" s="6"/>
      <c r="S61" s="5"/>
      <c r="T61" s="6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>
        <v>39.536999999999999</v>
      </c>
      <c r="B62" s="8">
        <v>1.1534999999999999E-10</v>
      </c>
      <c r="C62" s="8">
        <v>1.0352E-10</v>
      </c>
      <c r="D62" s="8">
        <v>1.1831E-11</v>
      </c>
      <c r="E62" s="1">
        <v>7.8673999999999994E-12</v>
      </c>
      <c r="F62" s="45">
        <f t="shared" si="7"/>
        <v>39.536999999999999</v>
      </c>
      <c r="G62" s="8">
        <f t="shared" si="10"/>
        <v>1.232184E-10</v>
      </c>
      <c r="H62" s="1">
        <f t="shared" si="8"/>
        <v>1.1138739999999999E-10</v>
      </c>
      <c r="I62" s="46">
        <f t="shared" si="9"/>
        <v>1.1831E-11</v>
      </c>
      <c r="K62" s="1"/>
      <c r="L62" s="1"/>
      <c r="N62" s="7"/>
      <c r="P62" s="6"/>
      <c r="Q62" s="6"/>
      <c r="R62" s="6"/>
      <c r="S62" s="5"/>
      <c r="T62" s="6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46.91</v>
      </c>
      <c r="B63" s="8">
        <v>1.1471E-10</v>
      </c>
      <c r="C63" s="8">
        <v>1.0294E-10</v>
      </c>
      <c r="D63" s="8">
        <v>1.1764999999999999E-11</v>
      </c>
      <c r="E63" s="1">
        <v>8.0159999999999998E-12</v>
      </c>
      <c r="F63" s="45">
        <f t="shared" si="7"/>
        <v>46.91</v>
      </c>
      <c r="G63" s="8">
        <f t="shared" si="10"/>
        <v>1.22721E-10</v>
      </c>
      <c r="H63" s="1">
        <f t="shared" si="8"/>
        <v>1.1095599999999999E-10</v>
      </c>
      <c r="I63" s="46">
        <f t="shared" si="9"/>
        <v>1.1764999999999999E-11</v>
      </c>
      <c r="K63" s="1"/>
      <c r="L63" s="1"/>
      <c r="N63" s="7"/>
      <c r="P63" s="6"/>
      <c r="Q63" s="6"/>
      <c r="R63" s="6"/>
      <c r="S63" s="5"/>
      <c r="T63" s="6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54.281999999999996</v>
      </c>
      <c r="B64" s="8">
        <v>1.1410999999999999E-10</v>
      </c>
      <c r="C64" s="8">
        <v>1.0241E-10</v>
      </c>
      <c r="D64" s="8">
        <v>1.1703999999999999E-11</v>
      </c>
      <c r="E64" s="1">
        <v>8.1208999999999995E-12</v>
      </c>
      <c r="F64" s="45">
        <f t="shared" si="7"/>
        <v>54.281999999999996</v>
      </c>
      <c r="G64" s="8">
        <f t="shared" si="10"/>
        <v>1.2223489999999999E-10</v>
      </c>
      <c r="H64" s="1">
        <f t="shared" si="8"/>
        <v>1.1053089999999999E-10</v>
      </c>
      <c r="I64" s="46">
        <f t="shared" si="9"/>
        <v>1.1703999999999999E-11</v>
      </c>
      <c r="K64" s="1"/>
      <c r="L64" s="1"/>
      <c r="N64" s="7"/>
      <c r="P64" s="6"/>
      <c r="Q64" s="6"/>
      <c r="R64" s="6"/>
      <c r="S64" s="5"/>
      <c r="T64" s="6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69.028000000000006</v>
      </c>
      <c r="B65" s="8">
        <v>1.13E-10</v>
      </c>
      <c r="C65" s="8">
        <v>1.0141E-10</v>
      </c>
      <c r="D65" s="8">
        <v>1.159E-11</v>
      </c>
      <c r="E65" s="1">
        <v>8.2474000000000006E-12</v>
      </c>
      <c r="F65" s="45">
        <f t="shared" si="7"/>
        <v>69.028000000000006</v>
      </c>
      <c r="G65" s="8">
        <f t="shared" si="10"/>
        <v>1.2124739999999999E-10</v>
      </c>
      <c r="H65" s="1">
        <f t="shared" si="8"/>
        <v>1.096574E-10</v>
      </c>
      <c r="I65" s="46">
        <f t="shared" si="9"/>
        <v>1.159E-11</v>
      </c>
      <c r="K65" s="1"/>
      <c r="L65" s="1"/>
      <c r="N65" s="7"/>
      <c r="P65" s="6"/>
      <c r="Q65" s="6"/>
      <c r="R65" s="6"/>
      <c r="S65" s="5"/>
      <c r="T65" s="6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83.774000000000001</v>
      </c>
      <c r="B66" s="8">
        <v>1.1198E-10</v>
      </c>
      <c r="C66" s="8">
        <v>1.005E-10</v>
      </c>
      <c r="D66" s="8">
        <v>1.1485E-11</v>
      </c>
      <c r="E66" s="1">
        <v>8.2925999999999996E-12</v>
      </c>
      <c r="F66" s="45">
        <f t="shared" si="7"/>
        <v>83.774000000000001</v>
      </c>
      <c r="G66" s="8">
        <f t="shared" si="10"/>
        <v>1.2027759999999998E-10</v>
      </c>
      <c r="H66" s="1">
        <f t="shared" si="8"/>
        <v>1.087926E-10</v>
      </c>
      <c r="I66" s="46">
        <f t="shared" si="9"/>
        <v>1.1485E-11</v>
      </c>
      <c r="K66" s="1"/>
      <c r="L66" s="1"/>
      <c r="N66" s="7"/>
      <c r="P66" s="6"/>
      <c r="Q66" s="6"/>
      <c r="R66" s="6"/>
      <c r="S66" s="5"/>
      <c r="T66" s="6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98.519000000000005</v>
      </c>
      <c r="B67" s="8">
        <v>1.1101E-10</v>
      </c>
      <c r="C67" s="8">
        <v>9.9625000000000005E-11</v>
      </c>
      <c r="D67" s="8">
        <v>1.1386E-11</v>
      </c>
      <c r="E67" s="1">
        <v>8.2888E-12</v>
      </c>
      <c r="F67" s="45">
        <f t="shared" si="7"/>
        <v>98.519000000000005</v>
      </c>
      <c r="G67" s="8">
        <f t="shared" si="10"/>
        <v>1.1929980000000001E-10</v>
      </c>
      <c r="H67" s="1">
        <f t="shared" si="8"/>
        <v>1.079138E-10</v>
      </c>
      <c r="I67" s="46">
        <f t="shared" si="9"/>
        <v>1.1386E-11</v>
      </c>
      <c r="K67" s="1"/>
      <c r="L67" s="1"/>
      <c r="N67" s="7"/>
      <c r="P67" s="6"/>
      <c r="Q67" s="6"/>
      <c r="R67" s="6"/>
      <c r="S67" s="5"/>
      <c r="T67" s="6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113.26</v>
      </c>
      <c r="B68" s="8">
        <v>1.1007E-10</v>
      </c>
      <c r="C68" s="8">
        <v>9.8781000000000002E-11</v>
      </c>
      <c r="D68" s="8">
        <v>1.1289E-11</v>
      </c>
      <c r="E68" s="1">
        <v>8.2569999999999992E-12</v>
      </c>
      <c r="F68" s="45">
        <f t="shared" si="7"/>
        <v>113.26</v>
      </c>
      <c r="G68" s="8">
        <f t="shared" si="10"/>
        <v>1.1832700000000002E-10</v>
      </c>
      <c r="H68" s="1">
        <f t="shared" si="8"/>
        <v>1.0703800000000001E-10</v>
      </c>
      <c r="I68" s="46">
        <f t="shared" si="9"/>
        <v>1.1289E-11</v>
      </c>
      <c r="K68" s="1"/>
      <c r="L68" s="1"/>
      <c r="N68" s="7"/>
      <c r="P68" s="6"/>
      <c r="Q68" s="6"/>
      <c r="R68" s="6"/>
      <c r="S68" s="5"/>
      <c r="T68" s="6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128.01</v>
      </c>
      <c r="B69" s="8">
        <v>1.0915000000000001E-10</v>
      </c>
      <c r="C69" s="8">
        <v>9.7954999999999999E-11</v>
      </c>
      <c r="D69" s="8">
        <v>1.1195E-11</v>
      </c>
      <c r="E69" s="1">
        <v>8.2093999999999993E-12</v>
      </c>
      <c r="F69" s="45">
        <f t="shared" si="7"/>
        <v>128.01</v>
      </c>
      <c r="G69" s="8">
        <f t="shared" si="10"/>
        <v>1.1735940000000001E-10</v>
      </c>
      <c r="H69" s="1">
        <f t="shared" si="8"/>
        <v>1.0616440000000001E-10</v>
      </c>
      <c r="I69" s="46">
        <f t="shared" si="9"/>
        <v>1.1195E-11</v>
      </c>
      <c r="K69" s="1"/>
      <c r="L69" s="1"/>
      <c r="N69" s="7"/>
      <c r="P69" s="6"/>
      <c r="Q69" s="6"/>
      <c r="R69" s="6"/>
      <c r="S69" s="5"/>
      <c r="T69" s="6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142.76</v>
      </c>
      <c r="B70" s="8">
        <v>1.0824000000000001E-10</v>
      </c>
      <c r="C70" s="8">
        <v>9.7142000000000004E-11</v>
      </c>
      <c r="D70" s="8">
        <v>1.1102E-11</v>
      </c>
      <c r="E70" s="1">
        <v>8.1532999999999992E-12</v>
      </c>
      <c r="F70" s="45">
        <f t="shared" si="7"/>
        <v>142.76</v>
      </c>
      <c r="G70" s="8">
        <f t="shared" si="10"/>
        <v>1.163973E-10</v>
      </c>
      <c r="H70" s="1">
        <f t="shared" si="8"/>
        <v>1.052953E-10</v>
      </c>
      <c r="I70" s="46">
        <f t="shared" si="9"/>
        <v>1.1102E-11</v>
      </c>
      <c r="K70" s="1"/>
      <c r="L70" s="1"/>
      <c r="N70" s="7"/>
      <c r="P70" s="6"/>
      <c r="Q70" s="6"/>
      <c r="R70" s="6"/>
      <c r="S70" s="5"/>
      <c r="T70" s="6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172.25</v>
      </c>
      <c r="B71" s="8">
        <v>1.0646E-10</v>
      </c>
      <c r="C71" s="8">
        <v>9.5542000000000005E-11</v>
      </c>
      <c r="D71" s="8">
        <v>1.0919000000000001E-11</v>
      </c>
      <c r="E71" s="1">
        <v>8.0318000000000006E-12</v>
      </c>
      <c r="F71" s="45">
        <f t="shared" si="7"/>
        <v>172.25</v>
      </c>
      <c r="G71" s="8">
        <f t="shared" si="10"/>
        <v>1.1449280000000001E-10</v>
      </c>
      <c r="H71" s="1">
        <f t="shared" si="8"/>
        <v>1.0357380000000001E-10</v>
      </c>
      <c r="I71" s="46">
        <f t="shared" si="9"/>
        <v>1.0919000000000001E-11</v>
      </c>
      <c r="K71" s="1"/>
      <c r="L71" s="1"/>
      <c r="N71" s="7"/>
      <c r="P71" s="6"/>
      <c r="Q71" s="6"/>
      <c r="R71" s="6"/>
      <c r="S71" s="5"/>
      <c r="T71" s="6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201.74</v>
      </c>
      <c r="B72" s="8">
        <v>1.0471000000000001E-10</v>
      </c>
      <c r="C72" s="8">
        <v>9.3973E-11</v>
      </c>
      <c r="D72" s="8">
        <v>1.074E-11</v>
      </c>
      <c r="E72" s="1">
        <v>7.9036000000000004E-12</v>
      </c>
      <c r="F72" s="45">
        <f t="shared" si="7"/>
        <v>201.74</v>
      </c>
      <c r="G72" s="8">
        <f t="shared" si="10"/>
        <v>1.126166E-10</v>
      </c>
      <c r="H72" s="1">
        <f t="shared" si="8"/>
        <v>1.018766E-10</v>
      </c>
      <c r="I72" s="46">
        <f t="shared" si="9"/>
        <v>1.074E-11</v>
      </c>
      <c r="K72" s="1"/>
      <c r="L72" s="1"/>
      <c r="N72" s="7"/>
      <c r="P72" s="6"/>
      <c r="Q72" s="6"/>
      <c r="R72" s="6"/>
      <c r="S72" s="5"/>
      <c r="T72" s="6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260.72000000000003</v>
      </c>
      <c r="B73" s="8">
        <v>1.013E-10</v>
      </c>
      <c r="C73" s="8">
        <v>9.0913999999999995E-11</v>
      </c>
      <c r="D73" s="8">
        <v>1.0390000000000001E-11</v>
      </c>
      <c r="E73" s="1">
        <v>7.6483E-12</v>
      </c>
      <c r="F73" s="45">
        <f t="shared" si="7"/>
        <v>260.72000000000003</v>
      </c>
      <c r="G73" s="8">
        <f t="shared" si="10"/>
        <v>1.0895229999999999E-10</v>
      </c>
      <c r="H73" s="1">
        <f t="shared" si="8"/>
        <v>9.856229999999999E-11</v>
      </c>
      <c r="I73" s="46">
        <f t="shared" si="9"/>
        <v>1.0390000000000001E-11</v>
      </c>
      <c r="K73" s="1"/>
      <c r="L73" s="1"/>
      <c r="N73" s="7"/>
      <c r="P73" s="6"/>
      <c r="Q73" s="6"/>
      <c r="R73" s="6"/>
      <c r="S73" s="5"/>
      <c r="T73" s="6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378.69</v>
      </c>
      <c r="B74" s="8">
        <v>9.5014999999999994E-11</v>
      </c>
      <c r="C74" s="8">
        <v>8.5270000000000006E-11</v>
      </c>
      <c r="D74" s="8">
        <v>9.7451000000000006E-12</v>
      </c>
      <c r="E74" s="1">
        <v>7.1717000000000002E-12</v>
      </c>
      <c r="F74" s="45">
        <f t="shared" si="7"/>
        <v>378.69</v>
      </c>
      <c r="G74" s="8">
        <f t="shared" si="10"/>
        <v>1.021868E-10</v>
      </c>
      <c r="H74" s="1">
        <f t="shared" si="8"/>
        <v>9.2441700000000005E-11</v>
      </c>
      <c r="I74" s="46">
        <f t="shared" si="9"/>
        <v>9.7451000000000006E-12</v>
      </c>
      <c r="K74" s="1"/>
      <c r="L74" s="1"/>
      <c r="N74" s="7"/>
      <c r="P74" s="6"/>
      <c r="Q74" s="6"/>
      <c r="R74" s="6"/>
      <c r="S74" s="5"/>
      <c r="T74" s="6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496.65</v>
      </c>
      <c r="B75" s="8">
        <v>8.9116000000000003E-11</v>
      </c>
      <c r="C75" s="8">
        <v>7.9975999999999996E-11</v>
      </c>
      <c r="D75" s="8">
        <v>9.1400999999999998E-12</v>
      </c>
      <c r="E75" s="1">
        <v>6.7260000000000002E-12</v>
      </c>
      <c r="F75" s="45">
        <f t="shared" si="7"/>
        <v>496.65</v>
      </c>
      <c r="G75" s="8">
        <f t="shared" si="10"/>
        <v>9.5842099999999999E-11</v>
      </c>
      <c r="H75" s="1">
        <f t="shared" si="8"/>
        <v>8.6702E-11</v>
      </c>
      <c r="I75" s="46">
        <f t="shared" si="9"/>
        <v>9.1400999999999998E-12</v>
      </c>
      <c r="K75" s="1"/>
      <c r="L75" s="1"/>
      <c r="N75" s="7"/>
      <c r="P75" s="6"/>
      <c r="Q75" s="6"/>
      <c r="R75" s="6"/>
      <c r="S75" s="5"/>
      <c r="T75" s="6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614.62</v>
      </c>
      <c r="B76" s="8">
        <v>8.3582999999999997E-11</v>
      </c>
      <c r="C76" s="8">
        <v>7.5009999999999995E-11</v>
      </c>
      <c r="D76" s="8">
        <v>8.5725999999999992E-12</v>
      </c>
      <c r="E76" s="1">
        <v>6.3082999999999997E-12</v>
      </c>
      <c r="F76" s="45">
        <f t="shared" si="7"/>
        <v>614.62</v>
      </c>
      <c r="G76" s="8">
        <f t="shared" si="10"/>
        <v>8.9890900000000002E-11</v>
      </c>
      <c r="H76" s="1">
        <f t="shared" si="8"/>
        <v>8.1318299999999998E-11</v>
      </c>
      <c r="I76" s="46">
        <f t="shared" si="9"/>
        <v>8.5725999999999992E-12</v>
      </c>
      <c r="K76" s="1"/>
      <c r="L76" s="1"/>
      <c r="N76" s="7"/>
      <c r="P76" s="6"/>
      <c r="Q76" s="6"/>
      <c r="R76" s="6"/>
      <c r="S76" s="5"/>
      <c r="T76" s="6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850.54</v>
      </c>
      <c r="B77" s="8">
        <v>7.3310000000000003E-11</v>
      </c>
      <c r="C77" s="8">
        <v>6.5790999999999995E-11</v>
      </c>
      <c r="D77" s="8">
        <v>7.5189000000000002E-12</v>
      </c>
      <c r="E77" s="1">
        <v>5.5329000000000004E-12</v>
      </c>
      <c r="F77" s="45">
        <f t="shared" si="7"/>
        <v>850.54</v>
      </c>
      <c r="G77" s="8">
        <f t="shared" si="10"/>
        <v>7.8842799999999997E-11</v>
      </c>
      <c r="H77" s="1">
        <f t="shared" si="8"/>
        <v>7.1323899999999995E-11</v>
      </c>
      <c r="I77" s="46">
        <f t="shared" si="9"/>
        <v>7.5189000000000002E-12</v>
      </c>
      <c r="K77" s="1"/>
      <c r="L77" s="1"/>
      <c r="N77" s="7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1086.5</v>
      </c>
      <c r="B78" s="8">
        <v>6.4219000000000003E-11</v>
      </c>
      <c r="C78" s="8">
        <v>5.7632999999999999E-11</v>
      </c>
      <c r="D78" s="8">
        <v>6.5866000000000002E-12</v>
      </c>
      <c r="E78" s="1">
        <v>4.8469000000000003E-12</v>
      </c>
      <c r="F78" s="45">
        <f t="shared" si="7"/>
        <v>1086.5</v>
      </c>
      <c r="G78" s="8">
        <f t="shared" si="10"/>
        <v>6.9066499999999996E-11</v>
      </c>
      <c r="H78" s="1">
        <f t="shared" si="8"/>
        <v>6.2479899999999994E-11</v>
      </c>
      <c r="I78" s="46">
        <f t="shared" si="9"/>
        <v>6.5866000000000002E-12</v>
      </c>
      <c r="K78" s="1"/>
      <c r="L78" s="1"/>
      <c r="N78" s="7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1518.5</v>
      </c>
      <c r="B79" s="8">
        <v>5.0259000000000001E-11</v>
      </c>
      <c r="C79" s="8">
        <v>4.5104E-11</v>
      </c>
      <c r="D79" s="8">
        <v>5.1547999999999998E-12</v>
      </c>
      <c r="E79" s="1">
        <v>3.7931999999999996E-12</v>
      </c>
      <c r="F79" s="45">
        <f t="shared" si="7"/>
        <v>1518.5</v>
      </c>
      <c r="G79" s="8">
        <f t="shared" si="10"/>
        <v>5.4052000000000001E-11</v>
      </c>
      <c r="H79" s="1">
        <f t="shared" si="8"/>
        <v>4.88972E-11</v>
      </c>
      <c r="I79" s="46">
        <f t="shared" si="9"/>
        <v>5.1547999999999998E-12</v>
      </c>
      <c r="K79" s="1"/>
      <c r="L79" s="1"/>
      <c r="N79" s="7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1950.5</v>
      </c>
      <c r="B80" s="8">
        <v>3.9269000000000002E-11</v>
      </c>
      <c r="C80" s="8">
        <v>3.5241999999999997E-11</v>
      </c>
      <c r="D80" s="8">
        <v>4.0276000000000003E-12</v>
      </c>
      <c r="E80" s="1">
        <v>2.9638E-12</v>
      </c>
      <c r="F80" s="45">
        <f t="shared" si="7"/>
        <v>1950.5</v>
      </c>
      <c r="G80" s="8">
        <f t="shared" si="10"/>
        <v>4.2233399999999997E-11</v>
      </c>
      <c r="H80" s="1">
        <f t="shared" si="8"/>
        <v>3.8205799999999995E-11</v>
      </c>
      <c r="I80" s="46">
        <f t="shared" si="9"/>
        <v>4.0276000000000003E-12</v>
      </c>
      <c r="K80" s="1"/>
      <c r="L80" s="1"/>
      <c r="N80" s="7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2382.5</v>
      </c>
      <c r="B81" s="8">
        <v>3.0661000000000003E-11</v>
      </c>
      <c r="C81" s="8">
        <v>2.7516E-11</v>
      </c>
      <c r="D81" s="8">
        <v>3.1447000000000001E-12</v>
      </c>
      <c r="E81" s="1">
        <v>2.3141E-12</v>
      </c>
      <c r="F81" s="45">
        <f t="shared" si="7"/>
        <v>2382.5</v>
      </c>
      <c r="G81" s="8">
        <f t="shared" si="10"/>
        <v>3.2974800000000002E-11</v>
      </c>
      <c r="H81" s="1">
        <f t="shared" si="8"/>
        <v>2.9830100000000002E-11</v>
      </c>
      <c r="I81" s="46">
        <f t="shared" si="9"/>
        <v>3.1447000000000001E-12</v>
      </c>
      <c r="K81" s="1"/>
      <c r="L81" s="1"/>
      <c r="N81" s="7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2814.5</v>
      </c>
      <c r="B82" s="8">
        <v>2.3933000000000002E-11</v>
      </c>
      <c r="C82" s="8">
        <v>2.1477999999999999E-11</v>
      </c>
      <c r="D82" s="8">
        <v>2.4546000000000001E-12</v>
      </c>
      <c r="E82" s="1">
        <v>1.8063000000000001E-12</v>
      </c>
      <c r="F82" s="45">
        <f t="shared" si="7"/>
        <v>2814.5</v>
      </c>
      <c r="G82" s="8">
        <f t="shared" si="10"/>
        <v>2.5738900000000001E-11</v>
      </c>
      <c r="H82" s="1">
        <f t="shared" si="8"/>
        <v>2.32843E-11</v>
      </c>
      <c r="I82" s="46">
        <f t="shared" si="9"/>
        <v>2.4546000000000001E-12</v>
      </c>
      <c r="K82" s="1"/>
      <c r="L82" s="1"/>
      <c r="N82" s="7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3246.5</v>
      </c>
      <c r="B83" s="8">
        <v>1.8677999999999999E-11</v>
      </c>
      <c r="C83" s="8">
        <v>1.6762E-11</v>
      </c>
      <c r="D83" s="8">
        <v>1.9157E-12</v>
      </c>
      <c r="E83" s="1">
        <v>1.4096999999999999E-12</v>
      </c>
      <c r="F83" s="45">
        <f t="shared" si="7"/>
        <v>3246.5</v>
      </c>
      <c r="G83" s="8">
        <f t="shared" si="10"/>
        <v>2.00874E-11</v>
      </c>
      <c r="H83" s="1">
        <f t="shared" si="8"/>
        <v>1.8171699999999999E-11</v>
      </c>
      <c r="I83" s="46">
        <f t="shared" si="9"/>
        <v>1.9157E-12</v>
      </c>
      <c r="K83" s="1"/>
      <c r="L83" s="1"/>
      <c r="N83" s="7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3678.5</v>
      </c>
      <c r="B84" s="8">
        <v>1.4576000000000001E-11</v>
      </c>
      <c r="C84" s="8">
        <v>1.3081000000000001E-11</v>
      </c>
      <c r="D84" s="8">
        <v>1.495E-12</v>
      </c>
      <c r="E84" s="1">
        <v>1.1000999999999999E-12</v>
      </c>
      <c r="F84" s="45">
        <f t="shared" si="7"/>
        <v>3678.5</v>
      </c>
      <c r="G84" s="8">
        <f t="shared" si="10"/>
        <v>1.5676099999999999E-11</v>
      </c>
      <c r="H84" s="1">
        <f t="shared" si="8"/>
        <v>1.41811E-11</v>
      </c>
      <c r="I84" s="46">
        <f t="shared" si="9"/>
        <v>1.495E-12</v>
      </c>
      <c r="K84" s="1"/>
      <c r="L84" s="1"/>
      <c r="N84" s="7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4110.5</v>
      </c>
      <c r="B85" s="8">
        <v>1.1374999999999999E-11</v>
      </c>
      <c r="C85" s="8">
        <v>1.0208E-11</v>
      </c>
      <c r="D85" s="8">
        <v>1.1667000000000001E-12</v>
      </c>
      <c r="E85" s="1">
        <v>8.5850000000000003E-13</v>
      </c>
      <c r="F85" s="45">
        <f t="shared" si="7"/>
        <v>4110.5</v>
      </c>
      <c r="G85" s="8">
        <f t="shared" si="10"/>
        <v>1.22332E-11</v>
      </c>
      <c r="H85" s="1">
        <f t="shared" si="8"/>
        <v>1.1066499999999999E-11</v>
      </c>
      <c r="I85" s="46">
        <f t="shared" si="9"/>
        <v>1.1667000000000001E-12</v>
      </c>
      <c r="K85" s="1"/>
      <c r="L85" s="1"/>
      <c r="N85" s="7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4320</v>
      </c>
      <c r="B86" s="8">
        <v>1.0075E-11</v>
      </c>
      <c r="C86" s="8">
        <v>9.0419999999999996E-12</v>
      </c>
      <c r="D86" s="8">
        <v>1.0334E-12</v>
      </c>
      <c r="E86" s="1">
        <v>7.6042000000000001E-13</v>
      </c>
      <c r="F86" s="45">
        <f t="shared" si="7"/>
        <v>4320</v>
      </c>
      <c r="G86" s="8">
        <f t="shared" si="10"/>
        <v>1.0835819999999999E-11</v>
      </c>
      <c r="H86" s="1">
        <f t="shared" si="8"/>
        <v>9.8024199999999989E-12</v>
      </c>
      <c r="I86" s="46">
        <f t="shared" si="9"/>
        <v>1.0334E-12</v>
      </c>
      <c r="K86" s="1"/>
      <c r="L86" s="1"/>
      <c r="N86" s="7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3229.5</v>
      </c>
      <c r="B87" s="8">
        <v>4.4521000000000004E-12</v>
      </c>
      <c r="C87" s="8">
        <v>4.2174000000000002E-12</v>
      </c>
      <c r="D87" s="8">
        <v>2.3471999999999998E-13</v>
      </c>
      <c r="E87" s="1">
        <v>3.4914999999999998E-13</v>
      </c>
      <c r="F87" s="45">
        <f t="shared" si="7"/>
        <v>3229.5</v>
      </c>
      <c r="G87" s="8">
        <f t="shared" si="10"/>
        <v>4.8012700000000002E-12</v>
      </c>
      <c r="H87" s="1">
        <f t="shared" si="8"/>
        <v>4.5665500000000006E-12</v>
      </c>
      <c r="I87" s="46">
        <f t="shared" si="9"/>
        <v>2.3471999999999998E-13</v>
      </c>
      <c r="K87" s="1"/>
      <c r="L87" s="1"/>
      <c r="N87" s="7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3404</v>
      </c>
      <c r="B88" s="8">
        <v>3.7252000000000003E-12</v>
      </c>
      <c r="C88" s="8">
        <v>3.5288000000000001E-12</v>
      </c>
      <c r="D88" s="8">
        <v>1.964E-13</v>
      </c>
      <c r="E88" s="1">
        <v>2.9215000000000002E-13</v>
      </c>
      <c r="F88" s="45">
        <f t="shared" si="7"/>
        <v>3404</v>
      </c>
      <c r="G88" s="8">
        <f t="shared" si="10"/>
        <v>4.0173500000000004E-12</v>
      </c>
      <c r="H88" s="1">
        <f t="shared" si="8"/>
        <v>3.8209500000000002E-12</v>
      </c>
      <c r="I88" s="46">
        <f t="shared" si="9"/>
        <v>1.964E-13</v>
      </c>
      <c r="K88" s="1"/>
      <c r="L88" s="1"/>
      <c r="N88" s="7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3578.6</v>
      </c>
      <c r="B89" s="8">
        <v>3.1170000000000001E-12</v>
      </c>
      <c r="C89" s="8">
        <v>2.9527000000000001E-12</v>
      </c>
      <c r="D89" s="8">
        <v>1.6432999999999999E-13</v>
      </c>
      <c r="E89" s="1">
        <v>2.4444999999999998E-13</v>
      </c>
      <c r="F89" s="45">
        <f t="shared" si="7"/>
        <v>3578.6</v>
      </c>
      <c r="G89" s="8">
        <f t="shared" si="10"/>
        <v>3.3614799999999999E-12</v>
      </c>
      <c r="H89" s="1">
        <f t="shared" si="8"/>
        <v>3.19715E-12</v>
      </c>
      <c r="I89" s="46">
        <f t="shared" si="9"/>
        <v>1.6432999999999999E-13</v>
      </c>
      <c r="K89" s="1"/>
      <c r="L89" s="1"/>
      <c r="N89" s="7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3753.2</v>
      </c>
      <c r="B90" s="8">
        <v>2.6081000000000002E-12</v>
      </c>
      <c r="C90" s="8">
        <v>2.4706E-12</v>
      </c>
      <c r="D90" s="8">
        <v>1.3749999999999999E-13</v>
      </c>
      <c r="E90" s="1">
        <v>2.0454E-13</v>
      </c>
      <c r="F90" s="45">
        <f t="shared" si="7"/>
        <v>3753.2</v>
      </c>
      <c r="G90" s="8">
        <f t="shared" si="10"/>
        <v>2.81264E-12</v>
      </c>
      <c r="H90" s="1">
        <f t="shared" si="8"/>
        <v>2.6751399999999998E-12</v>
      </c>
      <c r="I90" s="46">
        <f t="shared" si="9"/>
        <v>1.3749999999999999E-13</v>
      </c>
      <c r="K90" s="1"/>
      <c r="L90" s="1"/>
      <c r="N90" s="7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3927.8</v>
      </c>
      <c r="B91" s="8">
        <v>2.1823000000000001E-12</v>
      </c>
      <c r="C91" s="8">
        <v>2.0671999999999999E-12</v>
      </c>
      <c r="D91" s="8">
        <v>1.1505E-13</v>
      </c>
      <c r="E91" s="1">
        <v>1.7113999999999999E-13</v>
      </c>
      <c r="F91" s="45">
        <f t="shared" si="7"/>
        <v>3927.8</v>
      </c>
      <c r="G91" s="8">
        <f t="shared" si="10"/>
        <v>2.3533899999999999E-12</v>
      </c>
      <c r="H91" s="1">
        <f t="shared" si="8"/>
        <v>2.2383399999999999E-12</v>
      </c>
      <c r="I91" s="46">
        <f t="shared" si="9"/>
        <v>1.1505E-13</v>
      </c>
      <c r="K91" s="1"/>
      <c r="L91" s="1"/>
      <c r="N91" s="7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4102.3999999999996</v>
      </c>
      <c r="B92" s="8">
        <v>1.8260000000000001E-12</v>
      </c>
      <c r="C92" s="8">
        <v>1.7297E-12</v>
      </c>
      <c r="D92" s="8">
        <v>9.6267999999999997E-14</v>
      </c>
      <c r="E92" s="1">
        <v>1.4320000000000001E-13</v>
      </c>
      <c r="F92" s="45">
        <f t="shared" si="7"/>
        <v>4102.3999999999996</v>
      </c>
      <c r="G92" s="8">
        <f t="shared" si="10"/>
        <v>1.9691679999999998E-12</v>
      </c>
      <c r="H92" s="1">
        <f t="shared" si="8"/>
        <v>1.8728999999999998E-12</v>
      </c>
      <c r="I92" s="46">
        <f t="shared" si="9"/>
        <v>9.6267999999999997E-14</v>
      </c>
      <c r="K92" s="1"/>
      <c r="L92" s="1"/>
      <c r="N92" s="7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4277</v>
      </c>
      <c r="B93" s="8">
        <v>1.5279E-12</v>
      </c>
      <c r="C93" s="8">
        <v>1.4472999999999999E-12</v>
      </c>
      <c r="D93" s="8">
        <v>8.0549999999999995E-14</v>
      </c>
      <c r="E93" s="1">
        <v>1.1981999999999999E-13</v>
      </c>
      <c r="F93" s="45">
        <f t="shared" si="7"/>
        <v>4277</v>
      </c>
      <c r="G93" s="8">
        <f t="shared" si="10"/>
        <v>1.64767E-12</v>
      </c>
      <c r="H93" s="1">
        <f t="shared" si="8"/>
        <v>1.5671199999999999E-12</v>
      </c>
      <c r="I93" s="46">
        <f t="shared" si="9"/>
        <v>8.0549999999999995E-14</v>
      </c>
      <c r="K93" s="1"/>
      <c r="L93" s="1"/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7.25" thickBot="1" x14ac:dyDescent="0.35">
      <c r="A94" s="7">
        <v>4320</v>
      </c>
      <c r="B94" s="8">
        <v>1.4619000000000001E-12</v>
      </c>
      <c r="C94" s="8">
        <v>1.3847999999999999E-12</v>
      </c>
      <c r="D94" s="8">
        <v>7.7071000000000003E-14</v>
      </c>
      <c r="E94" s="1">
        <v>1.1464E-13</v>
      </c>
      <c r="F94" s="47">
        <f t="shared" si="7"/>
        <v>4320</v>
      </c>
      <c r="G94" s="48">
        <f t="shared" si="10"/>
        <v>1.5765109999999999E-12</v>
      </c>
      <c r="H94" s="49">
        <f t="shared" si="8"/>
        <v>1.4994399999999999E-12</v>
      </c>
      <c r="I94" s="50">
        <f t="shared" si="9"/>
        <v>7.7071000000000003E-14</v>
      </c>
      <c r="K94" s="1"/>
      <c r="L94" s="1"/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B95" s="7"/>
      <c r="C95" s="8"/>
      <c r="D95" s="8"/>
      <c r="E95" s="8"/>
      <c r="F95" s="1"/>
      <c r="G95" s="1"/>
      <c r="H95" s="1"/>
      <c r="I95" s="1"/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B96" s="7"/>
      <c r="C96" s="8"/>
      <c r="D96" s="8"/>
      <c r="E96" s="8"/>
      <c r="F96" s="1"/>
      <c r="G96" s="1"/>
      <c r="H96" s="1"/>
      <c r="I96" s="1"/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 x14ac:dyDescent="0.3">
      <c r="B97" s="7"/>
      <c r="C97" s="8"/>
      <c r="D97" s="8"/>
      <c r="E97" s="8"/>
      <c r="F97" s="1"/>
      <c r="G97" s="1"/>
      <c r="H97" s="1"/>
      <c r="I97" s="1"/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 x14ac:dyDescent="0.3">
      <c r="B98" s="7"/>
      <c r="C98" s="8"/>
      <c r="D98" s="8"/>
      <c r="E98" s="8"/>
      <c r="F98" s="1"/>
      <c r="G98" s="1"/>
      <c r="H98" s="1"/>
      <c r="I98" s="1"/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 x14ac:dyDescent="0.3">
      <c r="B99" s="7"/>
      <c r="C99" s="8"/>
      <c r="D99" s="8"/>
      <c r="E99" s="8"/>
      <c r="F99" s="1"/>
      <c r="G99" s="1"/>
      <c r="H99" s="1"/>
      <c r="I99" s="1"/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 x14ac:dyDescent="0.3">
      <c r="B100" s="7"/>
      <c r="C100" s="8"/>
      <c r="D100" s="8"/>
      <c r="E100" s="8"/>
      <c r="F100" s="1"/>
      <c r="G100" s="1"/>
      <c r="H100" s="1"/>
      <c r="I100" s="1"/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 x14ac:dyDescent="0.3">
      <c r="B101" s="7"/>
      <c r="C101" s="8"/>
      <c r="D101" s="8"/>
      <c r="E101" s="8"/>
      <c r="F101" s="1"/>
      <c r="G101" s="1"/>
      <c r="H101" s="1"/>
      <c r="I101" s="1"/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 x14ac:dyDescent="0.3">
      <c r="B102" s="7"/>
      <c r="C102" s="8"/>
      <c r="D102" s="8"/>
      <c r="E102" s="8"/>
      <c r="F102" s="1"/>
      <c r="G102" s="1"/>
      <c r="H102" s="1"/>
      <c r="I102" s="1"/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 x14ac:dyDescent="0.3">
      <c r="B103" s="7"/>
      <c r="C103" s="8"/>
      <c r="D103" s="8"/>
      <c r="E103" s="8"/>
      <c r="F103" s="1"/>
      <c r="G103" s="1"/>
      <c r="H103" s="1"/>
      <c r="I103" s="1"/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 x14ac:dyDescent="0.3">
      <c r="B104" s="7"/>
      <c r="C104" s="8"/>
      <c r="D104" s="8"/>
      <c r="E104" s="8"/>
      <c r="F104" s="1"/>
      <c r="G104" s="1"/>
      <c r="H104" s="1"/>
      <c r="I104" s="1"/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 x14ac:dyDescent="0.3">
      <c r="B105" s="7"/>
      <c r="C105" s="8"/>
      <c r="D105" s="8"/>
      <c r="E105" s="8"/>
      <c r="F105" s="1"/>
      <c r="G105" s="1"/>
      <c r="H105" s="1"/>
      <c r="I105" s="1"/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 x14ac:dyDescent="0.3">
      <c r="B106" s="7"/>
      <c r="C106" s="8"/>
      <c r="D106" s="8"/>
      <c r="E106" s="8"/>
      <c r="F106" s="1"/>
      <c r="G106" s="1"/>
      <c r="H106" s="1"/>
      <c r="I106" s="1"/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 x14ac:dyDescent="0.3">
      <c r="B107" s="7"/>
      <c r="C107" s="8"/>
      <c r="D107" s="8"/>
      <c r="E107" s="8"/>
      <c r="F107" s="1"/>
      <c r="G107" s="1"/>
      <c r="H107" s="1"/>
      <c r="I107" s="1"/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 x14ac:dyDescent="0.3">
      <c r="B108" s="7"/>
      <c r="C108" s="8"/>
      <c r="D108" s="8"/>
      <c r="E108" s="8"/>
      <c r="F108" s="1"/>
      <c r="G108" s="1"/>
      <c r="H108" s="1"/>
      <c r="I108" s="1"/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 x14ac:dyDescent="0.3">
      <c r="B109" s="7"/>
      <c r="C109" s="8"/>
      <c r="D109" s="8"/>
      <c r="E109" s="8"/>
      <c r="F109" s="1"/>
      <c r="G109" s="1"/>
      <c r="H109" s="1"/>
      <c r="I109" s="1"/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 x14ac:dyDescent="0.3">
      <c r="B110" s="7"/>
      <c r="C110" s="8"/>
      <c r="D110" s="8"/>
      <c r="E110" s="8"/>
      <c r="F110" s="1"/>
      <c r="G110" s="1"/>
      <c r="H110" s="1"/>
      <c r="I110" s="1"/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 x14ac:dyDescent="0.3">
      <c r="B111" s="7"/>
      <c r="C111" s="8"/>
      <c r="D111" s="8"/>
      <c r="E111" s="8"/>
      <c r="F111" s="1"/>
      <c r="G111" s="1"/>
      <c r="H111" s="1"/>
      <c r="I111" s="1"/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 x14ac:dyDescent="0.3">
      <c r="B112" s="7"/>
      <c r="C112" s="8"/>
      <c r="D112" s="8"/>
      <c r="E112" s="8"/>
      <c r="F112" s="1"/>
      <c r="G112" s="1"/>
      <c r="H112" s="1"/>
      <c r="I112" s="1"/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 x14ac:dyDescent="0.3">
      <c r="B113" s="7"/>
      <c r="C113" s="8"/>
      <c r="D113" s="8"/>
      <c r="E113" s="8"/>
      <c r="F113" s="1"/>
      <c r="G113" s="1"/>
      <c r="H113" s="1"/>
      <c r="I113" s="1"/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 x14ac:dyDescent="0.3">
      <c r="B114" s="7"/>
      <c r="C114" s="8"/>
      <c r="D114" s="8"/>
      <c r="E114" s="8"/>
      <c r="F114" s="1"/>
      <c r="G114" s="1"/>
      <c r="H114" s="1"/>
      <c r="I114" s="1"/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 x14ac:dyDescent="0.3">
      <c r="B115" s="7"/>
      <c r="C115" s="8"/>
      <c r="D115" s="8"/>
      <c r="E115" s="8"/>
      <c r="F115" s="1"/>
      <c r="G115" s="1"/>
      <c r="H115" s="1"/>
      <c r="I115" s="1"/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 x14ac:dyDescent="0.3">
      <c r="B116" s="7"/>
      <c r="C116" s="8"/>
      <c r="D116" s="8"/>
      <c r="E116" s="8"/>
      <c r="F116" s="1"/>
      <c r="G116" s="1"/>
      <c r="H116" s="1"/>
      <c r="I116" s="1"/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 x14ac:dyDescent="0.3">
      <c r="B117" s="7"/>
      <c r="C117" s="8"/>
      <c r="D117" s="8"/>
      <c r="E117" s="8"/>
      <c r="F117" s="1"/>
      <c r="G117" s="1"/>
      <c r="H117" s="1"/>
      <c r="I117" s="1"/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 x14ac:dyDescent="0.3">
      <c r="B118" s="7"/>
      <c r="C118" s="8"/>
      <c r="D118" s="8"/>
      <c r="E118" s="8"/>
      <c r="F118" s="1"/>
      <c r="G118" s="1"/>
      <c r="H118" s="1"/>
      <c r="I118" s="1"/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CC7E-AC6C-402D-B913-D52D21FDE627}">
  <dimension ref="A1:BM602"/>
  <sheetViews>
    <sheetView zoomScale="85" zoomScaleNormal="85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20" max="20" width="11" bestFit="1" customWidth="1"/>
    <col min="21" max="21" width="9.5" bestFit="1" customWidth="1"/>
    <col min="22" max="22" width="13.375" bestFit="1" customWidth="1"/>
    <col min="28" max="28" width="17.6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1.2735937737092E-10</v>
      </c>
      <c r="B1" s="7" t="s">
        <v>0</v>
      </c>
      <c r="C1" s="8" t="s">
        <v>82</v>
      </c>
      <c r="D1" s="8" t="s">
        <v>83</v>
      </c>
      <c r="E1" s="8" t="s">
        <v>83</v>
      </c>
      <c r="F1" t="s">
        <v>83</v>
      </c>
      <c r="G1" t="s">
        <v>83</v>
      </c>
      <c r="H1" t="s">
        <v>84</v>
      </c>
      <c r="I1" t="s">
        <v>85</v>
      </c>
      <c r="J1" t="s">
        <v>76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1.2710218700000001E-10</v>
      </c>
      <c r="D2" s="1">
        <v>1.270823E-10</v>
      </c>
      <c r="E2" s="1">
        <v>1.9887000000000001E-14</v>
      </c>
      <c r="F2" s="1">
        <v>2.5718999999999999E-13</v>
      </c>
      <c r="G2" s="1">
        <v>3.7092E-19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2" si="0">(H2+F2)/$A$1*100</f>
        <v>0.20194037165474102</v>
      </c>
      <c r="R2" s="6">
        <f t="shared" ref="R2:R42" si="1">(G2+I2)/$A$1*100</f>
        <v>2.9123886097506335E-7</v>
      </c>
      <c r="S2" s="5">
        <f t="shared" ref="S2:S42" si="2">J2/$A$1*100</f>
        <v>0</v>
      </c>
      <c r="T2" s="6">
        <f t="shared" ref="T2:V17" si="3">C2/$A$1*100</f>
        <v>99.798059337106409</v>
      </c>
      <c r="U2" s="1">
        <f t="shared" si="3"/>
        <v>99.7824444680559</v>
      </c>
      <c r="V2" s="1">
        <f t="shared" si="3"/>
        <v>1.561486905049899E-2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2.2759999999999998</v>
      </c>
      <c r="C3" s="8">
        <v>1.2540329999999999E-10</v>
      </c>
      <c r="D3" s="1">
        <v>1.045613E-10</v>
      </c>
      <c r="E3" s="1">
        <v>2.0842E-11</v>
      </c>
      <c r="F3" s="1">
        <v>1.8244000000000002E-12</v>
      </c>
      <c r="G3" s="1">
        <v>3.4396000000000002E-16</v>
      </c>
      <c r="H3" s="1">
        <v>3.7635999999999999E-14</v>
      </c>
      <c r="I3" s="1">
        <v>5.9079999999999999E-14</v>
      </c>
      <c r="J3">
        <v>0</v>
      </c>
      <c r="K3" s="1"/>
      <c r="L3" s="1"/>
      <c r="N3" s="7"/>
      <c r="O3">
        <f t="shared" ref="O3:O42" si="4">B3/60</f>
        <v>3.7933333333333333E-2</v>
      </c>
      <c r="P3" s="6">
        <f t="shared" ref="P3:P42" si="5">(SUM(F3:J3)+C3)/$A$1*100</f>
        <v>99.972819111058314</v>
      </c>
      <c r="Q3" s="6">
        <f t="shared" si="0"/>
        <v>1.4620329012578539</v>
      </c>
      <c r="R3" s="6">
        <f t="shared" si="1"/>
        <v>4.6658488151158535E-2</v>
      </c>
      <c r="S3" s="5">
        <f t="shared" si="2"/>
        <v>0</v>
      </c>
      <c r="T3" s="6">
        <f t="shared" si="3"/>
        <v>98.464127721649305</v>
      </c>
      <c r="U3" s="1">
        <f t="shared" si="3"/>
        <v>82.099412040525962</v>
      </c>
      <c r="V3" s="1">
        <f t="shared" si="3"/>
        <v>16.364715681123343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4.3239999999999998</v>
      </c>
      <c r="C4" s="8">
        <v>1.248763E-10</v>
      </c>
      <c r="D4" s="1">
        <v>1.0424430000000001E-10</v>
      </c>
      <c r="E4" s="1">
        <v>2.0631999999999999E-11</v>
      </c>
      <c r="F4" s="1">
        <v>2.113E-12</v>
      </c>
      <c r="G4" s="1">
        <v>6.6440000000000001E-16</v>
      </c>
      <c r="H4" s="1">
        <v>1.1111000000000001E-13</v>
      </c>
      <c r="I4" s="1">
        <v>2.1530999999999999E-13</v>
      </c>
      <c r="J4">
        <v>0</v>
      </c>
      <c r="K4" s="1"/>
      <c r="L4" s="1"/>
      <c r="N4" s="7"/>
      <c r="O4">
        <f t="shared" si="4"/>
        <v>7.2066666666666668E-2</v>
      </c>
      <c r="P4" s="6">
        <f t="shared" si="5"/>
        <v>99.966242791220012</v>
      </c>
      <c r="Q4" s="6">
        <f t="shared" si="0"/>
        <v>1.7463260624480972</v>
      </c>
      <c r="R4" s="6">
        <f t="shared" si="1"/>
        <v>0.16957871847237335</v>
      </c>
      <c r="S4" s="5">
        <f t="shared" si="2"/>
        <v>0</v>
      </c>
      <c r="T4" s="6">
        <f t="shared" si="3"/>
        <v>98.050338010299527</v>
      </c>
      <c r="U4" s="1">
        <f t="shared" si="3"/>
        <v>81.850510069941762</v>
      </c>
      <c r="V4" s="1">
        <f t="shared" si="3"/>
        <v>16.199827940357778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7.3959999999999999</v>
      </c>
      <c r="C5" s="8">
        <v>1.241491E-10</v>
      </c>
      <c r="D5" s="1">
        <v>1.037341E-10</v>
      </c>
      <c r="E5" s="1">
        <v>2.0415000000000001E-11</v>
      </c>
      <c r="F5" s="1">
        <v>2.3412000000000002E-12</v>
      </c>
      <c r="G5" s="1">
        <v>9.6356000000000002E-16</v>
      </c>
      <c r="H5" s="1">
        <v>2.3760999999999998E-13</v>
      </c>
      <c r="I5" s="1">
        <v>5.9469999999999998E-13</v>
      </c>
      <c r="J5">
        <v>0</v>
      </c>
      <c r="K5" s="1"/>
      <c r="L5" s="1"/>
      <c r="N5" s="7"/>
      <c r="O5">
        <f t="shared" si="4"/>
        <v>0.12326666666666666</v>
      </c>
      <c r="P5" s="6">
        <f t="shared" si="5"/>
        <v>99.971887573840974</v>
      </c>
      <c r="Q5" s="6">
        <f t="shared" si="0"/>
        <v>2.0248293083983153</v>
      </c>
      <c r="R5" s="6">
        <f t="shared" si="1"/>
        <v>0.46770294602273088</v>
      </c>
      <c r="S5" s="5">
        <f t="shared" si="2"/>
        <v>0</v>
      </c>
      <c r="T5" s="6">
        <f t="shared" si="3"/>
        <v>97.479355319419923</v>
      </c>
      <c r="U5" s="1">
        <f t="shared" si="3"/>
        <v>81.44991137785324</v>
      </c>
      <c r="V5" s="1">
        <f t="shared" si="3"/>
        <v>16.029443941566697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9.2392000000000003</v>
      </c>
      <c r="C6" s="8">
        <v>1.237301E-10</v>
      </c>
      <c r="D6" s="1">
        <v>1.034111E-10</v>
      </c>
      <c r="E6" s="1">
        <v>2.0318999999999999E-11</v>
      </c>
      <c r="F6" s="1">
        <v>2.4080999999999998E-12</v>
      </c>
      <c r="G6" s="1">
        <v>1.0499E-15</v>
      </c>
      <c r="H6" s="1">
        <v>3.1924999999999998E-13</v>
      </c>
      <c r="I6" s="1">
        <v>8.7645999999999998E-13</v>
      </c>
      <c r="J6">
        <v>0</v>
      </c>
      <c r="K6" s="1"/>
      <c r="L6" s="1"/>
      <c r="N6" s="7"/>
      <c r="O6">
        <f t="shared" si="4"/>
        <v>0.15398666666666666</v>
      </c>
      <c r="P6" s="6">
        <f t="shared" si="5"/>
        <v>99.980827897070441</v>
      </c>
      <c r="Q6" s="6">
        <f t="shared" si="0"/>
        <v>2.141459903699825</v>
      </c>
      <c r="R6" s="6">
        <f t="shared" si="1"/>
        <v>0.68900297576388914</v>
      </c>
      <c r="S6" s="5">
        <f t="shared" si="2"/>
        <v>0</v>
      </c>
      <c r="T6" s="6">
        <f t="shared" si="3"/>
        <v>97.150365017606731</v>
      </c>
      <c r="U6" s="1">
        <f t="shared" si="3"/>
        <v>81.196298328961433</v>
      </c>
      <c r="V6" s="1">
        <f t="shared" si="3"/>
        <v>15.954066688645293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0.1</v>
      </c>
      <c r="AH6" s="1">
        <v>0.5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11.082000000000001</v>
      </c>
      <c r="C7" s="8">
        <v>1.2331949999999999E-10</v>
      </c>
      <c r="D7" s="1">
        <v>1.030835E-10</v>
      </c>
      <c r="E7" s="1">
        <v>2.0236000000000001E-11</v>
      </c>
      <c r="F7" s="1">
        <v>2.4450000000000002E-12</v>
      </c>
      <c r="G7" s="1">
        <v>1.0913999999999999E-15</v>
      </c>
      <c r="H7" s="1">
        <v>4.0307000000000002E-13</v>
      </c>
      <c r="I7" s="1">
        <v>1.1762E-12</v>
      </c>
      <c r="J7">
        <v>0</v>
      </c>
      <c r="K7" s="1"/>
      <c r="L7" s="1"/>
      <c r="N7" s="7"/>
      <c r="O7">
        <f t="shared" si="4"/>
        <v>0.1847</v>
      </c>
      <c r="P7" s="6">
        <f t="shared" si="5"/>
        <v>99.988602354047529</v>
      </c>
      <c r="Q7" s="6">
        <f t="shared" si="0"/>
        <v>2.2362467992484869</v>
      </c>
      <c r="R7" s="6">
        <f t="shared" si="1"/>
        <v>0.92438532937489937</v>
      </c>
      <c r="S7" s="5">
        <f t="shared" si="2"/>
        <v>0</v>
      </c>
      <c r="T7" s="6">
        <f t="shared" si="3"/>
        <v>96.827970225424139</v>
      </c>
      <c r="U7" s="1">
        <f t="shared" si="3"/>
        <v>80.939073453367143</v>
      </c>
      <c r="V7" s="1">
        <f t="shared" si="3"/>
        <v>15.888896772057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158</v>
      </c>
      <c r="AH7" s="1" t="s">
        <v>159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12.926</v>
      </c>
      <c r="C8" s="8">
        <v>1.2291760000000001E-10</v>
      </c>
      <c r="D8" s="1">
        <v>1.0275560000000001E-10</v>
      </c>
      <c r="E8" s="1">
        <v>2.0161999999999999E-11</v>
      </c>
      <c r="F8" s="1">
        <v>2.4638000000000001E-12</v>
      </c>
      <c r="G8" s="1">
        <v>1.1085E-15</v>
      </c>
      <c r="H8" s="1">
        <v>4.8816000000000001E-13</v>
      </c>
      <c r="I8" s="1">
        <v>1.4846E-12</v>
      </c>
      <c r="J8" s="4">
        <v>0</v>
      </c>
      <c r="K8" s="1"/>
      <c r="L8" s="1"/>
      <c r="M8" s="4"/>
      <c r="N8" s="7"/>
      <c r="O8">
        <f t="shared" si="4"/>
        <v>0.21543333333333334</v>
      </c>
      <c r="P8" s="6">
        <f t="shared" si="5"/>
        <v>99.996773797890043</v>
      </c>
      <c r="Q8" s="6">
        <f t="shared" si="0"/>
        <v>2.3178191201443656</v>
      </c>
      <c r="R8" s="6">
        <f t="shared" si="1"/>
        <v>1.1665481809580769</v>
      </c>
      <c r="S8" s="5">
        <f t="shared" si="2"/>
        <v>0</v>
      </c>
      <c r="T8" s="6">
        <f t="shared" si="3"/>
        <v>96.512406496787577</v>
      </c>
      <c r="U8" s="1">
        <f t="shared" si="3"/>
        <v>80.681613023857494</v>
      </c>
      <c r="V8" s="1">
        <f t="shared" si="3"/>
        <v>15.830793472930086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1.45</v>
      </c>
      <c r="AH8" s="1">
        <v>0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14.769</v>
      </c>
      <c r="C9" s="8">
        <v>1.2252059999999999E-10</v>
      </c>
      <c r="D9" s="1">
        <v>1.024276E-10</v>
      </c>
      <c r="E9" s="1">
        <v>2.0092999999999998E-11</v>
      </c>
      <c r="F9" s="1">
        <v>2.4718E-12</v>
      </c>
      <c r="G9" s="1">
        <v>1.1145000000000001E-15</v>
      </c>
      <c r="H9" s="1">
        <v>5.7396000000000001E-13</v>
      </c>
      <c r="I9" s="1">
        <v>1.7965000000000001E-12</v>
      </c>
      <c r="J9">
        <v>0</v>
      </c>
      <c r="K9" s="1"/>
      <c r="L9" s="1"/>
      <c r="N9" s="7"/>
      <c r="O9">
        <f t="shared" si="4"/>
        <v>0.24615000000000001</v>
      </c>
      <c r="P9" s="6">
        <f t="shared" si="5"/>
        <v>100.00360957251434</v>
      </c>
      <c r="Q9" s="6">
        <f t="shared" si="0"/>
        <v>2.3914689776863178</v>
      </c>
      <c r="R9" s="6">
        <f t="shared" si="1"/>
        <v>1.411450446059145</v>
      </c>
      <c r="S9" s="5">
        <f t="shared" si="2"/>
        <v>0</v>
      </c>
      <c r="T9" s="6">
        <f t="shared" si="3"/>
        <v>96.200690148768871</v>
      </c>
      <c r="U9" s="1">
        <f t="shared" si="3"/>
        <v>80.424074076376044</v>
      </c>
      <c r="V9" s="1">
        <f t="shared" si="3"/>
        <v>15.776616072392827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6.82</v>
      </c>
      <c r="AH9" s="1">
        <v>0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16.611999999999998</v>
      </c>
      <c r="C10" s="8">
        <v>1.221275E-10</v>
      </c>
      <c r="D10" s="1">
        <v>1.021015E-10</v>
      </c>
      <c r="E10" s="1">
        <v>2.0025999999999999E-11</v>
      </c>
      <c r="F10" s="1">
        <v>2.4733E-12</v>
      </c>
      <c r="G10" s="1">
        <v>1.1142E-15</v>
      </c>
      <c r="H10" s="1">
        <v>6.6011E-13</v>
      </c>
      <c r="I10" s="1">
        <v>2.1094999999999998E-12</v>
      </c>
      <c r="J10">
        <v>0</v>
      </c>
      <c r="K10" s="1"/>
      <c r="L10" s="1"/>
      <c r="N10" s="7"/>
      <c r="O10">
        <f t="shared" si="4"/>
        <v>0.27686666666666665</v>
      </c>
      <c r="P10" s="6">
        <f t="shared" si="5"/>
        <v>100.00953744383079</v>
      </c>
      <c r="Q10" s="6">
        <f t="shared" si="0"/>
        <v>2.4602899799629929</v>
      </c>
      <c r="R10" s="6">
        <f t="shared" si="1"/>
        <v>1.6572114622177141</v>
      </c>
      <c r="S10" s="5">
        <f t="shared" si="2"/>
        <v>0</v>
      </c>
      <c r="T10" s="6">
        <f t="shared" si="3"/>
        <v>95.892036001650098</v>
      </c>
      <c r="U10" s="1">
        <f t="shared" si="3"/>
        <v>80.168026970358653</v>
      </c>
      <c r="V10" s="1">
        <f t="shared" si="3"/>
        <v>15.724009031291434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20.297999999999998</v>
      </c>
      <c r="C11" s="8">
        <v>1.2135109999999999E-10</v>
      </c>
      <c r="D11" s="1">
        <v>1.0145509999999999E-10</v>
      </c>
      <c r="E11" s="1">
        <v>1.9895999999999998E-11</v>
      </c>
      <c r="F11" s="1">
        <v>2.4681999999999999E-12</v>
      </c>
      <c r="G11" s="1">
        <v>1.0985999999999999E-15</v>
      </c>
      <c r="H11" s="1">
        <v>8.3266000000000001E-13</v>
      </c>
      <c r="I11" s="1">
        <v>2.7348E-12</v>
      </c>
      <c r="J11">
        <v>0</v>
      </c>
      <c r="K11" s="1"/>
      <c r="L11" s="1"/>
      <c r="N11" s="7"/>
      <c r="O11">
        <f t="shared" si="4"/>
        <v>0.33829999999999999</v>
      </c>
      <c r="P11" s="6">
        <f t="shared" si="5"/>
        <v>100.02236288341535</v>
      </c>
      <c r="Q11" s="6">
        <f t="shared" si="0"/>
        <v>2.591768323730582</v>
      </c>
      <c r="R11" s="6">
        <f t="shared" si="1"/>
        <v>2.1481720910365318</v>
      </c>
      <c r="S11" s="5">
        <f t="shared" si="2"/>
        <v>0</v>
      </c>
      <c r="T11" s="6">
        <f t="shared" si="3"/>
        <v>95.282422468648249</v>
      </c>
      <c r="U11" s="1">
        <f t="shared" si="3"/>
        <v>79.660486800687877</v>
      </c>
      <c r="V11" s="1">
        <f t="shared" si="3"/>
        <v>15.621935667960368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27.670999999999999</v>
      </c>
      <c r="C12" s="8">
        <v>1.198336E-10</v>
      </c>
      <c r="D12" s="1">
        <v>1.0018660000000001E-10</v>
      </c>
      <c r="E12" s="1">
        <v>1.9647000000000001E-11</v>
      </c>
      <c r="F12" s="1">
        <v>2.4406999999999999E-12</v>
      </c>
      <c r="G12" s="1">
        <v>1.0864000000000001E-15</v>
      </c>
      <c r="H12" s="1">
        <v>1.1762999999999999E-12</v>
      </c>
      <c r="I12" s="1">
        <v>3.9754000000000002E-12</v>
      </c>
      <c r="J12">
        <v>0</v>
      </c>
      <c r="K12" s="1"/>
      <c r="L12" s="1"/>
      <c r="N12" s="7"/>
      <c r="O12">
        <f t="shared" si="4"/>
        <v>0.46118333333333333</v>
      </c>
      <c r="P12" s="6">
        <f t="shared" si="5"/>
        <v>100.05316375635442</v>
      </c>
      <c r="Q12" s="6">
        <f t="shared" si="0"/>
        <v>2.8399950397573712</v>
      </c>
      <c r="R12" s="6">
        <f t="shared" si="1"/>
        <v>3.1222564699094963</v>
      </c>
      <c r="S12" s="5">
        <f t="shared" si="2"/>
        <v>0</v>
      </c>
      <c r="T12" s="6">
        <f t="shared" si="3"/>
        <v>94.090912246687566</v>
      </c>
      <c r="U12" s="1">
        <f t="shared" si="3"/>
        <v>78.664486328492089</v>
      </c>
      <c r="V12" s="1">
        <f t="shared" si="3"/>
        <v>15.426425918195488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35.043999999999997</v>
      </c>
      <c r="C13" s="8">
        <v>1.1833679999999999E-10</v>
      </c>
      <c r="D13" s="1">
        <v>9.8935800000000002E-11</v>
      </c>
      <c r="E13" s="1">
        <v>1.9401000000000001E-11</v>
      </c>
      <c r="F13" s="1">
        <v>2.4115E-12</v>
      </c>
      <c r="G13" s="1">
        <v>1.0841999999999999E-15</v>
      </c>
      <c r="H13" s="1">
        <v>1.5164000000000001E-12</v>
      </c>
      <c r="I13" s="1">
        <v>5.2003E-12</v>
      </c>
      <c r="J13">
        <v>0</v>
      </c>
      <c r="K13" s="1"/>
      <c r="L13" s="1"/>
      <c r="N13" s="7"/>
      <c r="O13">
        <f t="shared" si="4"/>
        <v>0.58406666666666662</v>
      </c>
      <c r="P13" s="6">
        <f t="shared" si="5"/>
        <v>100.08378403795837</v>
      </c>
      <c r="Q13" s="6">
        <f t="shared" si="0"/>
        <v>3.0841074140622005</v>
      </c>
      <c r="R13" s="6">
        <f t="shared" si="1"/>
        <v>4.0840213790081181</v>
      </c>
      <c r="S13" s="5">
        <f t="shared" si="2"/>
        <v>0</v>
      </c>
      <c r="T13" s="6">
        <f t="shared" si="3"/>
        <v>92.915655244888057</v>
      </c>
      <c r="U13" s="1">
        <f t="shared" si="3"/>
        <v>77.682383537303664</v>
      </c>
      <c r="V13" s="1">
        <f t="shared" si="3"/>
        <v>15.233271707584398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49.79</v>
      </c>
      <c r="C14" s="8">
        <v>1.154182E-10</v>
      </c>
      <c r="D14" s="1">
        <v>9.6495199999999998E-11</v>
      </c>
      <c r="E14" s="1">
        <v>1.8923000000000001E-11</v>
      </c>
      <c r="F14" s="1">
        <v>2.3527999999999998E-12</v>
      </c>
      <c r="G14" s="1">
        <v>1.0581E-15</v>
      </c>
      <c r="H14" s="1">
        <v>2.1851E-12</v>
      </c>
      <c r="I14" s="1">
        <v>7.6051999999999999E-12</v>
      </c>
      <c r="J14">
        <v>0</v>
      </c>
      <c r="K14" s="1"/>
      <c r="L14" s="1"/>
      <c r="N14" s="7"/>
      <c r="O14">
        <f t="shared" si="4"/>
        <v>0.82983333333333331</v>
      </c>
      <c r="P14" s="6">
        <f t="shared" si="5"/>
        <v>100.15937635160451</v>
      </c>
      <c r="Q14" s="6">
        <f t="shared" si="0"/>
        <v>3.5630670420002697</v>
      </c>
      <c r="R14" s="6">
        <f t="shared" si="1"/>
        <v>5.9722795894703706</v>
      </c>
      <c r="S14" s="5">
        <f t="shared" si="2"/>
        <v>0</v>
      </c>
      <c r="T14" s="6">
        <f t="shared" si="3"/>
        <v>90.624029720133876</v>
      </c>
      <c r="U14" s="1">
        <f t="shared" si="3"/>
        <v>75.766073917720618</v>
      </c>
      <c r="V14" s="1">
        <f t="shared" si="3"/>
        <v>14.857955802413253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79.281000000000006</v>
      </c>
      <c r="C15" s="8">
        <v>1.098587E-10</v>
      </c>
      <c r="D15" s="1">
        <v>9.1847700000000002E-11</v>
      </c>
      <c r="E15" s="1">
        <v>1.8011E-11</v>
      </c>
      <c r="F15" s="1">
        <v>2.2397999999999998E-12</v>
      </c>
      <c r="G15" s="1">
        <v>1.0087E-15</v>
      </c>
      <c r="H15" s="1">
        <v>3.4752999999999999E-12</v>
      </c>
      <c r="I15" s="1">
        <v>1.2241E-11</v>
      </c>
      <c r="J15">
        <v>0</v>
      </c>
      <c r="K15" s="1"/>
      <c r="L15" s="1"/>
      <c r="N15" s="7"/>
      <c r="O15">
        <f t="shared" si="4"/>
        <v>1.32135</v>
      </c>
      <c r="P15" s="6">
        <f t="shared" si="5"/>
        <v>100.35838062222201</v>
      </c>
      <c r="Q15" s="6">
        <f t="shared" si="0"/>
        <v>4.4873806059489496</v>
      </c>
      <c r="R15" s="6">
        <f t="shared" si="1"/>
        <v>9.6121769379780453</v>
      </c>
      <c r="S15" s="5">
        <f t="shared" si="2"/>
        <v>0</v>
      </c>
      <c r="T15" s="6">
        <f t="shared" si="3"/>
        <v>86.258823078295038</v>
      </c>
      <c r="U15" s="1">
        <f t="shared" si="3"/>
        <v>72.116951178635091</v>
      </c>
      <c r="V15" s="1">
        <f t="shared" si="3"/>
        <v>14.141871899659945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108.77</v>
      </c>
      <c r="C16" s="8">
        <v>1.045661E-10</v>
      </c>
      <c r="D16" s="1">
        <v>8.74231E-11</v>
      </c>
      <c r="E16" s="1">
        <v>1.7143000000000002E-11</v>
      </c>
      <c r="F16" s="1">
        <v>2.1319999999999998E-12</v>
      </c>
      <c r="G16" s="1">
        <v>9.5954999999999998E-16</v>
      </c>
      <c r="H16" s="1">
        <v>4.7038000000000002E-12</v>
      </c>
      <c r="I16" s="1">
        <v>1.6652999999999999E-11</v>
      </c>
      <c r="J16">
        <v>0</v>
      </c>
      <c r="K16" s="1"/>
      <c r="L16" s="1"/>
      <c r="N16" s="7"/>
      <c r="O16">
        <f t="shared" si="4"/>
        <v>1.8128333333333333</v>
      </c>
      <c r="P16" s="6">
        <f t="shared" si="5"/>
        <v>100.54686368091419</v>
      </c>
      <c r="Q16" s="6">
        <f t="shared" si="0"/>
        <v>5.3673315158345138</v>
      </c>
      <c r="R16" s="6">
        <f t="shared" si="1"/>
        <v>13.076351261907632</v>
      </c>
      <c r="S16" s="5">
        <f t="shared" si="2"/>
        <v>0</v>
      </c>
      <c r="T16" s="6">
        <f t="shared" si="3"/>
        <v>82.103180903172046</v>
      </c>
      <c r="U16" s="1">
        <f t="shared" si="3"/>
        <v>68.642844998676438</v>
      </c>
      <c r="V16" s="1">
        <f t="shared" si="3"/>
        <v>13.46033590449561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167.75</v>
      </c>
      <c r="C17" s="8">
        <v>9.4950800000000002E-11</v>
      </c>
      <c r="D17" s="1">
        <v>7.9383799999999998E-11</v>
      </c>
      <c r="E17" s="1">
        <v>1.5567000000000001E-11</v>
      </c>
      <c r="F17" s="1">
        <v>1.9358999999999999E-12</v>
      </c>
      <c r="G17" s="1">
        <v>8.7036000000000001E-16</v>
      </c>
      <c r="H17" s="1">
        <v>6.9903999999999998E-12</v>
      </c>
      <c r="I17" s="1">
        <v>2.4865E-11</v>
      </c>
      <c r="J17">
        <v>0</v>
      </c>
      <c r="K17" s="1"/>
      <c r="L17" s="1"/>
      <c r="N17" s="7"/>
      <c r="O17">
        <f t="shared" si="4"/>
        <v>2.7958333333333334</v>
      </c>
      <c r="P17" s="6">
        <f t="shared" si="5"/>
        <v>101.0863691528975</v>
      </c>
      <c r="Q17" s="6">
        <f t="shared" si="0"/>
        <v>7.0087497161698149</v>
      </c>
      <c r="R17" s="6">
        <f t="shared" si="1"/>
        <v>19.524177075380106</v>
      </c>
      <c r="S17" s="5">
        <f t="shared" si="2"/>
        <v>0</v>
      </c>
      <c r="T17" s="6">
        <f t="shared" si="3"/>
        <v>74.553442361347592</v>
      </c>
      <c r="U17" s="1">
        <f t="shared" si="3"/>
        <v>62.330549692311642</v>
      </c>
      <c r="V17" s="1">
        <f t="shared" si="3"/>
        <v>12.222892669035943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220.84</v>
      </c>
      <c r="C18" s="8">
        <v>8.7020799999999997E-11</v>
      </c>
      <c r="D18" s="1">
        <v>7.2753800000000004E-11</v>
      </c>
      <c r="E18" s="1">
        <v>1.4267E-11</v>
      </c>
      <c r="F18" s="1">
        <v>1.7742000000000001E-12</v>
      </c>
      <c r="G18" s="1">
        <v>7.9824000000000003E-16</v>
      </c>
      <c r="H18" s="1">
        <v>8.8675000000000003E-12</v>
      </c>
      <c r="I18" s="1">
        <v>3.1604999999999997E-11</v>
      </c>
      <c r="J18">
        <v>0</v>
      </c>
      <c r="K18" s="1"/>
      <c r="L18" s="1"/>
      <c r="N18" s="7"/>
      <c r="O18">
        <f t="shared" si="4"/>
        <v>3.6806666666666668</v>
      </c>
      <c r="P18" s="6">
        <f t="shared" si="5"/>
        <v>101.49884594953733</v>
      </c>
      <c r="Q18" s="6">
        <f t="shared" si="0"/>
        <v>8.3556470043091018</v>
      </c>
      <c r="R18" s="6">
        <f t="shared" si="1"/>
        <v>24.816231747075545</v>
      </c>
      <c r="S18" s="5">
        <f t="shared" si="2"/>
        <v>0</v>
      </c>
      <c r="T18" s="6">
        <f t="shared" ref="T18:V42" si="6">C18/$A$1*100</f>
        <v>68.326967198152687</v>
      </c>
      <c r="U18" s="1">
        <f t="shared" si="6"/>
        <v>57.124808162427385</v>
      </c>
      <c r="V18" s="1">
        <f t="shared" si="6"/>
        <v>11.202159035725302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273.92</v>
      </c>
      <c r="C19" s="8">
        <v>7.9752799999999997E-11</v>
      </c>
      <c r="D19" s="1">
        <v>6.6677799999999993E-11</v>
      </c>
      <c r="E19" s="1">
        <v>1.3075000000000001E-11</v>
      </c>
      <c r="F19" s="1">
        <v>1.6259999999999999E-12</v>
      </c>
      <c r="G19" s="1">
        <v>7.3193000000000004E-16</v>
      </c>
      <c r="H19" s="1">
        <v>1.0588E-11</v>
      </c>
      <c r="I19" s="1">
        <v>3.7782999999999998E-11</v>
      </c>
      <c r="J19">
        <v>0</v>
      </c>
      <c r="K19" s="1"/>
      <c r="L19" s="1"/>
      <c r="N19" s="7"/>
      <c r="O19">
        <f t="shared" si="4"/>
        <v>4.5653333333333332</v>
      </c>
      <c r="P19" s="6">
        <f t="shared" si="5"/>
        <v>101.87748606222848</v>
      </c>
      <c r="Q19" s="6">
        <f t="shared" si="0"/>
        <v>9.5901850748124229</v>
      </c>
      <c r="R19" s="6">
        <f t="shared" si="1"/>
        <v>29.667019979187781</v>
      </c>
      <c r="S19" s="5">
        <f t="shared" si="2"/>
        <v>0</v>
      </c>
      <c r="T19" s="6">
        <f t="shared" si="6"/>
        <v>62.620281008228275</v>
      </c>
      <c r="U19" s="1">
        <f t="shared" si="6"/>
        <v>52.354056196277035</v>
      </c>
      <c r="V19" s="1">
        <f t="shared" si="6"/>
        <v>10.26622481195124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327.01</v>
      </c>
      <c r="C20" s="8">
        <v>7.3091300000000004E-11</v>
      </c>
      <c r="D20" s="1">
        <v>6.1108299999999997E-11</v>
      </c>
      <c r="E20" s="1">
        <v>1.1983E-11</v>
      </c>
      <c r="F20" s="1">
        <v>1.4902000000000001E-12</v>
      </c>
      <c r="G20" s="1">
        <v>6.7107999999999995E-16</v>
      </c>
      <c r="H20" s="1">
        <v>1.2164E-11</v>
      </c>
      <c r="I20" s="1">
        <v>4.3444999999999998E-11</v>
      </c>
      <c r="J20">
        <v>0</v>
      </c>
      <c r="K20" s="1"/>
      <c r="L20" s="1"/>
      <c r="N20" s="7"/>
      <c r="O20">
        <f t="shared" si="4"/>
        <v>5.4501666666666662</v>
      </c>
      <c r="P20" s="6">
        <f t="shared" si="5"/>
        <v>102.22346698573497</v>
      </c>
      <c r="Q20" s="6">
        <f t="shared" si="0"/>
        <v>10.721000904577025</v>
      </c>
      <c r="R20" s="6">
        <f t="shared" si="1"/>
        <v>34.112659763928747</v>
      </c>
      <c r="S20" s="5">
        <f t="shared" si="2"/>
        <v>0</v>
      </c>
      <c r="T20" s="6">
        <f t="shared" si="6"/>
        <v>57.389806317229187</v>
      </c>
      <c r="U20" s="1">
        <f t="shared" si="6"/>
        <v>47.980997757258883</v>
      </c>
      <c r="V20" s="1">
        <f t="shared" si="6"/>
        <v>9.4088085599703017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433.18</v>
      </c>
      <c r="C21" s="8">
        <v>6.1044999999999994E-11</v>
      </c>
      <c r="D21" s="1">
        <v>5.1036999999999999E-11</v>
      </c>
      <c r="E21" s="1">
        <v>1.0008E-11</v>
      </c>
      <c r="F21" s="1">
        <v>1.2446E-12</v>
      </c>
      <c r="G21" s="1">
        <v>5.5245000000000003E-16</v>
      </c>
      <c r="H21" s="1">
        <v>1.4932000000000001E-11</v>
      </c>
      <c r="I21" s="1">
        <v>5.3380000000000001E-11</v>
      </c>
      <c r="J21">
        <v>0</v>
      </c>
      <c r="K21" s="1"/>
      <c r="L21" s="1"/>
      <c r="N21" s="7"/>
      <c r="O21">
        <f t="shared" si="4"/>
        <v>7.2196666666666669</v>
      </c>
      <c r="P21" s="6">
        <f t="shared" si="5"/>
        <v>102.54616122190656</v>
      </c>
      <c r="Q21" s="6">
        <f t="shared" si="0"/>
        <v>12.701538225086839</v>
      </c>
      <c r="R21" s="6">
        <f t="shared" si="1"/>
        <v>41.91332711570589</v>
      </c>
      <c r="S21" s="5">
        <f t="shared" si="2"/>
        <v>0</v>
      </c>
      <c r="T21" s="6">
        <f t="shared" si="6"/>
        <v>47.931295881113826</v>
      </c>
      <c r="U21" s="1">
        <f t="shared" si="6"/>
        <v>40.073217264057767</v>
      </c>
      <c r="V21" s="1">
        <f t="shared" si="6"/>
        <v>7.8580786170560604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539.34</v>
      </c>
      <c r="C22" s="8">
        <v>5.0853600000000001E-11</v>
      </c>
      <c r="D22" s="1">
        <v>4.2516200000000003E-11</v>
      </c>
      <c r="E22" s="1">
        <v>8.3374000000000004E-12</v>
      </c>
      <c r="F22" s="1">
        <v>1.0368E-12</v>
      </c>
      <c r="G22" s="1">
        <v>4.5553000000000003E-16</v>
      </c>
      <c r="H22" s="1">
        <v>1.724E-11</v>
      </c>
      <c r="I22" s="1">
        <v>6.1664000000000005E-11</v>
      </c>
      <c r="J22">
        <v>0</v>
      </c>
      <c r="K22" s="1"/>
      <c r="L22" s="1"/>
      <c r="N22" s="7"/>
      <c r="O22">
        <f t="shared" si="4"/>
        <v>8.9890000000000008</v>
      </c>
      <c r="P22" s="6">
        <f t="shared" si="5"/>
        <v>102.69746777190545</v>
      </c>
      <c r="Q22" s="6">
        <f t="shared" si="0"/>
        <v>14.350572668686073</v>
      </c>
      <c r="R22" s="6">
        <f t="shared" si="1"/>
        <v>48.417679799430196</v>
      </c>
      <c r="S22" s="5">
        <f t="shared" si="2"/>
        <v>0</v>
      </c>
      <c r="T22" s="6">
        <f t="shared" si="6"/>
        <v>39.929215303789178</v>
      </c>
      <c r="U22" s="1">
        <f t="shared" si="6"/>
        <v>33.382857923509086</v>
      </c>
      <c r="V22" s="1">
        <f t="shared" si="6"/>
        <v>6.5463573802800958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168</v>
      </c>
      <c r="AH22" s="1" t="s">
        <v>169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645.51</v>
      </c>
      <c r="C23" s="8">
        <v>4.2321799999999994E-11</v>
      </c>
      <c r="D23" s="1">
        <v>3.5383199999999997E-11</v>
      </c>
      <c r="E23" s="1">
        <v>6.9386000000000003E-12</v>
      </c>
      <c r="F23" s="1">
        <v>8.6288999999999997E-13</v>
      </c>
      <c r="G23" s="1">
        <v>3.8258E-16</v>
      </c>
      <c r="H23" s="1">
        <v>1.9163000000000001E-11</v>
      </c>
      <c r="I23" s="1">
        <v>6.8561000000000002E-11</v>
      </c>
      <c r="J23">
        <v>0</v>
      </c>
      <c r="K23" s="1"/>
      <c r="L23" s="1"/>
      <c r="N23" s="7"/>
      <c r="O23">
        <f t="shared" si="4"/>
        <v>10.7585</v>
      </c>
      <c r="P23" s="6">
        <f t="shared" si="5"/>
        <v>102.78714868300737</v>
      </c>
      <c r="Q23" s="6">
        <f t="shared" si="0"/>
        <v>15.723922661522463</v>
      </c>
      <c r="R23" s="6">
        <f t="shared" si="1"/>
        <v>53.833007035141677</v>
      </c>
      <c r="S23" s="5">
        <f t="shared" si="2"/>
        <v>0</v>
      </c>
      <c r="T23" s="6">
        <f t="shared" si="6"/>
        <v>33.230218986343239</v>
      </c>
      <c r="U23" s="1">
        <f t="shared" si="6"/>
        <v>27.782170995505396</v>
      </c>
      <c r="V23" s="1">
        <f t="shared" si="6"/>
        <v>5.4480479908378481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166</v>
      </c>
      <c r="AH23" s="1" t="s">
        <v>169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751.68</v>
      </c>
      <c r="C24" s="8">
        <v>3.5207299999999999E-11</v>
      </c>
      <c r="D24" s="1">
        <v>2.9435199999999999E-11</v>
      </c>
      <c r="E24" s="1">
        <v>5.7720999999999996E-12</v>
      </c>
      <c r="F24" s="1">
        <v>7.1781999999999996E-13</v>
      </c>
      <c r="G24" s="1">
        <v>3.1962999999999998E-16</v>
      </c>
      <c r="H24" s="1">
        <v>2.0761999999999999E-11</v>
      </c>
      <c r="I24" s="1">
        <v>7.4301E-11</v>
      </c>
      <c r="J24">
        <v>0</v>
      </c>
      <c r="K24" s="1"/>
      <c r="L24" s="1"/>
      <c r="N24" s="7"/>
      <c r="O24">
        <f t="shared" si="4"/>
        <v>12.527999999999999</v>
      </c>
      <c r="P24" s="6">
        <f t="shared" si="5"/>
        <v>102.84946608093944</v>
      </c>
      <c r="Q24" s="6">
        <f t="shared" si="0"/>
        <v>16.86551900881426</v>
      </c>
      <c r="R24" s="6">
        <f t="shared" si="1"/>
        <v>58.33988918900387</v>
      </c>
      <c r="S24" s="5">
        <f t="shared" si="2"/>
        <v>0</v>
      </c>
      <c r="T24" s="6">
        <f t="shared" si="6"/>
        <v>27.644057883121288</v>
      </c>
      <c r="U24" s="1">
        <f t="shared" si="6"/>
        <v>23.111922033250256</v>
      </c>
      <c r="V24" s="1">
        <f t="shared" si="6"/>
        <v>4.5321358498710316</v>
      </c>
      <c r="X24" s="5"/>
      <c r="Y24" s="5"/>
      <c r="Z24" s="5"/>
      <c r="AA24" s="5"/>
      <c r="AB24" s="5"/>
      <c r="AC24" s="1"/>
      <c r="AD24" s="5"/>
      <c r="AE24" s="5"/>
      <c r="AF24" s="36"/>
      <c r="AG24" s="36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857.85</v>
      </c>
      <c r="C25" s="8">
        <v>2.9283399999999999E-11</v>
      </c>
      <c r="D25" s="1">
        <v>2.4482500000000001E-11</v>
      </c>
      <c r="E25" s="1">
        <v>4.8008999999999999E-12</v>
      </c>
      <c r="F25" s="1">
        <v>5.9704000000000005E-13</v>
      </c>
      <c r="G25" s="1">
        <v>2.6380000000000002E-16</v>
      </c>
      <c r="H25" s="1">
        <v>2.2091999999999999E-11</v>
      </c>
      <c r="I25" s="1">
        <v>7.9077E-11</v>
      </c>
      <c r="J25">
        <v>0</v>
      </c>
      <c r="K25" s="1"/>
      <c r="L25" s="1"/>
      <c r="N25" s="7"/>
      <c r="O25">
        <f t="shared" si="4"/>
        <v>14.297500000000001</v>
      </c>
      <c r="P25" s="6">
        <f t="shared" si="5"/>
        <v>102.89756946465931</v>
      </c>
      <c r="Q25" s="6">
        <f t="shared" si="0"/>
        <v>17.814974027331097</v>
      </c>
      <c r="R25" s="6">
        <f t="shared" si="1"/>
        <v>62.089863685259928</v>
      </c>
      <c r="S25" s="5">
        <f t="shared" si="2"/>
        <v>0</v>
      </c>
      <c r="T25" s="6">
        <f t="shared" si="6"/>
        <v>22.992731752068291</v>
      </c>
      <c r="U25" s="1">
        <f t="shared" si="6"/>
        <v>19.2231624442521</v>
      </c>
      <c r="V25" s="1">
        <f t="shared" si="6"/>
        <v>3.7695693078161909</v>
      </c>
      <c r="X25" s="5"/>
      <c r="Y25" s="5"/>
      <c r="Z25" s="5"/>
      <c r="AA25" s="5"/>
      <c r="AB25" s="5"/>
      <c r="AC25" s="1"/>
      <c r="AD25" s="5"/>
      <c r="AE25" s="5"/>
      <c r="AF25" s="37"/>
      <c r="AG25" s="37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964.02</v>
      </c>
      <c r="C26" s="8">
        <v>2.4354299999999999E-11</v>
      </c>
      <c r="D26" s="1">
        <v>2.0361499999999998E-11</v>
      </c>
      <c r="E26" s="1">
        <v>3.9927999999999997E-12</v>
      </c>
      <c r="F26" s="1">
        <v>4.9655000000000004E-13</v>
      </c>
      <c r="G26" s="1">
        <v>2.1851E-16</v>
      </c>
      <c r="H26" s="1">
        <v>2.3198999999999999E-11</v>
      </c>
      <c r="I26" s="1">
        <v>8.3047999999999996E-11</v>
      </c>
      <c r="J26">
        <v>0</v>
      </c>
      <c r="K26" s="1"/>
      <c r="L26" s="1"/>
      <c r="N26" s="7"/>
      <c r="O26">
        <f t="shared" si="4"/>
        <v>16.067</v>
      </c>
      <c r="P26" s="6">
        <f t="shared" si="5"/>
        <v>102.93554445401494</v>
      </c>
      <c r="Q26" s="6">
        <f t="shared" si="0"/>
        <v>18.605265265226091</v>
      </c>
      <c r="R26" s="6">
        <f t="shared" si="1"/>
        <v>65.20777678437554</v>
      </c>
      <c r="S26" s="5">
        <f t="shared" si="2"/>
        <v>0</v>
      </c>
      <c r="T26" s="6">
        <f t="shared" si="6"/>
        <v>19.122502404413311</v>
      </c>
      <c r="U26" s="1">
        <f t="shared" si="6"/>
        <v>15.987436826657373</v>
      </c>
      <c r="V26" s="1">
        <f t="shared" si="6"/>
        <v>3.1350655777559391</v>
      </c>
      <c r="X26" s="5"/>
      <c r="Y26" s="5"/>
      <c r="Z26" s="5"/>
      <c r="AA26" s="5"/>
      <c r="AB26" s="5"/>
      <c r="AC26" s="1"/>
      <c r="AD26" s="5"/>
      <c r="AE26" s="5"/>
      <c r="AF26" s="36"/>
      <c r="AG26" s="36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1070.2</v>
      </c>
      <c r="C27" s="8">
        <v>2.0254900000000002E-11</v>
      </c>
      <c r="D27" s="1">
        <v>1.6934200000000001E-11</v>
      </c>
      <c r="E27" s="1">
        <v>3.3207000000000002E-12</v>
      </c>
      <c r="F27" s="1">
        <v>4.1295999999999999E-13</v>
      </c>
      <c r="G27" s="1">
        <v>1.8196E-16</v>
      </c>
      <c r="H27" s="1">
        <v>2.4119000000000001E-11</v>
      </c>
      <c r="I27" s="1">
        <v>8.6348999999999996E-11</v>
      </c>
      <c r="J27">
        <v>0</v>
      </c>
      <c r="K27" s="1"/>
      <c r="L27" s="1"/>
      <c r="N27" s="7"/>
      <c r="O27">
        <f t="shared" si="4"/>
        <v>17.836666666666666</v>
      </c>
      <c r="P27" s="6">
        <f t="shared" si="5"/>
        <v>102.96536043677482</v>
      </c>
      <c r="Q27" s="6">
        <f t="shared" si="0"/>
        <v>19.26199743310098</v>
      </c>
      <c r="R27" s="6">
        <f t="shared" si="1"/>
        <v>67.799626334947931</v>
      </c>
      <c r="S27" s="5">
        <f t="shared" si="2"/>
        <v>0</v>
      </c>
      <c r="T27" s="6">
        <f t="shared" si="6"/>
        <v>15.903736668725902</v>
      </c>
      <c r="U27" s="1">
        <f t="shared" si="6"/>
        <v>13.296390379391562</v>
      </c>
      <c r="V27" s="1">
        <f t="shared" si="6"/>
        <v>2.6073462893343389</v>
      </c>
      <c r="X27" s="5"/>
      <c r="Y27" s="5"/>
      <c r="Z27" s="5"/>
      <c r="AA27" s="5"/>
      <c r="AB27" s="5"/>
      <c r="AC27" s="1"/>
      <c r="AD27" s="5"/>
      <c r="AE27" s="5"/>
      <c r="AF27" s="36"/>
      <c r="AG27" s="36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1176.4000000000001</v>
      </c>
      <c r="C28" s="8">
        <v>1.68445E-11</v>
      </c>
      <c r="D28" s="1">
        <v>1.4082799999999999E-11</v>
      </c>
      <c r="E28" s="1">
        <v>2.7616999999999998E-12</v>
      </c>
      <c r="F28" s="1">
        <v>3.4344E-13</v>
      </c>
      <c r="G28" s="1">
        <v>1.5176E-16</v>
      </c>
      <c r="H28" s="1">
        <v>2.4885E-11</v>
      </c>
      <c r="I28" s="1">
        <v>8.9095999999999999E-11</v>
      </c>
      <c r="J28">
        <v>0</v>
      </c>
      <c r="K28" s="1"/>
      <c r="L28" s="1"/>
      <c r="N28" s="7"/>
      <c r="O28">
        <f t="shared" si="4"/>
        <v>19.606666666666669</v>
      </c>
      <c r="P28" s="6">
        <f t="shared" si="5"/>
        <v>102.9913104694165</v>
      </c>
      <c r="Q28" s="6">
        <f t="shared" si="0"/>
        <v>19.808859403045744</v>
      </c>
      <c r="R28" s="6">
        <f t="shared" si="1"/>
        <v>69.956491307677638</v>
      </c>
      <c r="S28" s="5">
        <f t="shared" si="2"/>
        <v>0</v>
      </c>
      <c r="T28" s="6">
        <f t="shared" si="6"/>
        <v>13.225959758693129</v>
      </c>
      <c r="U28" s="1">
        <f t="shared" si="6"/>
        <v>11.057528931682363</v>
      </c>
      <c r="V28" s="1">
        <f t="shared" si="6"/>
        <v>2.1684308270107637</v>
      </c>
      <c r="X28" s="5"/>
      <c r="Y28" s="5"/>
      <c r="Z28" s="5"/>
      <c r="AA28" s="5"/>
      <c r="AB28" s="5"/>
      <c r="AC28" s="1"/>
      <c r="AD28" s="5"/>
      <c r="AE28" s="5"/>
      <c r="AF28" s="37"/>
      <c r="AG28" s="37"/>
      <c r="AH28" s="37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1282.5</v>
      </c>
      <c r="C29" s="8">
        <v>1.4009379999999999E-11</v>
      </c>
      <c r="D29" s="1">
        <v>1.171268E-11</v>
      </c>
      <c r="E29" s="1">
        <v>2.2967000000000001E-12</v>
      </c>
      <c r="F29" s="1">
        <v>2.8562E-13</v>
      </c>
      <c r="G29" s="1">
        <v>1.2606E-16</v>
      </c>
      <c r="H29" s="1">
        <v>2.5520999999999998E-11</v>
      </c>
      <c r="I29" s="1">
        <v>9.1379999999999999E-11</v>
      </c>
      <c r="J29">
        <v>0</v>
      </c>
      <c r="K29" s="1"/>
      <c r="L29" s="1"/>
      <c r="N29" s="7"/>
      <c r="O29">
        <f t="shared" si="4"/>
        <v>21.375</v>
      </c>
      <c r="P29" s="6">
        <f t="shared" si="5"/>
        <v>103.01253725346496</v>
      </c>
      <c r="Q29" s="6">
        <f t="shared" si="0"/>
        <v>20.262834612359239</v>
      </c>
      <c r="R29" s="6">
        <f t="shared" si="1"/>
        <v>71.749821604313894</v>
      </c>
      <c r="S29" s="5">
        <f t="shared" si="2"/>
        <v>0</v>
      </c>
      <c r="T29" s="6">
        <f t="shared" si="6"/>
        <v>10.99988103679185</v>
      </c>
      <c r="U29" s="1">
        <f t="shared" si="6"/>
        <v>9.1965587786191243</v>
      </c>
      <c r="V29" s="1">
        <f t="shared" si="6"/>
        <v>1.8033222581727275</v>
      </c>
      <c r="X29" s="5"/>
      <c r="Y29" s="5"/>
      <c r="Z29" s="5"/>
      <c r="AA29" s="5"/>
      <c r="AB29" s="5"/>
      <c r="AC29" s="1"/>
      <c r="AD29" s="5"/>
      <c r="AE29" s="5"/>
      <c r="AF29" s="37"/>
      <c r="AG29" s="37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1388.7</v>
      </c>
      <c r="C30" s="8">
        <v>1.1650529999999999E-11</v>
      </c>
      <c r="D30" s="1">
        <v>9.7404299999999995E-12</v>
      </c>
      <c r="E30" s="1">
        <v>1.9101000000000001E-12</v>
      </c>
      <c r="F30" s="1">
        <v>2.3754000000000002E-13</v>
      </c>
      <c r="G30" s="1">
        <v>1.0452E-16</v>
      </c>
      <c r="H30" s="1">
        <v>2.6050999999999999E-11</v>
      </c>
      <c r="I30" s="1">
        <v>9.3279000000000004E-11</v>
      </c>
      <c r="J30">
        <v>0</v>
      </c>
      <c r="K30" s="1"/>
      <c r="L30" s="1"/>
      <c r="N30" s="7"/>
      <c r="O30">
        <f t="shared" si="4"/>
        <v>23.145</v>
      </c>
      <c r="P30" s="6">
        <f t="shared" si="5"/>
        <v>103.02984925706858</v>
      </c>
      <c r="Q30" s="6">
        <f t="shared" si="0"/>
        <v>20.641228422024675</v>
      </c>
      <c r="R30" s="6">
        <f t="shared" si="1"/>
        <v>73.240860975894222</v>
      </c>
      <c r="S30" s="5">
        <f t="shared" si="2"/>
        <v>0</v>
      </c>
      <c r="T30" s="6">
        <f t="shared" si="6"/>
        <v>9.1477598591496943</v>
      </c>
      <c r="U30" s="1">
        <f t="shared" si="6"/>
        <v>7.6479880799291928</v>
      </c>
      <c r="V30" s="1">
        <f t="shared" si="6"/>
        <v>1.4997717792205019</v>
      </c>
      <c r="X30" s="5"/>
      <c r="Y30" s="5"/>
      <c r="Z30" s="5"/>
      <c r="AA30" s="5"/>
      <c r="AB30" s="5"/>
      <c r="AC30" s="1"/>
      <c r="AD30" s="5"/>
      <c r="AE30" s="5"/>
      <c r="AF30" s="37"/>
      <c r="AG30" s="37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1494.9</v>
      </c>
      <c r="C31" s="8">
        <v>9.6890599999999995E-12</v>
      </c>
      <c r="D31" s="1">
        <v>8.10056E-12</v>
      </c>
      <c r="E31" s="1">
        <v>1.5884999999999999E-12</v>
      </c>
      <c r="F31" s="1">
        <v>1.9755E-13</v>
      </c>
      <c r="G31" s="1">
        <v>8.6890999999999998E-17</v>
      </c>
      <c r="H31" s="1">
        <v>2.6490999999999999E-11</v>
      </c>
      <c r="I31" s="1">
        <v>9.4859E-11</v>
      </c>
      <c r="J31">
        <v>0</v>
      </c>
      <c r="K31" s="1"/>
      <c r="L31" s="1"/>
      <c r="N31" s="7"/>
      <c r="O31">
        <f t="shared" si="4"/>
        <v>24.915000000000003</v>
      </c>
      <c r="P31" s="6">
        <f t="shared" si="5"/>
        <v>103.04439264710578</v>
      </c>
      <c r="Q31" s="6">
        <f t="shared" si="0"/>
        <v>20.95530816099436</v>
      </c>
      <c r="R31" s="6">
        <f t="shared" si="1"/>
        <v>74.481431088292368</v>
      </c>
      <c r="S31" s="5">
        <f t="shared" si="2"/>
        <v>0</v>
      </c>
      <c r="T31" s="6">
        <f t="shared" si="6"/>
        <v>7.6076533978190639</v>
      </c>
      <c r="U31" s="1">
        <f t="shared" si="6"/>
        <v>6.3603954158852556</v>
      </c>
      <c r="V31" s="1">
        <f t="shared" si="6"/>
        <v>1.2472579819338083</v>
      </c>
      <c r="X31" s="5"/>
      <c r="Y31" s="5"/>
      <c r="Z31" s="5"/>
      <c r="AA31" s="5"/>
      <c r="AB31" s="5"/>
      <c r="AC31" s="1"/>
      <c r="AD31" s="5"/>
      <c r="AE31" s="5"/>
      <c r="AF31" s="36"/>
      <c r="AG31" s="36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1601</v>
      </c>
      <c r="C32" s="8">
        <v>8.0579399999999991E-12</v>
      </c>
      <c r="D32" s="1">
        <v>6.7368399999999998E-12</v>
      </c>
      <c r="E32" s="1">
        <v>1.3211000000000001E-12</v>
      </c>
      <c r="F32" s="1">
        <v>1.6429E-13</v>
      </c>
      <c r="G32" s="1">
        <v>7.2540999999999996E-17</v>
      </c>
      <c r="H32" s="1">
        <v>2.6857000000000002E-11</v>
      </c>
      <c r="I32" s="1">
        <v>9.6171999999999994E-11</v>
      </c>
      <c r="J32">
        <v>0</v>
      </c>
      <c r="K32" s="1"/>
      <c r="L32" s="1"/>
      <c r="N32" s="7"/>
      <c r="O32">
        <f t="shared" si="4"/>
        <v>26.683333333333334</v>
      </c>
      <c r="P32" s="6">
        <f t="shared" si="5"/>
        <v>103.05586070725296</v>
      </c>
      <c r="Q32" s="6">
        <f t="shared" si="0"/>
        <v>21.216568860338807</v>
      </c>
      <c r="R32" s="6">
        <f t="shared" si="1"/>
        <v>75.512360790607147</v>
      </c>
      <c r="S32" s="5">
        <f t="shared" si="2"/>
        <v>0</v>
      </c>
      <c r="T32" s="6">
        <f t="shared" si="6"/>
        <v>6.3269310563070249</v>
      </c>
      <c r="U32" s="1">
        <f t="shared" si="6"/>
        <v>5.2896301309480371</v>
      </c>
      <c r="V32" s="1">
        <f t="shared" si="6"/>
        <v>1.0373009253589891</v>
      </c>
      <c r="X32" s="5"/>
      <c r="Y32" s="5"/>
      <c r="Z32" s="5"/>
      <c r="AA32" s="5"/>
      <c r="AB32" s="5"/>
      <c r="AC32" s="1"/>
      <c r="AD32" s="5"/>
      <c r="AE32" s="5"/>
      <c r="AF32" s="37"/>
      <c r="AG32" s="37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1707.2</v>
      </c>
      <c r="C33" s="8">
        <v>6.7013499999999999E-12</v>
      </c>
      <c r="D33" s="1">
        <v>5.6026500000000002E-12</v>
      </c>
      <c r="E33" s="1">
        <v>1.0987E-12</v>
      </c>
      <c r="F33" s="1">
        <v>1.3662999999999999E-13</v>
      </c>
      <c r="G33" s="1">
        <v>6.0237000000000004E-17</v>
      </c>
      <c r="H33" s="1">
        <v>2.7160999999999999E-11</v>
      </c>
      <c r="I33" s="1">
        <v>9.7264000000000004E-11</v>
      </c>
      <c r="J33">
        <v>0</v>
      </c>
      <c r="K33" s="1"/>
      <c r="L33" s="1"/>
      <c r="N33" s="7"/>
      <c r="O33">
        <f t="shared" si="4"/>
        <v>28.453333333333333</v>
      </c>
      <c r="P33" s="6">
        <f t="shared" si="5"/>
        <v>103.06507690808743</v>
      </c>
      <c r="Q33" s="6">
        <f t="shared" si="0"/>
        <v>21.43354542359193</v>
      </c>
      <c r="R33" s="6">
        <f t="shared" si="1"/>
        <v>76.36976738173685</v>
      </c>
      <c r="S33" s="5">
        <f t="shared" si="2"/>
        <v>0</v>
      </c>
      <c r="T33" s="6">
        <f t="shared" si="6"/>
        <v>5.2617641027586561</v>
      </c>
      <c r="U33" s="1">
        <f t="shared" si="6"/>
        <v>4.3990871466675801</v>
      </c>
      <c r="V33" s="1">
        <f t="shared" si="6"/>
        <v>0.86267695609107653</v>
      </c>
      <c r="X33" s="5"/>
      <c r="Y33" s="5"/>
      <c r="Z33" s="5"/>
      <c r="AA33" s="5"/>
      <c r="AB33" s="5"/>
      <c r="AC33" s="1"/>
      <c r="AD33" s="5"/>
      <c r="AE33" s="5"/>
      <c r="AF33" s="37"/>
      <c r="AG33" s="37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1813.4</v>
      </c>
      <c r="C34" s="8">
        <v>5.57309E-12</v>
      </c>
      <c r="D34" s="1">
        <v>4.65939E-12</v>
      </c>
      <c r="E34" s="1">
        <v>9.1370000000000003E-13</v>
      </c>
      <c r="F34" s="1">
        <v>1.1363E-13</v>
      </c>
      <c r="G34" s="1">
        <v>4.9934999999999998E-17</v>
      </c>
      <c r="H34" s="1">
        <v>2.7415E-11</v>
      </c>
      <c r="I34" s="1">
        <v>9.8172999999999995E-11</v>
      </c>
      <c r="J34">
        <v>0</v>
      </c>
      <c r="K34" s="1"/>
      <c r="L34" s="1"/>
      <c r="N34" s="7"/>
      <c r="O34">
        <f t="shared" si="4"/>
        <v>30.223333333333336</v>
      </c>
      <c r="P34" s="6">
        <f t="shared" si="5"/>
        <v>103.07428682905449</v>
      </c>
      <c r="Q34" s="6">
        <f t="shared" si="0"/>
        <v>21.614921938434051</v>
      </c>
      <c r="R34" s="6">
        <f t="shared" si="1"/>
        <v>77.083487656414903</v>
      </c>
      <c r="S34" s="5">
        <f t="shared" si="2"/>
        <v>0</v>
      </c>
      <c r="T34" s="6">
        <f t="shared" si="6"/>
        <v>4.3758772342055314</v>
      </c>
      <c r="U34" s="1">
        <f t="shared" si="6"/>
        <v>3.6584585259317381</v>
      </c>
      <c r="V34" s="1">
        <f t="shared" si="6"/>
        <v>0.71741870827379328</v>
      </c>
      <c r="X34" s="5"/>
      <c r="Y34" s="5"/>
      <c r="Z34" s="5"/>
      <c r="AA34" s="5"/>
      <c r="AB34" s="5"/>
      <c r="AC34" s="1"/>
      <c r="AD34" s="5"/>
      <c r="AE34" s="5"/>
      <c r="AF34" s="37"/>
      <c r="AG34" s="37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x14ac:dyDescent="0.3">
      <c r="B35" s="7">
        <v>1919.5</v>
      </c>
      <c r="C35" s="8">
        <v>4.6348400000000001E-12</v>
      </c>
      <c r="D35" s="1">
        <v>3.87497E-12</v>
      </c>
      <c r="E35" s="1">
        <v>7.5986999999999997E-13</v>
      </c>
      <c r="F35" s="1">
        <v>9.4497999999999995E-14</v>
      </c>
      <c r="G35" s="1">
        <v>4.1631000000000003E-17</v>
      </c>
      <c r="H35" s="1">
        <v>2.7625000000000002E-11</v>
      </c>
      <c r="I35" s="1">
        <v>9.8927999999999997E-11</v>
      </c>
      <c r="J35">
        <v>0</v>
      </c>
      <c r="K35" s="1"/>
      <c r="L35" s="1"/>
      <c r="N35" s="7"/>
      <c r="O35">
        <f t="shared" si="4"/>
        <v>31.991666666666667</v>
      </c>
      <c r="P35" s="6">
        <f t="shared" si="5"/>
        <v>103.0802618080133</v>
      </c>
      <c r="Q35" s="6">
        <f t="shared" si="0"/>
        <v>21.764787620836156</v>
      </c>
      <c r="R35" s="6">
        <f t="shared" si="1"/>
        <v>77.676291823320625</v>
      </c>
      <c r="S35" s="5">
        <f t="shared" si="2"/>
        <v>0</v>
      </c>
      <c r="T35" s="6">
        <f t="shared" si="6"/>
        <v>3.6391823638565262</v>
      </c>
      <c r="U35" s="1">
        <f t="shared" si="6"/>
        <v>3.042547851592099</v>
      </c>
      <c r="V35" s="1">
        <f t="shared" si="6"/>
        <v>0.59663451226442732</v>
      </c>
      <c r="X35" s="5"/>
      <c r="Y35" s="68" t="s">
        <v>135</v>
      </c>
      <c r="Z35" s="69"/>
      <c r="AA35" s="70"/>
      <c r="AB35" s="71"/>
      <c r="AC35" s="1"/>
      <c r="AD35" s="5"/>
      <c r="AE35" s="5"/>
      <c r="AF35" s="37"/>
      <c r="AG35" s="37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x14ac:dyDescent="0.3">
      <c r="B36" s="7">
        <v>2025.7</v>
      </c>
      <c r="C36" s="8">
        <v>3.8545400000000003E-12</v>
      </c>
      <c r="D36" s="1">
        <v>3.2226E-12</v>
      </c>
      <c r="E36" s="1">
        <v>6.3194000000000003E-13</v>
      </c>
      <c r="F36" s="1">
        <v>7.8589E-14</v>
      </c>
      <c r="G36" s="1">
        <v>3.4631E-17</v>
      </c>
      <c r="H36" s="1">
        <v>2.78E-11</v>
      </c>
      <c r="I36" s="1">
        <v>9.9557000000000003E-11</v>
      </c>
      <c r="J36">
        <v>0</v>
      </c>
      <c r="K36" s="1"/>
      <c r="L36" s="1"/>
      <c r="N36" s="7"/>
      <c r="O36">
        <f t="shared" si="4"/>
        <v>33.76166666666667</v>
      </c>
      <c r="P36" s="6">
        <f t="shared" si="5"/>
        <v>103.08637364693772</v>
      </c>
      <c r="Q36" s="6">
        <f t="shared" si="0"/>
        <v>21.889702647341561</v>
      </c>
      <c r="R36" s="6">
        <f t="shared" si="1"/>
        <v>78.170164369641384</v>
      </c>
      <c r="S36" s="5">
        <f t="shared" si="2"/>
        <v>0</v>
      </c>
      <c r="T36" s="6">
        <f t="shared" si="6"/>
        <v>3.0265066299547634</v>
      </c>
      <c r="U36" s="1">
        <f t="shared" si="6"/>
        <v>2.530320159005282</v>
      </c>
      <c r="V36" s="1">
        <f t="shared" si="6"/>
        <v>0.49618647094948115</v>
      </c>
      <c r="X36" s="5"/>
      <c r="Y36" s="72"/>
      <c r="Z36" s="73"/>
      <c r="AA36" s="74"/>
      <c r="AB36" s="75"/>
      <c r="AC36" s="1"/>
      <c r="AD36" s="5"/>
      <c r="AE36" s="5"/>
      <c r="AF36" s="37"/>
      <c r="AG36" s="37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x14ac:dyDescent="0.3">
      <c r="B37" s="7">
        <v>2131.9</v>
      </c>
      <c r="C37" s="8">
        <v>3.2056099999999997E-12</v>
      </c>
      <c r="D37" s="1">
        <v>2.6800599999999998E-12</v>
      </c>
      <c r="E37" s="1">
        <v>5.2555000000000002E-13</v>
      </c>
      <c r="F37" s="1">
        <v>6.5358000000000005E-14</v>
      </c>
      <c r="G37" s="1">
        <v>2.8739000000000001E-17</v>
      </c>
      <c r="H37" s="1">
        <v>2.7945999999999999E-11</v>
      </c>
      <c r="I37" s="1">
        <v>1.0008E-10</v>
      </c>
      <c r="J37">
        <v>0</v>
      </c>
      <c r="K37" s="1"/>
      <c r="L37" s="1"/>
      <c r="N37" s="7"/>
      <c r="O37">
        <f t="shared" si="4"/>
        <v>35.531666666666666</v>
      </c>
      <c r="P37" s="6">
        <f t="shared" si="5"/>
        <v>103.09173886474974</v>
      </c>
      <c r="Q37" s="6">
        <f t="shared" si="0"/>
        <v>21.993950173311571</v>
      </c>
      <c r="R37" s="6">
        <f t="shared" si="1"/>
        <v>78.58080873584052</v>
      </c>
      <c r="S37" s="5">
        <f t="shared" si="2"/>
        <v>0</v>
      </c>
      <c r="T37" s="6">
        <f t="shared" si="6"/>
        <v>2.5169799555976295</v>
      </c>
      <c r="U37" s="1">
        <f t="shared" si="6"/>
        <v>2.1043287548388556</v>
      </c>
      <c r="V37" s="1">
        <f t="shared" si="6"/>
        <v>0.41265120075877426</v>
      </c>
      <c r="X37" s="5"/>
      <c r="Y37" s="76" t="s">
        <v>143</v>
      </c>
      <c r="Z37" s="73"/>
      <c r="AA37" s="74"/>
      <c r="AB37" s="75"/>
      <c r="AC37" s="1"/>
      <c r="AD37" s="5"/>
      <c r="AE37" s="5"/>
      <c r="AF37" s="37"/>
      <c r="AG37" s="37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x14ac:dyDescent="0.3">
      <c r="B38" s="7">
        <v>2238</v>
      </c>
      <c r="C38" s="8">
        <v>2.6658799999999995E-12</v>
      </c>
      <c r="D38" s="1">
        <v>2.2288099999999997E-12</v>
      </c>
      <c r="E38" s="1">
        <v>4.3707000000000002E-13</v>
      </c>
      <c r="F38" s="1">
        <v>5.4354999999999999E-14</v>
      </c>
      <c r="G38" s="1">
        <v>2.3933999999999999E-17</v>
      </c>
      <c r="H38" s="1">
        <v>2.8067E-11</v>
      </c>
      <c r="I38" s="1">
        <v>1.0051E-10</v>
      </c>
      <c r="J38">
        <v>0</v>
      </c>
      <c r="K38" s="1"/>
      <c r="L38" s="1"/>
      <c r="N38" s="7"/>
      <c r="O38">
        <f t="shared" si="4"/>
        <v>37.299999999999997</v>
      </c>
      <c r="P38" s="6">
        <f t="shared" si="5"/>
        <v>103.09194473494586</v>
      </c>
      <c r="Q38" s="6">
        <f t="shared" si="0"/>
        <v>22.080317586744858</v>
      </c>
      <c r="R38" s="6">
        <f t="shared" si="1"/>
        <v>78.918432241762417</v>
      </c>
      <c r="S38" s="5">
        <f t="shared" si="2"/>
        <v>0</v>
      </c>
      <c r="T38" s="6">
        <f t="shared" si="6"/>
        <v>2.09319490643859</v>
      </c>
      <c r="U38" s="1">
        <f t="shared" si="6"/>
        <v>1.7500164071223738</v>
      </c>
      <c r="V38" s="1">
        <f t="shared" si="6"/>
        <v>0.3431784993162163</v>
      </c>
      <c r="X38" s="5"/>
      <c r="Y38" s="76" t="s">
        <v>144</v>
      </c>
      <c r="Z38" s="73"/>
      <c r="AA38" s="74"/>
      <c r="AB38" s="75"/>
      <c r="AC38" s="1"/>
      <c r="AD38" s="5"/>
      <c r="AE38" s="5"/>
      <c r="AF38" s="36"/>
      <c r="AG38" s="37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x14ac:dyDescent="0.3">
      <c r="B39" s="7">
        <v>2344.1999999999998</v>
      </c>
      <c r="C39" s="8">
        <v>2.2171600000000002E-12</v>
      </c>
      <c r="D39" s="1">
        <v>1.8536700000000001E-12</v>
      </c>
      <c r="E39" s="1">
        <v>3.6349E-13</v>
      </c>
      <c r="F39" s="1">
        <v>4.5203999999999999E-14</v>
      </c>
      <c r="G39" s="1">
        <v>1.9917E-17</v>
      </c>
      <c r="H39" s="1">
        <v>2.8168E-11</v>
      </c>
      <c r="I39" s="1">
        <v>1.0088E-10</v>
      </c>
      <c r="J39">
        <v>0</v>
      </c>
      <c r="K39" s="1"/>
      <c r="L39" s="1"/>
      <c r="N39" s="7"/>
      <c r="O39">
        <f t="shared" si="4"/>
        <v>39.07</v>
      </c>
      <c r="P39" s="6">
        <f t="shared" si="5"/>
        <v>103.10225020539568</v>
      </c>
      <c r="Q39" s="6">
        <f t="shared" si="0"/>
        <v>22.152435558657128</v>
      </c>
      <c r="R39" s="6">
        <f t="shared" si="1"/>
        <v>79.208945583330063</v>
      </c>
      <c r="S39" s="5">
        <f t="shared" si="2"/>
        <v>0</v>
      </c>
      <c r="T39" s="6">
        <f t="shared" si="6"/>
        <v>1.7408690634084751</v>
      </c>
      <c r="U39" s="1">
        <f t="shared" si="6"/>
        <v>1.4554640877376408</v>
      </c>
      <c r="V39" s="1">
        <f t="shared" si="6"/>
        <v>0.28540497567083412</v>
      </c>
      <c r="X39" s="5"/>
      <c r="Y39" s="76" t="s">
        <v>145</v>
      </c>
      <c r="Z39" s="73"/>
      <c r="AA39" s="74"/>
      <c r="AB39" s="75"/>
      <c r="AC39" s="1"/>
      <c r="AD39" s="5"/>
      <c r="AE39" s="5"/>
      <c r="AF39" s="36"/>
      <c r="AG39" s="37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x14ac:dyDescent="0.3">
      <c r="B40" s="7">
        <v>2450.4</v>
      </c>
      <c r="C40" s="8">
        <v>1.8438299999999998E-12</v>
      </c>
      <c r="D40" s="1">
        <v>1.54153E-12</v>
      </c>
      <c r="E40" s="1">
        <v>3.0229999999999998E-13</v>
      </c>
      <c r="F40" s="1">
        <v>3.7594E-14</v>
      </c>
      <c r="G40" s="1">
        <v>1.6533E-17</v>
      </c>
      <c r="H40" s="1">
        <v>2.8252E-11</v>
      </c>
      <c r="I40" s="1">
        <v>1.0118000000000001E-10</v>
      </c>
      <c r="J40">
        <v>0</v>
      </c>
      <c r="K40" s="1"/>
      <c r="L40" s="1"/>
      <c r="N40" s="7"/>
      <c r="O40">
        <f t="shared" si="4"/>
        <v>40.840000000000003</v>
      </c>
      <c r="P40" s="6">
        <f t="shared" si="5"/>
        <v>103.10465019828439</v>
      </c>
      <c r="Q40" s="6">
        <f t="shared" si="0"/>
        <v>22.2124154373099</v>
      </c>
      <c r="R40" s="6">
        <f t="shared" si="1"/>
        <v>79.444496841661277</v>
      </c>
      <c r="S40" s="5">
        <f t="shared" si="2"/>
        <v>0</v>
      </c>
      <c r="T40" s="6">
        <f t="shared" si="6"/>
        <v>1.4477379193131972</v>
      </c>
      <c r="U40" s="1">
        <f t="shared" si="6"/>
        <v>1.2103780905825767</v>
      </c>
      <c r="V40" s="1">
        <f t="shared" si="6"/>
        <v>0.2373598287306202</v>
      </c>
      <c r="X40" s="5"/>
      <c r="Y40" s="76" t="s">
        <v>146</v>
      </c>
      <c r="Z40" s="73"/>
      <c r="AA40" s="74"/>
      <c r="AB40" s="75"/>
      <c r="AC40" s="1"/>
      <c r="AD40" s="5"/>
      <c r="AE40" s="5"/>
      <c r="AF40" s="36"/>
      <c r="AG40" s="37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x14ac:dyDescent="0.3">
      <c r="B41" s="7">
        <v>2556.5</v>
      </c>
      <c r="C41" s="8">
        <v>1.5334740000000002E-12</v>
      </c>
      <c r="D41" s="1">
        <v>1.2820740000000001E-12</v>
      </c>
      <c r="E41" s="1">
        <v>2.5140000000000002E-13</v>
      </c>
      <c r="F41" s="1">
        <v>3.1264000000000003E-14</v>
      </c>
      <c r="G41" s="1">
        <v>1.3742E-17</v>
      </c>
      <c r="H41" s="1">
        <v>2.8321000000000001E-11</v>
      </c>
      <c r="I41" s="1">
        <v>1.0143000000000001E-10</v>
      </c>
      <c r="J41">
        <v>0</v>
      </c>
      <c r="K41" s="1"/>
      <c r="L41" s="1"/>
      <c r="N41" s="7"/>
      <c r="O41">
        <f t="shared" si="4"/>
        <v>42.608333333333334</v>
      </c>
      <c r="P41" s="6">
        <f t="shared" si="5"/>
        <v>103.10646491271507</v>
      </c>
      <c r="Q41" s="6">
        <f t="shared" si="0"/>
        <v>22.261622650232653</v>
      </c>
      <c r="R41" s="6">
        <f t="shared" si="1"/>
        <v>79.640789579707487</v>
      </c>
      <c r="S41" s="5">
        <f t="shared" si="2"/>
        <v>0</v>
      </c>
      <c r="T41" s="6">
        <f t="shared" si="6"/>
        <v>1.2040526827749227</v>
      </c>
      <c r="U41" s="1">
        <f t="shared" si="6"/>
        <v>1.0066585016870038</v>
      </c>
      <c r="V41" s="1">
        <f t="shared" si="6"/>
        <v>0.19739418108791906</v>
      </c>
      <c r="X41" s="5"/>
      <c r="Y41" s="72"/>
      <c r="Z41" s="73"/>
      <c r="AA41" s="74"/>
      <c r="AB41" s="75"/>
      <c r="AC41" s="1"/>
      <c r="AD41" s="5"/>
      <c r="AE41" s="5"/>
      <c r="AF41" s="36"/>
      <c r="AG41" s="37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x14ac:dyDescent="0.3">
      <c r="B42" s="7">
        <v>2662.7</v>
      </c>
      <c r="C42" s="8">
        <v>1.2752699999999999E-12</v>
      </c>
      <c r="D42" s="1">
        <v>1.0661899999999999E-12</v>
      </c>
      <c r="E42" s="1">
        <v>2.0908E-13</v>
      </c>
      <c r="F42" s="1">
        <v>2.6000999999999999E-14</v>
      </c>
      <c r="G42" s="1">
        <v>1.1449E-17</v>
      </c>
      <c r="H42" s="1">
        <v>2.8379000000000001E-11</v>
      </c>
      <c r="I42" s="1">
        <v>1.0163E-10</v>
      </c>
      <c r="J42">
        <v>0</v>
      </c>
      <c r="K42" s="1"/>
      <c r="L42" s="1"/>
      <c r="N42" s="7"/>
      <c r="O42">
        <f t="shared" si="4"/>
        <v>44.37833333333333</v>
      </c>
      <c r="P42" s="6">
        <f t="shared" si="5"/>
        <v>103.10217053478003</v>
      </c>
      <c r="Q42" s="6">
        <f t="shared" si="0"/>
        <v>22.30303067301719</v>
      </c>
      <c r="R42" s="6">
        <f t="shared" si="1"/>
        <v>79.797823722876643</v>
      </c>
      <c r="S42" s="5">
        <f t="shared" si="2"/>
        <v>0</v>
      </c>
      <c r="T42" s="6">
        <f t="shared" si="6"/>
        <v>1.0013161388861993</v>
      </c>
      <c r="U42" s="1">
        <f t="shared" si="6"/>
        <v>0.83715076346113115</v>
      </c>
      <c r="V42" s="1">
        <f t="shared" si="6"/>
        <v>0.16416537542506807</v>
      </c>
      <c r="X42" s="5"/>
      <c r="Y42" s="72"/>
      <c r="Z42" s="73"/>
      <c r="AA42" s="74"/>
      <c r="AB42" s="89"/>
      <c r="AC42" s="88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2768.9</v>
      </c>
      <c r="C43" s="8">
        <v>1.060569E-12</v>
      </c>
      <c r="D43" s="8">
        <v>8.8668900000000006E-13</v>
      </c>
      <c r="E43" s="8">
        <v>1.7388000000000001E-13</v>
      </c>
      <c r="F43" s="1">
        <v>2.1624E-14</v>
      </c>
      <c r="G43" s="1">
        <v>9.5102999999999994E-18</v>
      </c>
      <c r="H43" s="1">
        <v>2.8428000000000001E-11</v>
      </c>
      <c r="I43" s="1">
        <v>1.0181E-10</v>
      </c>
      <c r="J43">
        <v>0</v>
      </c>
      <c r="K43" s="1"/>
      <c r="L43" s="1"/>
      <c r="N43" s="7"/>
      <c r="O43">
        <f t="shared" ref="O43:O44" si="7">B43/60</f>
        <v>46.148333333333333</v>
      </c>
      <c r="P43" s="6">
        <f t="shared" ref="P43:P44" si="8">(SUM(F43:J43)+C43)/$A$1*100</f>
        <v>103.10995956571342</v>
      </c>
      <c r="Q43" s="6">
        <f t="shared" ref="Q43:Q44" si="9">(H43+F43)/$A$1*100</f>
        <v>22.338067747570438</v>
      </c>
      <c r="R43" s="6">
        <f t="shared" ref="R43:R44" si="10">(G43+I43)/$A$1*100</f>
        <v>79.939154549876363</v>
      </c>
      <c r="S43" s="5">
        <f t="shared" ref="S43:S44" si="11">J43/$A$1*100</f>
        <v>0</v>
      </c>
      <c r="T43" s="6">
        <f t="shared" ref="T43:T44" si="12">C43/$A$1*100</f>
        <v>0.83273726826663974</v>
      </c>
      <c r="U43" s="1">
        <f t="shared" ref="U43:U44" si="13">D43/$A$1*100</f>
        <v>0.69621021891275203</v>
      </c>
      <c r="V43" s="1">
        <f t="shared" ref="V43:V44" si="14">E43/$A$1*100</f>
        <v>0.13652704935388768</v>
      </c>
      <c r="X43" s="5"/>
      <c r="Y43" s="77" t="s">
        <v>141</v>
      </c>
      <c r="Z43" s="78" t="s">
        <v>136</v>
      </c>
      <c r="AA43" s="79"/>
      <c r="AB43" s="90">
        <v>0.21173716043523499</v>
      </c>
      <c r="AC43" s="88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2875</v>
      </c>
      <c r="C44" s="8">
        <v>8.8201399999999998E-13</v>
      </c>
      <c r="D44" s="8">
        <v>7.3741399999999997E-13</v>
      </c>
      <c r="E44" s="8">
        <v>1.4460000000000001E-13</v>
      </c>
      <c r="F44" s="1">
        <v>1.7982999999999999E-14</v>
      </c>
      <c r="G44" s="1">
        <v>7.9141000000000001E-18</v>
      </c>
      <c r="H44" s="1">
        <v>2.8467999999999999E-11</v>
      </c>
      <c r="I44" s="1">
        <v>1.0194999999999999E-10</v>
      </c>
      <c r="J44">
        <v>0</v>
      </c>
      <c r="K44" s="1"/>
      <c r="L44" s="1"/>
      <c r="N44" s="7"/>
      <c r="O44" s="58">
        <f t="shared" si="7"/>
        <v>47.916666666666664</v>
      </c>
      <c r="P44" s="59">
        <f t="shared" si="8"/>
        <v>103.10823405774899</v>
      </c>
      <c r="Q44" s="59">
        <f t="shared" si="9"/>
        <v>22.366616096934695</v>
      </c>
      <c r="R44" s="59">
        <f t="shared" si="10"/>
        <v>80.049078457082871</v>
      </c>
      <c r="S44" s="5">
        <f t="shared" si="11"/>
        <v>0</v>
      </c>
      <c r="T44" s="59">
        <f t="shared" si="12"/>
        <v>0.69253950373142337</v>
      </c>
      <c r="U44" s="60">
        <f t="shared" si="13"/>
        <v>0.57900251651856294</v>
      </c>
      <c r="V44" s="60">
        <f t="shared" si="14"/>
        <v>0.11353698721286037</v>
      </c>
      <c r="X44" s="5"/>
      <c r="Y44" s="81"/>
      <c r="Z44" s="82" t="s">
        <v>137</v>
      </c>
      <c r="AA44" s="79"/>
      <c r="AB44" s="90">
        <v>22.5155436896328</v>
      </c>
      <c r="AC44" s="88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2981.2</v>
      </c>
      <c r="C45" s="8">
        <v>7.3352200000000003E-13</v>
      </c>
      <c r="D45" s="8">
        <v>6.13262E-13</v>
      </c>
      <c r="E45" s="8">
        <v>1.2026000000000001E-13</v>
      </c>
      <c r="F45" s="1">
        <v>1.4956000000000001E-14</v>
      </c>
      <c r="G45" s="1">
        <v>6.5923E-18</v>
      </c>
      <c r="H45" s="1">
        <v>2.8501000000000001E-11</v>
      </c>
      <c r="I45" s="1">
        <v>1.0207E-10</v>
      </c>
      <c r="J45" s="8"/>
      <c r="K45" s="1"/>
      <c r="L45" s="1"/>
      <c r="N45" s="7"/>
      <c r="O45" s="58">
        <f t="shared" ref="O45:O58" si="15">B45/60</f>
        <v>49.68666666666666</v>
      </c>
      <c r="P45" s="59">
        <f t="shared" ref="P45:P58" si="16">(SUM(F45:J45)+C45)/$A$1*100</f>
        <v>103.10939587106071</v>
      </c>
      <c r="Q45" s="59">
        <f t="shared" ref="Q45:Q58" si="17">(H45+F45)/$A$1*100</f>
        <v>22.390150288620251</v>
      </c>
      <c r="R45" s="59">
        <f t="shared" ref="R45:R58" si="18">(G45+I45)/$A$1*100</f>
        <v>80.143298985384078</v>
      </c>
      <c r="S45" s="5">
        <f t="shared" ref="S45:S58" si="19">J45/$A$1*100</f>
        <v>0</v>
      </c>
      <c r="T45" s="59">
        <f t="shared" ref="T45:T58" si="20">C45/$A$1*100</f>
        <v>0.57594659705637452</v>
      </c>
      <c r="U45" s="60">
        <f t="shared" ref="U45:U58" si="21">D45/$A$1*100</f>
        <v>0.48152088417796102</v>
      </c>
      <c r="V45" s="60">
        <f t="shared" ref="V45:V58" si="22">E45/$A$1*100</f>
        <v>9.4425712878413476E-2</v>
      </c>
      <c r="X45" s="5"/>
      <c r="Y45" s="81"/>
      <c r="Z45" s="82" t="s">
        <v>138</v>
      </c>
      <c r="AA45" s="79"/>
      <c r="AB45" s="90">
        <v>7.3429403436351098E-2</v>
      </c>
      <c r="AC45" s="88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>
        <v>3087.4</v>
      </c>
      <c r="C46" s="8">
        <v>6.1003299999999999E-13</v>
      </c>
      <c r="D46" s="8">
        <v>5.10023E-13</v>
      </c>
      <c r="E46" s="8">
        <v>1.0000999999999999E-13</v>
      </c>
      <c r="F46" s="1">
        <v>1.2438000000000001E-14</v>
      </c>
      <c r="G46" s="1">
        <v>5.4708000000000002E-18</v>
      </c>
      <c r="H46" s="1">
        <v>2.8528999999999998E-11</v>
      </c>
      <c r="I46" s="1">
        <v>1.0216999999999999E-10</v>
      </c>
      <c r="J46" s="8"/>
      <c r="K46" s="1"/>
      <c r="L46" s="1"/>
      <c r="N46" s="7"/>
      <c r="O46" s="58">
        <f t="shared" si="15"/>
        <v>51.456666666666671</v>
      </c>
      <c r="P46" s="59">
        <f t="shared" si="16"/>
        <v>103.11095985365948</v>
      </c>
      <c r="Q46" s="59">
        <f t="shared" si="17"/>
        <v>22.410158238192576</v>
      </c>
      <c r="R46" s="59">
        <f t="shared" si="18"/>
        <v>80.221816076598145</v>
      </c>
      <c r="S46" s="5">
        <f t="shared" si="19"/>
        <v>0</v>
      </c>
      <c r="T46" s="59">
        <f t="shared" si="20"/>
        <v>0.478985538868761</v>
      </c>
      <c r="U46" s="60">
        <f t="shared" si="21"/>
        <v>0.40045971527845553</v>
      </c>
      <c r="V46" s="60">
        <f t="shared" si="22"/>
        <v>7.8525823590305424E-2</v>
      </c>
      <c r="X46" s="5"/>
      <c r="Y46" s="81"/>
      <c r="Z46" s="82" t="s">
        <v>139</v>
      </c>
      <c r="AA46" s="79"/>
      <c r="AB46" s="90">
        <v>29.904166130115499</v>
      </c>
      <c r="AC46" s="88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3193.6</v>
      </c>
      <c r="C47" s="8">
        <v>5.0733000000000002E-13</v>
      </c>
      <c r="D47" s="8">
        <v>4.24154E-13</v>
      </c>
      <c r="E47" s="8">
        <v>8.3176000000000006E-14</v>
      </c>
      <c r="F47" s="1">
        <v>1.0343999999999999E-14</v>
      </c>
      <c r="G47" s="1">
        <v>4.5485000000000001E-18</v>
      </c>
      <c r="H47" s="1">
        <v>2.8551999999999999E-11</v>
      </c>
      <c r="I47" s="1">
        <v>1.0225E-10</v>
      </c>
      <c r="J47" s="8"/>
      <c r="K47" s="1"/>
      <c r="L47" s="1"/>
      <c r="N47" s="7"/>
      <c r="O47" s="58">
        <f t="shared" si="15"/>
        <v>53.226666666666667</v>
      </c>
      <c r="P47" s="59">
        <f t="shared" si="16"/>
        <v>103.1095481615351</v>
      </c>
      <c r="Q47" s="59">
        <f t="shared" si="17"/>
        <v>22.426573205375647</v>
      </c>
      <c r="R47" s="59">
        <f t="shared" si="18"/>
        <v>80.284629729861393</v>
      </c>
      <c r="S47" s="5">
        <f t="shared" si="19"/>
        <v>0</v>
      </c>
      <c r="T47" s="59">
        <f t="shared" si="20"/>
        <v>0.39834522629806668</v>
      </c>
      <c r="U47" s="60">
        <f t="shared" si="21"/>
        <v>0.33303711807941611</v>
      </c>
      <c r="V47" s="60">
        <f t="shared" si="22"/>
        <v>6.5308108218650573E-2</v>
      </c>
      <c r="X47" s="5"/>
      <c r="Y47" s="81"/>
      <c r="Z47" s="82" t="s">
        <v>140</v>
      </c>
      <c r="AA47" s="79"/>
      <c r="AB47" s="90">
        <v>0.103370607449493</v>
      </c>
      <c r="AC47" s="88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8.75" x14ac:dyDescent="0.3">
      <c r="B48" s="7">
        <v>3299.7</v>
      </c>
      <c r="C48" s="8">
        <v>4.2192100000000006E-13</v>
      </c>
      <c r="D48" s="8">
        <v>3.5274800000000004E-13</v>
      </c>
      <c r="E48" s="8">
        <v>6.9173E-14</v>
      </c>
      <c r="F48" s="1">
        <v>8.6023999999999995E-15</v>
      </c>
      <c r="G48" s="1">
        <v>3.7955000000000003E-18</v>
      </c>
      <c r="H48" s="1">
        <v>2.8571E-11</v>
      </c>
      <c r="I48" s="1">
        <v>1.0232E-10</v>
      </c>
      <c r="J48" s="8"/>
      <c r="K48" s="1"/>
      <c r="L48" s="1"/>
      <c r="N48" s="7"/>
      <c r="O48" s="58">
        <f t="shared" si="15"/>
        <v>54.994999999999997</v>
      </c>
      <c r="P48" s="59">
        <f t="shared" si="16"/>
        <v>103.11099968166513</v>
      </c>
      <c r="Q48" s="59">
        <f t="shared" si="17"/>
        <v>22.440124151019592</v>
      </c>
      <c r="R48" s="59">
        <f t="shared" si="18"/>
        <v>80.339591718876264</v>
      </c>
      <c r="S48" s="5">
        <f t="shared" si="19"/>
        <v>0</v>
      </c>
      <c r="T48" s="59">
        <f t="shared" si="20"/>
        <v>0.33128381176927563</v>
      </c>
      <c r="U48" s="60">
        <f t="shared" si="21"/>
        <v>0.27697057514081652</v>
      </c>
      <c r="V48" s="60">
        <f t="shared" si="22"/>
        <v>5.4313236628459119E-2</v>
      </c>
      <c r="X48" s="5"/>
      <c r="Y48" s="81"/>
      <c r="Z48" s="103" t="s">
        <v>151</v>
      </c>
      <c r="AA48" s="85"/>
      <c r="AB48" s="97">
        <v>48.975703814476297</v>
      </c>
      <c r="AC48" s="88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 ht="18.75" x14ac:dyDescent="0.3">
      <c r="B49">
        <v>3405.9</v>
      </c>
      <c r="C49">
        <v>3.5089199999999998E-13</v>
      </c>
      <c r="D49">
        <v>2.9336499999999998E-13</v>
      </c>
      <c r="E49">
        <v>5.7527000000000006E-14</v>
      </c>
      <c r="F49" s="1">
        <v>7.1541E-15</v>
      </c>
      <c r="G49" s="1">
        <v>3.1552E-18</v>
      </c>
      <c r="H49" s="1">
        <v>2.8586999999999998E-11</v>
      </c>
      <c r="I49" s="1">
        <v>1.0238E-10</v>
      </c>
      <c r="N49" s="7"/>
      <c r="O49" s="58">
        <f t="shared" si="15"/>
        <v>56.765000000000001</v>
      </c>
      <c r="P49" s="59">
        <f t="shared" si="16"/>
        <v>103.11376513150692</v>
      </c>
      <c r="Q49" s="59">
        <f t="shared" si="17"/>
        <v>22.451549850721012</v>
      </c>
      <c r="R49" s="59">
        <f t="shared" si="18"/>
        <v>80.386701999201563</v>
      </c>
      <c r="S49" s="5">
        <f t="shared" si="19"/>
        <v>0</v>
      </c>
      <c r="T49" s="59">
        <f t="shared" si="20"/>
        <v>0.27551328158433602</v>
      </c>
      <c r="U49" s="60">
        <f t="shared" si="21"/>
        <v>0.23034424795090441</v>
      </c>
      <c r="V49" s="60">
        <f t="shared" si="22"/>
        <v>4.5169033633431659E-2</v>
      </c>
      <c r="X49" s="5"/>
      <c r="Y49" s="81"/>
      <c r="Z49" s="103" t="s">
        <v>152</v>
      </c>
      <c r="AA49" s="85"/>
      <c r="AB49" s="97">
        <v>-29.904166130115499</v>
      </c>
      <c r="AC49" s="88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 ht="18.75" x14ac:dyDescent="0.3">
      <c r="B50">
        <v>3512.1</v>
      </c>
      <c r="C50">
        <v>2.9181100000000002E-13</v>
      </c>
      <c r="D50">
        <v>2.43969E-13</v>
      </c>
      <c r="E50">
        <v>4.7842000000000001E-14</v>
      </c>
      <c r="F50" s="1">
        <v>5.9496999999999996E-15</v>
      </c>
      <c r="G50" s="1">
        <v>2.6195999999999999E-18</v>
      </c>
      <c r="H50" s="1">
        <v>2.86E-11</v>
      </c>
      <c r="I50" s="1">
        <v>1.0243E-10</v>
      </c>
      <c r="N50" s="7"/>
      <c r="O50" s="58">
        <f t="shared" si="15"/>
        <v>58.534999999999997</v>
      </c>
      <c r="P50" s="59">
        <f t="shared" si="16"/>
        <v>103.11589615982695</v>
      </c>
      <c r="Q50" s="59">
        <f t="shared" si="17"/>
        <v>22.460811516601844</v>
      </c>
      <c r="R50" s="59">
        <f t="shared" si="18"/>
        <v>80.425960564555865</v>
      </c>
      <c r="S50" s="5">
        <f t="shared" si="19"/>
        <v>0</v>
      </c>
      <c r="T50" s="59">
        <f t="shared" si="20"/>
        <v>0.22912407866923926</v>
      </c>
      <c r="U50" s="60">
        <f t="shared" si="21"/>
        <v>0.19155951060397183</v>
      </c>
      <c r="V50" s="60">
        <f t="shared" si="22"/>
        <v>3.7564568065267395E-2</v>
      </c>
      <c r="X50" s="5"/>
      <c r="Y50" s="81"/>
      <c r="Z50" s="103" t="s">
        <v>153</v>
      </c>
      <c r="AA50" s="85"/>
      <c r="AB50" s="97">
        <v>2.13626227867538</v>
      </c>
      <c r="AC50" s="88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 ht="18.75" x14ac:dyDescent="0.3">
      <c r="B51">
        <v>3618.2</v>
      </c>
      <c r="C51">
        <v>2.4268699999999998E-13</v>
      </c>
      <c r="D51">
        <v>2.02899E-13</v>
      </c>
      <c r="E51">
        <v>3.9788E-14</v>
      </c>
      <c r="F51" s="1">
        <v>4.9479999999999999E-15</v>
      </c>
      <c r="G51" s="1">
        <v>2.1853999999999999E-18</v>
      </c>
      <c r="H51" s="1">
        <v>2.8611000000000001E-11</v>
      </c>
      <c r="I51" s="1">
        <v>1.0247E-10</v>
      </c>
      <c r="N51" s="7"/>
      <c r="O51" s="58">
        <f t="shared" si="15"/>
        <v>60.303333333333327</v>
      </c>
      <c r="P51" s="59">
        <f t="shared" si="16"/>
        <v>103.11658230152929</v>
      </c>
      <c r="Q51" s="59">
        <f t="shared" si="17"/>
        <v>22.468661978975636</v>
      </c>
      <c r="R51" s="59">
        <f t="shared" si="18"/>
        <v>80.457367412348077</v>
      </c>
      <c r="S51" s="5">
        <f t="shared" si="19"/>
        <v>0</v>
      </c>
      <c r="T51" s="59">
        <f t="shared" si="20"/>
        <v>0.19055291020558396</v>
      </c>
      <c r="U51" s="60">
        <f t="shared" si="21"/>
        <v>0.15931217958853494</v>
      </c>
      <c r="V51" s="60">
        <f t="shared" si="22"/>
        <v>3.1240730617049017E-2</v>
      </c>
      <c r="X51" s="5"/>
      <c r="Y51" s="81"/>
      <c r="Z51" s="103" t="s">
        <v>154</v>
      </c>
      <c r="AA51" s="85"/>
      <c r="AB51" s="97">
        <v>-0.103370607449493</v>
      </c>
      <c r="AC51" s="88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 x14ac:dyDescent="0.3">
      <c r="B52">
        <v>3724.4</v>
      </c>
      <c r="C52">
        <v>2.0182499999999998E-13</v>
      </c>
      <c r="D52">
        <v>1.6873599999999998E-13</v>
      </c>
      <c r="E52">
        <v>3.3088999999999998E-14</v>
      </c>
      <c r="F52" s="1">
        <v>4.115E-15</v>
      </c>
      <c r="G52" s="1">
        <v>1.8206999999999999E-18</v>
      </c>
      <c r="H52" s="1">
        <v>2.862E-11</v>
      </c>
      <c r="I52" s="1">
        <v>1.025E-10</v>
      </c>
      <c r="N52" s="7"/>
      <c r="O52" s="58">
        <f t="shared" si="15"/>
        <v>62.073333333333338</v>
      </c>
      <c r="P52" s="59">
        <f t="shared" si="16"/>
        <v>103.11446595583442</v>
      </c>
      <c r="Q52" s="59">
        <f t="shared" si="17"/>
        <v>22.475074541731978</v>
      </c>
      <c r="R52" s="59">
        <f t="shared" si="18"/>
        <v>80.480922517530956</v>
      </c>
      <c r="S52" s="5">
        <f t="shared" si="19"/>
        <v>0</v>
      </c>
      <c r="T52" s="59">
        <f t="shared" si="20"/>
        <v>0.15846889657147675</v>
      </c>
      <c r="U52" s="60">
        <f t="shared" si="21"/>
        <v>0.13248808488484926</v>
      </c>
      <c r="V52" s="60">
        <f t="shared" si="22"/>
        <v>2.5980811686627494E-2</v>
      </c>
      <c r="X52" s="5"/>
      <c r="Y52" s="81"/>
      <c r="Z52" s="101"/>
      <c r="AA52" s="83"/>
      <c r="AB52" s="98"/>
      <c r="AC52" s="88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 ht="18.75" x14ac:dyDescent="0.3">
      <c r="B53">
        <v>3830.6</v>
      </c>
      <c r="C53">
        <v>1.6784799999999999E-13</v>
      </c>
      <c r="D53">
        <v>1.40329E-13</v>
      </c>
      <c r="E53">
        <v>2.7518999999999999E-14</v>
      </c>
      <c r="F53" s="1">
        <v>3.4221999999999999E-15</v>
      </c>
      <c r="G53" s="1">
        <v>1.5119E-18</v>
      </c>
      <c r="H53" s="1">
        <v>2.8628000000000001E-11</v>
      </c>
      <c r="I53" s="1">
        <v>1.0252999999999999E-10</v>
      </c>
      <c r="N53" s="7"/>
      <c r="O53" s="58">
        <f t="shared" si="15"/>
        <v>63.843333333333334</v>
      </c>
      <c r="P53" s="59">
        <f t="shared" si="16"/>
        <v>103.11708051886761</v>
      </c>
      <c r="Q53" s="59">
        <f t="shared" si="17"/>
        <v>22.48081200696685</v>
      </c>
      <c r="R53" s="59">
        <f t="shared" si="18"/>
        <v>80.50447766660541</v>
      </c>
      <c r="S53" s="5">
        <f t="shared" si="19"/>
        <v>0</v>
      </c>
      <c r="T53" s="59">
        <f t="shared" si="20"/>
        <v>0.13179084529532631</v>
      </c>
      <c r="U53" s="60">
        <f t="shared" si="21"/>
        <v>0.11018348463757593</v>
      </c>
      <c r="V53" s="60">
        <f t="shared" si="22"/>
        <v>2.1607360657750374E-2</v>
      </c>
      <c r="X53" s="5"/>
      <c r="Y53" s="77" t="s">
        <v>142</v>
      </c>
      <c r="Z53" s="102" t="s">
        <v>136</v>
      </c>
      <c r="AA53" s="83"/>
      <c r="AB53" s="99">
        <v>3.0884071371090301E-11</v>
      </c>
      <c r="AC53" s="88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 ht="18.75" x14ac:dyDescent="0.3">
      <c r="B54">
        <v>3936.7</v>
      </c>
      <c r="C54">
        <v>1.395905E-13</v>
      </c>
      <c r="D54">
        <v>1.167045E-13</v>
      </c>
      <c r="E54">
        <v>2.2886000000000002E-14</v>
      </c>
      <c r="F54" s="1">
        <v>2.8460999999999998E-15</v>
      </c>
      <c r="G54" s="1">
        <v>1.2596E-18</v>
      </c>
      <c r="H54" s="1">
        <v>2.8634000000000001E-11</v>
      </c>
      <c r="I54" s="1">
        <v>1.0255E-10</v>
      </c>
      <c r="N54" s="7"/>
      <c r="O54" s="58">
        <f t="shared" si="15"/>
        <v>65.611666666666665</v>
      </c>
      <c r="P54" s="59">
        <f t="shared" si="16"/>
        <v>103.11485543551801</v>
      </c>
      <c r="Q54" s="59">
        <f t="shared" si="17"/>
        <v>22.485070743238936</v>
      </c>
      <c r="R54" s="59">
        <f t="shared" si="18"/>
        <v>80.520181062863202</v>
      </c>
      <c r="S54" s="5">
        <f t="shared" si="19"/>
        <v>0</v>
      </c>
      <c r="T54" s="59">
        <f t="shared" si="20"/>
        <v>0.1096036294158837</v>
      </c>
      <c r="U54" s="60">
        <f t="shared" si="21"/>
        <v>9.163400639130885E-2</v>
      </c>
      <c r="V54" s="60">
        <f t="shared" si="22"/>
        <v>1.7969623024574843E-2</v>
      </c>
      <c r="X54" s="5"/>
      <c r="Y54" s="81"/>
      <c r="Z54" s="102" t="s">
        <v>137</v>
      </c>
      <c r="AA54" s="83"/>
      <c r="AB54" s="99">
        <v>80.645655406015905</v>
      </c>
      <c r="AC54" s="88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 ht="18.75" x14ac:dyDescent="0.3">
      <c r="B55">
        <v>4042.9</v>
      </c>
      <c r="C55">
        <v>1.1609150000000002E-13</v>
      </c>
      <c r="D55">
        <v>9.705850000000001E-14</v>
      </c>
      <c r="E55">
        <v>1.9033000000000001E-14</v>
      </c>
      <c r="F55" s="1">
        <v>2.3668999999999999E-15</v>
      </c>
      <c r="G55" s="1">
        <v>1.0502999999999999E-18</v>
      </c>
      <c r="H55" s="1">
        <v>2.8640000000000001E-11</v>
      </c>
      <c r="I55" s="1">
        <v>1.0257E-10</v>
      </c>
      <c r="N55" s="7"/>
      <c r="O55" s="58">
        <f t="shared" si="15"/>
        <v>67.381666666666675</v>
      </c>
      <c r="P55" s="59">
        <f t="shared" si="16"/>
        <v>103.1164427475336</v>
      </c>
      <c r="Q55" s="59">
        <f t="shared" si="17"/>
        <v>22.489405563425692</v>
      </c>
      <c r="R55" s="59">
        <f t="shared" si="18"/>
        <v>80.535884492883696</v>
      </c>
      <c r="S55" s="5">
        <f t="shared" si="19"/>
        <v>0</v>
      </c>
      <c r="T55" s="59">
        <f t="shared" si="20"/>
        <v>9.1152691224217014E-2</v>
      </c>
      <c r="U55" s="60">
        <f t="shared" si="21"/>
        <v>7.6208365652831317E-2</v>
      </c>
      <c r="V55" s="60">
        <f t="shared" si="22"/>
        <v>1.4944325571385694E-2</v>
      </c>
      <c r="X55" s="5"/>
      <c r="Y55" s="81"/>
      <c r="Z55" s="102" t="s">
        <v>138</v>
      </c>
      <c r="AA55" s="83"/>
      <c r="AB55" s="99">
        <v>-9.5095325179724906E-3</v>
      </c>
      <c r="AC55" s="88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 ht="18.75" x14ac:dyDescent="0.3">
      <c r="B56">
        <v>4149.1000000000004</v>
      </c>
      <c r="C56">
        <v>9.6547299999999996E-14</v>
      </c>
      <c r="D56">
        <v>8.0718299999999999E-14</v>
      </c>
      <c r="E56">
        <v>1.5829000000000001E-14</v>
      </c>
      <c r="F56" s="1">
        <v>1.9684999999999999E-15</v>
      </c>
      <c r="G56" s="1">
        <v>8.7427000000000005E-19</v>
      </c>
      <c r="H56" s="1">
        <v>2.8644E-11</v>
      </c>
      <c r="I56" s="1">
        <v>1.0258E-10</v>
      </c>
      <c r="N56" s="7"/>
      <c r="O56" s="58">
        <f t="shared" si="15"/>
        <v>69.151666666666671</v>
      </c>
      <c r="P56" s="59">
        <f t="shared" si="16"/>
        <v>103.11177660032666</v>
      </c>
      <c r="Q56" s="59">
        <f t="shared" si="17"/>
        <v>22.49223346669779</v>
      </c>
      <c r="R56" s="59">
        <f t="shared" si="18"/>
        <v>80.543736151847838</v>
      </c>
      <c r="S56" s="5">
        <f t="shared" si="19"/>
        <v>0</v>
      </c>
      <c r="T56" s="59">
        <f t="shared" si="20"/>
        <v>7.5806981781024851E-2</v>
      </c>
      <c r="U56" s="60">
        <f t="shared" si="21"/>
        <v>6.3378372025890917E-2</v>
      </c>
      <c r="V56" s="60">
        <f t="shared" si="22"/>
        <v>1.2428609755133933E-2</v>
      </c>
      <c r="X56" s="5"/>
      <c r="Y56" s="81"/>
      <c r="Z56" s="102" t="s">
        <v>139</v>
      </c>
      <c r="AA56" s="83"/>
      <c r="AB56" s="99">
        <v>8.9828250520355901</v>
      </c>
      <c r="AC56" s="88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 ht="18.75" x14ac:dyDescent="0.3">
      <c r="B57">
        <v>4255.2</v>
      </c>
      <c r="C57">
        <v>8.02929E-14</v>
      </c>
      <c r="D57">
        <v>6.7128899999999996E-14</v>
      </c>
      <c r="E57">
        <v>1.3164E-14</v>
      </c>
      <c r="F57" s="1">
        <v>1.6370999999999999E-15</v>
      </c>
      <c r="G57" s="1">
        <v>7.2795000000000004E-19</v>
      </c>
      <c r="H57" s="1">
        <v>2.8648000000000002E-11</v>
      </c>
      <c r="I57" s="1">
        <v>1.026E-10</v>
      </c>
      <c r="N57" s="7"/>
      <c r="O57" s="58">
        <f t="shared" si="15"/>
        <v>70.92</v>
      </c>
      <c r="P57" s="59">
        <f t="shared" si="16"/>
        <v>103.11759796490385</v>
      </c>
      <c r="Q57" s="59">
        <f t="shared" si="17"/>
        <v>22.495113977010995</v>
      </c>
      <c r="R57" s="59">
        <f t="shared" si="18"/>
        <v>80.559439631318966</v>
      </c>
      <c r="S57" s="5">
        <f t="shared" si="19"/>
        <v>0</v>
      </c>
      <c r="T57" s="59">
        <f t="shared" si="20"/>
        <v>6.3044356573882951E-2</v>
      </c>
      <c r="U57" s="60">
        <f t="shared" si="21"/>
        <v>5.2708250767035836E-2</v>
      </c>
      <c r="V57" s="60">
        <f t="shared" si="22"/>
        <v>1.0336105806847122E-2</v>
      </c>
      <c r="X57" s="5"/>
      <c r="Y57" s="81"/>
      <c r="Z57" s="102" t="s">
        <v>140</v>
      </c>
      <c r="AA57" s="83"/>
      <c r="AB57" s="99">
        <v>0.10318694592388</v>
      </c>
      <c r="AC57" s="88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 ht="18.75" x14ac:dyDescent="0.3">
      <c r="B58">
        <v>4320</v>
      </c>
      <c r="C58">
        <v>7.1721299999999989E-14</v>
      </c>
      <c r="D58">
        <v>5.9962299999999994E-14</v>
      </c>
      <c r="E58">
        <v>1.1759E-14</v>
      </c>
      <c r="F58" s="1">
        <v>1.4622999999999999E-15</v>
      </c>
      <c r="G58" s="1">
        <v>6.5169999999999997E-19</v>
      </c>
      <c r="H58" s="1">
        <v>2.8649E-11</v>
      </c>
      <c r="I58" s="1">
        <v>1.026E-10</v>
      </c>
      <c r="N58" s="7"/>
      <c r="O58" s="51">
        <f t="shared" si="15"/>
        <v>72</v>
      </c>
      <c r="P58" s="52">
        <f t="shared" si="16"/>
        <v>103.11151558886689</v>
      </c>
      <c r="Q58" s="52">
        <f t="shared" si="17"/>
        <v>22.495761907314233</v>
      </c>
      <c r="R58" s="52">
        <f t="shared" si="18"/>
        <v>80.559439571449005</v>
      </c>
      <c r="S58" s="53">
        <f t="shared" si="19"/>
        <v>0</v>
      </c>
      <c r="T58" s="52">
        <f t="shared" si="20"/>
        <v>5.6314110103663342E-2</v>
      </c>
      <c r="U58" s="54">
        <f t="shared" si="21"/>
        <v>4.7081181800509651E-2</v>
      </c>
      <c r="V58" s="54">
        <f t="shared" si="22"/>
        <v>9.2329283031536997E-3</v>
      </c>
      <c r="X58" s="5"/>
      <c r="Y58" s="81"/>
      <c r="Z58" s="103" t="s">
        <v>151</v>
      </c>
      <c r="AA58" s="86"/>
      <c r="AB58" s="97">
        <v>-6.8889508324167803</v>
      </c>
      <c r="AC58" s="88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 ht="18.75" x14ac:dyDescent="0.3">
      <c r="N59" s="7"/>
      <c r="O59" s="1"/>
      <c r="P59" s="6"/>
      <c r="Q59" s="6"/>
      <c r="R59" s="6"/>
      <c r="S59" s="5"/>
      <c r="T59" s="6"/>
      <c r="U59" s="1"/>
      <c r="V59" s="1"/>
      <c r="X59" s="5"/>
      <c r="Y59" s="81"/>
      <c r="Z59" s="103" t="s">
        <v>152</v>
      </c>
      <c r="AA59" s="86"/>
      <c r="AB59" s="97">
        <v>-8.9828250520355901</v>
      </c>
      <c r="AC59" s="88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 ht="18.75" x14ac:dyDescent="0.3">
      <c r="N60" s="7"/>
      <c r="O60" s="1"/>
      <c r="P60" s="6"/>
      <c r="Q60" s="6"/>
      <c r="R60" s="6"/>
      <c r="S60" s="5"/>
      <c r="T60" s="6"/>
      <c r="U60" s="1"/>
      <c r="V60" s="1"/>
      <c r="X60" s="5"/>
      <c r="Y60" s="81"/>
      <c r="Z60" s="103" t="s">
        <v>153</v>
      </c>
      <c r="AA60" s="86"/>
      <c r="AB60" s="97">
        <v>8.40071320836552</v>
      </c>
      <c r="AC60" s="88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 ht="18.75" x14ac:dyDescent="0.3">
      <c r="N61" s="7"/>
      <c r="O61" s="1"/>
      <c r="P61" s="6"/>
      <c r="Q61" s="6"/>
      <c r="R61" s="6"/>
      <c r="S61" s="5"/>
      <c r="T61" s="6"/>
      <c r="U61" s="1"/>
      <c r="V61" s="1"/>
      <c r="X61" s="5"/>
      <c r="Y61" s="84"/>
      <c r="Z61" s="104" t="s">
        <v>154</v>
      </c>
      <c r="AA61" s="87"/>
      <c r="AB61" s="100">
        <v>-0.10318694592388</v>
      </c>
      <c r="AC61" s="88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 x14ac:dyDescent="0.3">
      <c r="N62" s="7"/>
      <c r="O62" s="1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93"/>
      <c r="AC62" s="88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 x14ac:dyDescent="0.3">
      <c r="N63" s="7"/>
      <c r="O63" s="1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93"/>
      <c r="AC63" s="88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 x14ac:dyDescent="0.3">
      <c r="N64" s="7"/>
      <c r="O64" s="1"/>
      <c r="P64" s="6"/>
      <c r="Q64" s="6"/>
      <c r="R64" s="6"/>
      <c r="S64" s="5"/>
      <c r="T64" s="6"/>
      <c r="U64" s="1"/>
      <c r="V64" s="1"/>
      <c r="X64" s="5"/>
      <c r="Y64" s="5"/>
      <c r="Z64" s="67" t="s">
        <v>148</v>
      </c>
      <c r="AA64" s="95">
        <v>8973.7743828574494</v>
      </c>
      <c r="AB64" s="93"/>
      <c r="AC64" s="88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N65" s="7"/>
      <c r="O65" s="1"/>
      <c r="P65" s="6"/>
      <c r="Q65" s="6"/>
      <c r="R65" s="6"/>
      <c r="S65" s="5"/>
      <c r="T65" s="6"/>
      <c r="U65" s="1"/>
      <c r="V65" s="1"/>
      <c r="X65" s="5"/>
      <c r="Y65" s="5"/>
      <c r="Z65" s="67" t="s">
        <v>149</v>
      </c>
      <c r="AA65" s="95">
        <v>9220.8337587640999</v>
      </c>
      <c r="AB65" s="93"/>
      <c r="AC65" s="88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8.75" x14ac:dyDescent="0.3">
      <c r="N66" s="7"/>
      <c r="O66" s="1"/>
      <c r="P66" s="6"/>
      <c r="Q66" s="6"/>
      <c r="R66" s="6"/>
      <c r="S66" s="5"/>
      <c r="T66" s="6"/>
      <c r="U66" s="1"/>
      <c r="V66" s="1"/>
      <c r="X66" s="5"/>
      <c r="Y66" s="5"/>
      <c r="Z66" s="66" t="s">
        <v>150</v>
      </c>
      <c r="AA66" s="96">
        <f>AA65/AA64*100</f>
        <v>102.75312667074188</v>
      </c>
      <c r="AB66" s="93"/>
      <c r="AC66" s="88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N67" s="7"/>
      <c r="O67" s="1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93"/>
      <c r="AC67" s="88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N68" s="7"/>
      <c r="O68" s="1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N69" s="7"/>
      <c r="O69" s="1"/>
      <c r="P69" s="6"/>
      <c r="Q69" s="6"/>
      <c r="R69" s="6"/>
      <c r="S69" s="5"/>
      <c r="T69" s="6"/>
      <c r="U69" s="1"/>
      <c r="V69" s="1"/>
      <c r="W69" s="88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7.25" thickBot="1" x14ac:dyDescent="0.35">
      <c r="N70" s="7"/>
      <c r="O70" s="1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/>
      <c r="B71" s="8" t="s">
        <v>18</v>
      </c>
      <c r="C71" s="8" t="s">
        <v>18</v>
      </c>
      <c r="D71" s="8" t="s">
        <v>18</v>
      </c>
      <c r="E71" s="1" t="s">
        <v>74</v>
      </c>
      <c r="F71" s="40"/>
      <c r="G71" s="41" t="s">
        <v>75</v>
      </c>
      <c r="H71" s="41" t="s">
        <v>75</v>
      </c>
      <c r="I71" s="42" t="s">
        <v>75</v>
      </c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/>
      <c r="B72" s="8" t="s">
        <v>73</v>
      </c>
      <c r="C72" s="8" t="s">
        <v>71</v>
      </c>
      <c r="D72" s="8" t="s">
        <v>72</v>
      </c>
      <c r="E72" s="1" t="s">
        <v>71</v>
      </c>
      <c r="F72" s="43"/>
      <c r="G72" s="8" t="s">
        <v>73</v>
      </c>
      <c r="H72" s="8" t="s">
        <v>71</v>
      </c>
      <c r="I72" s="44" t="s">
        <v>72</v>
      </c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 t="s">
        <v>0</v>
      </c>
      <c r="B73" s="8" t="s">
        <v>157</v>
      </c>
      <c r="C73" s="8" t="s">
        <v>83</v>
      </c>
      <c r="D73" s="8" t="s">
        <v>83</v>
      </c>
      <c r="E73" s="1" t="s">
        <v>83</v>
      </c>
      <c r="F73" s="45" t="str">
        <f>A73</f>
        <v>Time (min)</v>
      </c>
      <c r="G73" s="8" t="str">
        <f>B73</f>
        <v>MW=5.8, sigma_ve=0.1, sigma_le=0, p_ve=1E-8, p_le=7.2E-8, D_gel=9.4E-11, kf_m=1.45, kr_m=6.82, k_decay=0, cA+cMA (mol)</v>
      </c>
      <c r="H73" s="8" t="str">
        <f>C73</f>
        <v>MW=5.8, sigma_ve=0.1, sigma_le=0, p_ve=1E-8, p_le=7.2E-8, D_gel=9.4E-11, kf_m=1.45, kr_m=6.82, k_decay=0, Concentration (mol)</v>
      </c>
      <c r="I73" s="44" t="str">
        <f>D73</f>
        <v>MW=5.8, sigma_ve=0.1, sigma_le=0, p_ve=1E-8, p_le=7.2E-8, D_gel=9.4E-11, kf_m=1.45, kr_m=6.82, k_decay=0, Concentration (mol)</v>
      </c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0</v>
      </c>
      <c r="B74" s="8">
        <v>1.2102999999999999E-10</v>
      </c>
      <c r="C74" s="8">
        <v>1.2101E-10</v>
      </c>
      <c r="D74" s="8">
        <v>1.9887000000000001E-14</v>
      </c>
      <c r="E74" s="1">
        <v>6.0723000000000003E-12</v>
      </c>
      <c r="F74" s="45">
        <f t="shared" ref="F74:F116" si="23">A74</f>
        <v>0</v>
      </c>
      <c r="G74" s="8">
        <f>H74+I74</f>
        <v>1.2710218700000001E-10</v>
      </c>
      <c r="H74" s="1">
        <f t="shared" ref="H74:H116" si="24">C74+E74</f>
        <v>1.270823E-10</v>
      </c>
      <c r="I74" s="46">
        <f t="shared" ref="I74:I116" si="25">D74</f>
        <v>1.9887000000000001E-14</v>
      </c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2.2759999999999998</v>
      </c>
      <c r="B75" s="8">
        <v>1.1887E-10</v>
      </c>
      <c r="C75" s="8">
        <v>9.8029999999999996E-11</v>
      </c>
      <c r="D75" s="8">
        <v>2.0842E-11</v>
      </c>
      <c r="E75" s="1">
        <v>6.5312999999999998E-12</v>
      </c>
      <c r="F75" s="45">
        <f t="shared" si="23"/>
        <v>2.2759999999999998</v>
      </c>
      <c r="G75" s="8">
        <f t="shared" ref="G75:G114" si="26">H75+I75</f>
        <v>1.2540329999999999E-10</v>
      </c>
      <c r="H75" s="1">
        <f t="shared" si="24"/>
        <v>1.045613E-10</v>
      </c>
      <c r="I75" s="46">
        <f t="shared" si="25"/>
        <v>2.0842E-11</v>
      </c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4.3239999999999998</v>
      </c>
      <c r="B76" s="8">
        <v>1.1766999999999999E-10</v>
      </c>
      <c r="C76" s="8">
        <v>9.7041000000000004E-11</v>
      </c>
      <c r="D76" s="8">
        <v>2.0631999999999999E-11</v>
      </c>
      <c r="E76" s="1">
        <v>7.2033000000000002E-12</v>
      </c>
      <c r="F76" s="45">
        <f t="shared" si="23"/>
        <v>4.3239999999999998</v>
      </c>
      <c r="G76" s="8">
        <f t="shared" si="26"/>
        <v>1.248763E-10</v>
      </c>
      <c r="H76" s="1">
        <f t="shared" si="24"/>
        <v>1.0424430000000001E-10</v>
      </c>
      <c r="I76" s="46">
        <f t="shared" si="25"/>
        <v>2.0631999999999999E-11</v>
      </c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7.3959999999999999</v>
      </c>
      <c r="B77" s="8">
        <v>1.1643000000000001E-10</v>
      </c>
      <c r="C77" s="8">
        <v>9.6019999999999995E-11</v>
      </c>
      <c r="D77" s="8">
        <v>2.0415000000000001E-11</v>
      </c>
      <c r="E77" s="1">
        <v>7.7141E-12</v>
      </c>
      <c r="F77" s="45">
        <f t="shared" si="23"/>
        <v>7.3959999999999999</v>
      </c>
      <c r="G77" s="8">
        <f t="shared" si="26"/>
        <v>1.241491E-10</v>
      </c>
      <c r="H77" s="1">
        <f t="shared" si="24"/>
        <v>1.037341E-10</v>
      </c>
      <c r="I77" s="46">
        <f t="shared" si="25"/>
        <v>2.0415000000000001E-11</v>
      </c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9.2392000000000003</v>
      </c>
      <c r="B78" s="8">
        <v>1.1589E-10</v>
      </c>
      <c r="C78" s="8">
        <v>9.5566999999999999E-11</v>
      </c>
      <c r="D78" s="8">
        <v>2.0318999999999999E-11</v>
      </c>
      <c r="E78" s="1">
        <v>7.8441000000000005E-12</v>
      </c>
      <c r="F78" s="45">
        <f t="shared" si="23"/>
        <v>9.2392000000000003</v>
      </c>
      <c r="G78" s="8">
        <f t="shared" si="26"/>
        <v>1.237301E-10</v>
      </c>
      <c r="H78" s="1">
        <f t="shared" si="24"/>
        <v>1.034111E-10</v>
      </c>
      <c r="I78" s="46">
        <f t="shared" si="25"/>
        <v>2.0318999999999999E-11</v>
      </c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11.082000000000001</v>
      </c>
      <c r="B79" s="8">
        <v>1.1542E-10</v>
      </c>
      <c r="C79" s="8">
        <v>9.5180000000000001E-11</v>
      </c>
      <c r="D79" s="8">
        <v>2.0236000000000001E-11</v>
      </c>
      <c r="E79" s="1">
        <v>7.9035000000000008E-12</v>
      </c>
      <c r="F79" s="45">
        <f t="shared" si="23"/>
        <v>11.082000000000001</v>
      </c>
      <c r="G79" s="8">
        <f t="shared" si="26"/>
        <v>1.2331949999999999E-10</v>
      </c>
      <c r="H79" s="1">
        <f t="shared" si="24"/>
        <v>1.030835E-10</v>
      </c>
      <c r="I79" s="46">
        <f t="shared" si="25"/>
        <v>2.0236000000000001E-11</v>
      </c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12.926</v>
      </c>
      <c r="B80" s="8">
        <v>1.1499E-10</v>
      </c>
      <c r="C80" s="8">
        <v>9.4832000000000001E-11</v>
      </c>
      <c r="D80" s="8">
        <v>2.0161999999999999E-11</v>
      </c>
      <c r="E80" s="1">
        <v>7.9236000000000007E-12</v>
      </c>
      <c r="F80" s="45">
        <f t="shared" si="23"/>
        <v>12.926</v>
      </c>
      <c r="G80" s="8">
        <f t="shared" si="26"/>
        <v>1.2291760000000001E-10</v>
      </c>
      <c r="H80" s="1">
        <f t="shared" si="24"/>
        <v>1.0275560000000001E-10</v>
      </c>
      <c r="I80" s="46">
        <f t="shared" si="25"/>
        <v>2.0161999999999999E-11</v>
      </c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14.769</v>
      </c>
      <c r="B81" s="8">
        <v>1.146E-10</v>
      </c>
      <c r="C81" s="8">
        <v>9.4505000000000001E-11</v>
      </c>
      <c r="D81" s="8">
        <v>2.0092999999999998E-11</v>
      </c>
      <c r="E81" s="1">
        <v>7.9226000000000002E-12</v>
      </c>
      <c r="F81" s="45">
        <f t="shared" si="23"/>
        <v>14.769</v>
      </c>
      <c r="G81" s="8">
        <f t="shared" si="26"/>
        <v>1.2252059999999999E-10</v>
      </c>
      <c r="H81" s="1">
        <f t="shared" si="24"/>
        <v>1.024276E-10</v>
      </c>
      <c r="I81" s="46">
        <f t="shared" si="25"/>
        <v>2.0092999999999998E-11</v>
      </c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16.611999999999998</v>
      </c>
      <c r="B82" s="8">
        <v>1.1421999999999999E-10</v>
      </c>
      <c r="C82" s="8">
        <v>9.4190999999999996E-11</v>
      </c>
      <c r="D82" s="8">
        <v>2.0025999999999999E-11</v>
      </c>
      <c r="E82" s="1">
        <v>7.9104999999999995E-12</v>
      </c>
      <c r="F82" s="45">
        <f t="shared" si="23"/>
        <v>16.611999999999998</v>
      </c>
      <c r="G82" s="8">
        <f t="shared" si="26"/>
        <v>1.221275E-10</v>
      </c>
      <c r="H82" s="1">
        <f t="shared" si="24"/>
        <v>1.021015E-10</v>
      </c>
      <c r="I82" s="46">
        <f t="shared" si="25"/>
        <v>2.0025999999999999E-11</v>
      </c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20.297999999999998</v>
      </c>
      <c r="B83" s="8">
        <v>1.1348000000000001E-10</v>
      </c>
      <c r="C83" s="8">
        <v>9.3580999999999997E-11</v>
      </c>
      <c r="D83" s="8">
        <v>1.9895999999999998E-11</v>
      </c>
      <c r="E83" s="1">
        <v>7.8740999999999993E-12</v>
      </c>
      <c r="F83" s="45">
        <f t="shared" si="23"/>
        <v>20.297999999999998</v>
      </c>
      <c r="G83" s="8">
        <f t="shared" si="26"/>
        <v>1.2135109999999999E-10</v>
      </c>
      <c r="H83" s="1">
        <f t="shared" si="24"/>
        <v>1.0145509999999999E-10</v>
      </c>
      <c r="I83" s="46">
        <f t="shared" si="25"/>
        <v>1.9895999999999998E-11</v>
      </c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27.670999999999999</v>
      </c>
      <c r="B84" s="8">
        <v>1.1206E-10</v>
      </c>
      <c r="C84" s="8">
        <v>9.2408000000000003E-11</v>
      </c>
      <c r="D84" s="8">
        <v>1.9647000000000001E-11</v>
      </c>
      <c r="E84" s="1">
        <v>7.7786000000000008E-12</v>
      </c>
      <c r="F84" s="45">
        <f t="shared" si="23"/>
        <v>27.670999999999999</v>
      </c>
      <c r="G84" s="8">
        <f t="shared" si="26"/>
        <v>1.198336E-10</v>
      </c>
      <c r="H84" s="1">
        <f t="shared" si="24"/>
        <v>1.0018660000000001E-10</v>
      </c>
      <c r="I84" s="46">
        <f t="shared" si="25"/>
        <v>1.9647000000000001E-11</v>
      </c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35.043999999999997</v>
      </c>
      <c r="B85" s="8">
        <v>1.1065E-10</v>
      </c>
      <c r="C85" s="8">
        <v>9.1252999999999995E-11</v>
      </c>
      <c r="D85" s="8">
        <v>1.9401000000000001E-11</v>
      </c>
      <c r="E85" s="1">
        <v>7.6828000000000003E-12</v>
      </c>
      <c r="F85" s="45">
        <f t="shared" si="23"/>
        <v>35.043999999999997</v>
      </c>
      <c r="G85" s="8">
        <f t="shared" si="26"/>
        <v>1.1833679999999999E-10</v>
      </c>
      <c r="H85" s="1">
        <f t="shared" si="24"/>
        <v>9.8935800000000002E-11</v>
      </c>
      <c r="I85" s="46">
        <f t="shared" si="25"/>
        <v>1.9401000000000001E-11</v>
      </c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49.79</v>
      </c>
      <c r="B86" s="8">
        <v>1.0792E-10</v>
      </c>
      <c r="C86" s="8">
        <v>8.9000999999999999E-11</v>
      </c>
      <c r="D86" s="8">
        <v>1.8923000000000001E-11</v>
      </c>
      <c r="E86" s="1">
        <v>7.4941999999999993E-12</v>
      </c>
      <c r="F86" s="45">
        <f t="shared" si="23"/>
        <v>49.79</v>
      </c>
      <c r="G86" s="8">
        <f t="shared" si="26"/>
        <v>1.154182E-10</v>
      </c>
      <c r="H86" s="1">
        <f t="shared" si="24"/>
        <v>9.6495199999999998E-11</v>
      </c>
      <c r="I86" s="46">
        <f t="shared" si="25"/>
        <v>1.8923000000000001E-11</v>
      </c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79.281000000000006</v>
      </c>
      <c r="B87" s="8">
        <v>1.0272E-10</v>
      </c>
      <c r="C87" s="8">
        <v>8.4714000000000006E-11</v>
      </c>
      <c r="D87" s="8">
        <v>1.8011E-11</v>
      </c>
      <c r="E87" s="1">
        <v>7.1336999999999998E-12</v>
      </c>
      <c r="F87" s="45">
        <f t="shared" si="23"/>
        <v>79.281000000000006</v>
      </c>
      <c r="G87" s="8">
        <f t="shared" si="26"/>
        <v>1.098587E-10</v>
      </c>
      <c r="H87" s="1">
        <f t="shared" si="24"/>
        <v>9.1847700000000002E-11</v>
      </c>
      <c r="I87" s="46">
        <f t="shared" si="25"/>
        <v>1.8011E-11</v>
      </c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108.77</v>
      </c>
      <c r="B88" s="8">
        <v>9.7776999999999997E-11</v>
      </c>
      <c r="C88" s="8">
        <v>8.0632999999999997E-11</v>
      </c>
      <c r="D88" s="8">
        <v>1.7143000000000002E-11</v>
      </c>
      <c r="E88" s="1">
        <v>6.7901000000000003E-12</v>
      </c>
      <c r="F88" s="45">
        <f t="shared" si="23"/>
        <v>108.77</v>
      </c>
      <c r="G88" s="8">
        <f t="shared" si="26"/>
        <v>1.045661E-10</v>
      </c>
      <c r="H88" s="1">
        <f t="shared" si="24"/>
        <v>8.74231E-11</v>
      </c>
      <c r="I88" s="46">
        <f t="shared" si="25"/>
        <v>1.7143000000000002E-11</v>
      </c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167.75</v>
      </c>
      <c r="B89" s="8">
        <v>8.8784999999999994E-11</v>
      </c>
      <c r="C89" s="8">
        <v>7.3218000000000002E-11</v>
      </c>
      <c r="D89" s="8">
        <v>1.5567000000000001E-11</v>
      </c>
      <c r="E89" s="1">
        <v>6.1658000000000002E-12</v>
      </c>
      <c r="F89" s="45">
        <f t="shared" si="23"/>
        <v>167.75</v>
      </c>
      <c r="G89" s="8">
        <f t="shared" si="26"/>
        <v>9.4950800000000002E-11</v>
      </c>
      <c r="H89" s="1">
        <f t="shared" si="24"/>
        <v>7.9383799999999998E-11</v>
      </c>
      <c r="I89" s="46">
        <f t="shared" si="25"/>
        <v>1.5567000000000001E-11</v>
      </c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220.84</v>
      </c>
      <c r="B90" s="8">
        <v>8.1369999999999999E-11</v>
      </c>
      <c r="C90" s="8">
        <v>6.7103000000000006E-11</v>
      </c>
      <c r="D90" s="8">
        <v>1.4267E-11</v>
      </c>
      <c r="E90" s="1">
        <v>5.6508000000000001E-12</v>
      </c>
      <c r="F90" s="45">
        <f t="shared" si="23"/>
        <v>220.84</v>
      </c>
      <c r="G90" s="8">
        <f t="shared" si="26"/>
        <v>8.7020799999999997E-11</v>
      </c>
      <c r="H90" s="1">
        <f t="shared" si="24"/>
        <v>7.2753800000000004E-11</v>
      </c>
      <c r="I90" s="46">
        <f t="shared" si="25"/>
        <v>1.4267E-11</v>
      </c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273.92</v>
      </c>
      <c r="B91" s="8">
        <v>7.4574000000000003E-11</v>
      </c>
      <c r="C91" s="8">
        <v>6.1498999999999999E-11</v>
      </c>
      <c r="D91" s="8">
        <v>1.3075000000000001E-11</v>
      </c>
      <c r="E91" s="1">
        <v>5.1787999999999997E-12</v>
      </c>
      <c r="F91" s="45">
        <f t="shared" si="23"/>
        <v>273.92</v>
      </c>
      <c r="G91" s="8">
        <f t="shared" si="26"/>
        <v>7.9752799999999997E-11</v>
      </c>
      <c r="H91" s="1">
        <f t="shared" si="24"/>
        <v>6.6677799999999993E-11</v>
      </c>
      <c r="I91" s="46">
        <f t="shared" si="25"/>
        <v>1.3075000000000001E-11</v>
      </c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327.01</v>
      </c>
      <c r="B92" s="8">
        <v>6.8346000000000006E-11</v>
      </c>
      <c r="C92" s="8">
        <v>5.6361999999999998E-11</v>
      </c>
      <c r="D92" s="8">
        <v>1.1983E-11</v>
      </c>
      <c r="E92" s="1">
        <v>4.7462999999999997E-12</v>
      </c>
      <c r="F92" s="45">
        <f t="shared" si="23"/>
        <v>327.01</v>
      </c>
      <c r="G92" s="8">
        <f t="shared" si="26"/>
        <v>7.3091300000000004E-11</v>
      </c>
      <c r="H92" s="1">
        <f t="shared" si="24"/>
        <v>6.1108299999999997E-11</v>
      </c>
      <c r="I92" s="46">
        <f t="shared" si="25"/>
        <v>1.1983E-11</v>
      </c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433.18</v>
      </c>
      <c r="B93" s="8">
        <v>5.7081E-11</v>
      </c>
      <c r="C93" s="8">
        <v>4.7072999999999999E-11</v>
      </c>
      <c r="D93" s="8">
        <v>1.0008E-11</v>
      </c>
      <c r="E93" s="1">
        <v>3.9639999999999997E-12</v>
      </c>
      <c r="F93" s="45">
        <f t="shared" si="23"/>
        <v>433.18</v>
      </c>
      <c r="G93" s="8">
        <f t="shared" si="26"/>
        <v>6.1044999999999994E-11</v>
      </c>
      <c r="H93" s="1">
        <f t="shared" si="24"/>
        <v>5.1036999999999999E-11</v>
      </c>
      <c r="I93" s="46">
        <f t="shared" si="25"/>
        <v>1.0008E-11</v>
      </c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539.34</v>
      </c>
      <c r="B94" s="8">
        <v>4.7551999999999998E-11</v>
      </c>
      <c r="C94" s="8">
        <v>3.9214000000000002E-11</v>
      </c>
      <c r="D94" s="8">
        <v>8.3374000000000004E-12</v>
      </c>
      <c r="E94" s="1">
        <v>3.3021999999999998E-12</v>
      </c>
      <c r="F94" s="45">
        <f t="shared" si="23"/>
        <v>539.34</v>
      </c>
      <c r="G94" s="8">
        <f t="shared" si="26"/>
        <v>5.0853600000000001E-11</v>
      </c>
      <c r="H94" s="1">
        <f t="shared" si="24"/>
        <v>4.2516200000000003E-11</v>
      </c>
      <c r="I94" s="46">
        <f t="shared" si="25"/>
        <v>8.3374000000000004E-12</v>
      </c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645.51</v>
      </c>
      <c r="B95" s="8">
        <v>3.9574000000000001E-11</v>
      </c>
      <c r="C95" s="8">
        <v>3.2634999999999999E-11</v>
      </c>
      <c r="D95" s="8">
        <v>6.9386000000000003E-12</v>
      </c>
      <c r="E95" s="1">
        <v>2.7481999999999999E-12</v>
      </c>
      <c r="F95" s="45">
        <f t="shared" si="23"/>
        <v>645.51</v>
      </c>
      <c r="G95" s="8">
        <f t="shared" si="26"/>
        <v>4.2321799999999994E-11</v>
      </c>
      <c r="H95" s="1">
        <f t="shared" si="24"/>
        <v>3.5383199999999997E-11</v>
      </c>
      <c r="I95" s="46">
        <f t="shared" si="25"/>
        <v>6.9386000000000003E-12</v>
      </c>
      <c r="J95" s="8"/>
      <c r="K95" s="1"/>
      <c r="L95" s="1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751.68</v>
      </c>
      <c r="B96" s="8">
        <v>3.2921000000000003E-11</v>
      </c>
      <c r="C96" s="8">
        <v>2.7148999999999999E-11</v>
      </c>
      <c r="D96" s="8">
        <v>5.7720999999999996E-12</v>
      </c>
      <c r="E96" s="1">
        <v>2.2862000000000001E-12</v>
      </c>
      <c r="F96" s="45">
        <f t="shared" si="23"/>
        <v>751.68</v>
      </c>
      <c r="G96" s="8">
        <f t="shared" si="26"/>
        <v>3.5207299999999999E-11</v>
      </c>
      <c r="H96" s="1">
        <f t="shared" si="24"/>
        <v>2.9435199999999999E-11</v>
      </c>
      <c r="I96" s="46">
        <f t="shared" si="25"/>
        <v>5.7720999999999996E-12</v>
      </c>
      <c r="J96" s="8"/>
      <c r="K96" s="1"/>
      <c r="L96" s="1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857.85</v>
      </c>
      <c r="B97" s="8">
        <v>2.7382000000000001E-11</v>
      </c>
      <c r="C97" s="8">
        <v>2.2581E-11</v>
      </c>
      <c r="D97" s="8">
        <v>4.8008999999999999E-12</v>
      </c>
      <c r="E97" s="1">
        <v>1.9014999999999999E-12</v>
      </c>
      <c r="F97" s="45">
        <f t="shared" si="23"/>
        <v>857.85</v>
      </c>
      <c r="G97" s="8">
        <f t="shared" si="26"/>
        <v>2.9283399999999999E-11</v>
      </c>
      <c r="H97" s="1">
        <f t="shared" si="24"/>
        <v>2.4482500000000001E-11</v>
      </c>
      <c r="I97" s="46">
        <f t="shared" si="25"/>
        <v>4.8008999999999999E-12</v>
      </c>
      <c r="J97" s="8"/>
      <c r="K97" s="1"/>
      <c r="L97" s="1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964.02</v>
      </c>
      <c r="B98" s="8">
        <v>2.2772999999999999E-11</v>
      </c>
      <c r="C98" s="8">
        <v>1.8779999999999999E-11</v>
      </c>
      <c r="D98" s="8">
        <v>3.9927999999999997E-12</v>
      </c>
      <c r="E98" s="1">
        <v>1.5815000000000001E-12</v>
      </c>
      <c r="F98" s="45">
        <f t="shared" si="23"/>
        <v>964.02</v>
      </c>
      <c r="G98" s="8">
        <f t="shared" si="26"/>
        <v>2.4354299999999999E-11</v>
      </c>
      <c r="H98" s="1">
        <f t="shared" si="24"/>
        <v>2.0361499999999998E-11</v>
      </c>
      <c r="I98" s="46">
        <f t="shared" si="25"/>
        <v>3.9927999999999997E-12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1070.2</v>
      </c>
      <c r="B99" s="8">
        <v>1.8938999999999999E-11</v>
      </c>
      <c r="C99" s="8">
        <v>1.5619000000000001E-11</v>
      </c>
      <c r="D99" s="8">
        <v>3.3207000000000002E-12</v>
      </c>
      <c r="E99" s="1">
        <v>1.3152000000000001E-12</v>
      </c>
      <c r="F99" s="45">
        <f t="shared" si="23"/>
        <v>1070.2</v>
      </c>
      <c r="G99" s="8">
        <f t="shared" si="26"/>
        <v>2.0254900000000002E-11</v>
      </c>
      <c r="H99" s="1">
        <f t="shared" si="24"/>
        <v>1.6934200000000001E-11</v>
      </c>
      <c r="I99" s="46">
        <f t="shared" si="25"/>
        <v>3.3207000000000002E-12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1176.4000000000001</v>
      </c>
      <c r="B100" s="8">
        <v>1.5750999999999999E-11</v>
      </c>
      <c r="C100" s="8">
        <v>1.2989E-11</v>
      </c>
      <c r="D100" s="8">
        <v>2.7616999999999998E-12</v>
      </c>
      <c r="E100" s="1">
        <v>1.0938E-12</v>
      </c>
      <c r="F100" s="45">
        <f t="shared" si="23"/>
        <v>1176.4000000000001</v>
      </c>
      <c r="G100" s="8">
        <f t="shared" si="26"/>
        <v>1.68445E-11</v>
      </c>
      <c r="H100" s="1">
        <f t="shared" si="24"/>
        <v>1.4082799999999999E-11</v>
      </c>
      <c r="I100" s="46">
        <f t="shared" si="25"/>
        <v>2.7616999999999998E-12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1282.5</v>
      </c>
      <c r="B101" s="8">
        <v>1.3099E-11</v>
      </c>
      <c r="C101" s="8">
        <v>1.0803000000000001E-11</v>
      </c>
      <c r="D101" s="8">
        <v>2.2967000000000001E-12</v>
      </c>
      <c r="E101" s="1">
        <v>9.0968000000000002E-13</v>
      </c>
      <c r="F101" s="45">
        <f t="shared" si="23"/>
        <v>1282.5</v>
      </c>
      <c r="G101" s="8">
        <f t="shared" si="26"/>
        <v>1.4009379999999999E-11</v>
      </c>
      <c r="H101" s="1">
        <f t="shared" si="24"/>
        <v>1.171268E-11</v>
      </c>
      <c r="I101" s="46">
        <f t="shared" si="25"/>
        <v>2.2967000000000001E-12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1388.7</v>
      </c>
      <c r="B102" s="8">
        <v>1.0893999999999999E-11</v>
      </c>
      <c r="C102" s="8">
        <v>8.9839000000000001E-12</v>
      </c>
      <c r="D102" s="8">
        <v>1.9101000000000001E-12</v>
      </c>
      <c r="E102" s="1">
        <v>7.5653000000000001E-13</v>
      </c>
      <c r="F102" s="45">
        <f t="shared" si="23"/>
        <v>1388.7</v>
      </c>
      <c r="G102" s="8">
        <f t="shared" si="26"/>
        <v>1.1650529999999999E-11</v>
      </c>
      <c r="H102" s="1">
        <f t="shared" si="24"/>
        <v>9.7404299999999995E-12</v>
      </c>
      <c r="I102" s="46">
        <f t="shared" si="25"/>
        <v>1.9101000000000001E-12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1494.9</v>
      </c>
      <c r="B103" s="8">
        <v>9.0598999999999994E-12</v>
      </c>
      <c r="C103" s="8">
        <v>7.4713999999999998E-12</v>
      </c>
      <c r="D103" s="8">
        <v>1.5884999999999999E-12</v>
      </c>
      <c r="E103" s="1">
        <v>6.2916000000000002E-13</v>
      </c>
      <c r="F103" s="45">
        <f t="shared" si="23"/>
        <v>1494.9</v>
      </c>
      <c r="G103" s="8">
        <f t="shared" si="26"/>
        <v>9.6890599999999995E-12</v>
      </c>
      <c r="H103" s="1">
        <f t="shared" si="24"/>
        <v>8.10056E-12</v>
      </c>
      <c r="I103" s="46">
        <f t="shared" si="25"/>
        <v>1.5884999999999999E-12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1601</v>
      </c>
      <c r="B104" s="8">
        <v>7.5345999999999998E-12</v>
      </c>
      <c r="C104" s="8">
        <v>6.2136000000000001E-12</v>
      </c>
      <c r="D104" s="8">
        <v>1.3211000000000001E-12</v>
      </c>
      <c r="E104" s="1">
        <v>5.2324E-13</v>
      </c>
      <c r="F104" s="45">
        <f t="shared" si="23"/>
        <v>1601</v>
      </c>
      <c r="G104" s="8">
        <f t="shared" si="26"/>
        <v>8.0579399999999991E-12</v>
      </c>
      <c r="H104" s="1">
        <f t="shared" si="24"/>
        <v>6.7368399999999998E-12</v>
      </c>
      <c r="I104" s="46">
        <f t="shared" si="25"/>
        <v>1.3211000000000001E-12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3">
      <c r="A105" s="7">
        <v>1707.2</v>
      </c>
      <c r="B105" s="8">
        <v>6.2660999999999997E-12</v>
      </c>
      <c r="C105" s="8">
        <v>5.1675000000000003E-12</v>
      </c>
      <c r="D105" s="8">
        <v>1.0987E-12</v>
      </c>
      <c r="E105" s="1">
        <v>4.3515000000000002E-13</v>
      </c>
      <c r="F105" s="45">
        <f t="shared" si="23"/>
        <v>1707.2</v>
      </c>
      <c r="G105" s="8">
        <f t="shared" si="26"/>
        <v>6.7013499999999999E-12</v>
      </c>
      <c r="H105" s="1">
        <f t="shared" si="24"/>
        <v>5.6026500000000002E-12</v>
      </c>
      <c r="I105" s="46">
        <f t="shared" si="25"/>
        <v>1.0987E-12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3">
      <c r="A106" s="7">
        <v>1813.4</v>
      </c>
      <c r="B106" s="8">
        <v>5.2112000000000003E-12</v>
      </c>
      <c r="C106" s="8">
        <v>4.2975000000000002E-12</v>
      </c>
      <c r="D106" s="8">
        <v>9.1370000000000003E-13</v>
      </c>
      <c r="E106" s="1">
        <v>3.6188999999999999E-13</v>
      </c>
      <c r="F106" s="45">
        <f t="shared" si="23"/>
        <v>1813.4</v>
      </c>
      <c r="G106" s="8">
        <f t="shared" si="26"/>
        <v>5.57309E-12</v>
      </c>
      <c r="H106" s="1">
        <f t="shared" si="24"/>
        <v>4.65939E-12</v>
      </c>
      <c r="I106" s="46">
        <f t="shared" si="25"/>
        <v>9.1370000000000003E-13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x14ac:dyDescent="0.3">
      <c r="A107" s="7">
        <v>1919.5</v>
      </c>
      <c r="B107" s="8">
        <v>4.3339000000000003E-12</v>
      </c>
      <c r="C107" s="8">
        <v>3.5739999999999999E-12</v>
      </c>
      <c r="D107" s="8">
        <v>7.5986999999999997E-13</v>
      </c>
      <c r="E107" s="1">
        <v>3.0096999999999998E-13</v>
      </c>
      <c r="F107" s="45">
        <f t="shared" si="23"/>
        <v>1919.5</v>
      </c>
      <c r="G107" s="8">
        <f t="shared" si="26"/>
        <v>4.6348400000000001E-12</v>
      </c>
      <c r="H107" s="1">
        <f t="shared" si="24"/>
        <v>3.87497E-12</v>
      </c>
      <c r="I107" s="46">
        <f t="shared" si="25"/>
        <v>7.5986999999999997E-13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x14ac:dyDescent="0.3">
      <c r="A108" s="7">
        <v>2025.7</v>
      </c>
      <c r="B108" s="8">
        <v>3.6041999999999999E-12</v>
      </c>
      <c r="C108" s="8">
        <v>2.9723000000000002E-12</v>
      </c>
      <c r="D108" s="8">
        <v>6.3194000000000003E-13</v>
      </c>
      <c r="E108" s="1">
        <v>2.503E-13</v>
      </c>
      <c r="F108" s="45">
        <f t="shared" si="23"/>
        <v>2025.7</v>
      </c>
      <c r="G108" s="8">
        <f t="shared" si="26"/>
        <v>3.8545400000000003E-12</v>
      </c>
      <c r="H108" s="1">
        <f t="shared" si="24"/>
        <v>3.2226E-12</v>
      </c>
      <c r="I108" s="46">
        <f t="shared" si="25"/>
        <v>6.3194000000000003E-13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x14ac:dyDescent="0.3">
      <c r="A109" s="7">
        <v>2131.9</v>
      </c>
      <c r="B109" s="8">
        <v>2.9975000000000001E-12</v>
      </c>
      <c r="C109" s="8">
        <v>2.4719E-12</v>
      </c>
      <c r="D109" s="8">
        <v>5.2555000000000002E-13</v>
      </c>
      <c r="E109" s="1">
        <v>2.0815999999999999E-13</v>
      </c>
      <c r="F109" s="45">
        <f t="shared" si="23"/>
        <v>2131.9</v>
      </c>
      <c r="G109" s="8">
        <f t="shared" si="26"/>
        <v>3.2056099999999997E-12</v>
      </c>
      <c r="H109" s="1">
        <f t="shared" si="24"/>
        <v>2.6800599999999998E-12</v>
      </c>
      <c r="I109" s="46">
        <f t="shared" si="25"/>
        <v>5.2555000000000002E-13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x14ac:dyDescent="0.3">
      <c r="A110" s="7">
        <v>2238</v>
      </c>
      <c r="B110" s="8">
        <v>2.4928E-12</v>
      </c>
      <c r="C110" s="8">
        <v>2.0556999999999998E-12</v>
      </c>
      <c r="D110" s="8">
        <v>4.3707000000000002E-13</v>
      </c>
      <c r="E110" s="1">
        <v>1.7311000000000001E-13</v>
      </c>
      <c r="F110" s="45">
        <f t="shared" si="23"/>
        <v>2238</v>
      </c>
      <c r="G110" s="8">
        <f t="shared" si="26"/>
        <v>2.6658799999999995E-12</v>
      </c>
      <c r="H110" s="1">
        <f t="shared" si="24"/>
        <v>2.2288099999999997E-12</v>
      </c>
      <c r="I110" s="46">
        <f t="shared" si="25"/>
        <v>4.3707000000000002E-13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x14ac:dyDescent="0.3">
      <c r="A111" s="7">
        <v>2344.1999999999998</v>
      </c>
      <c r="B111" s="8">
        <v>2.0731000000000001E-12</v>
      </c>
      <c r="C111" s="8">
        <v>1.7097000000000001E-12</v>
      </c>
      <c r="D111" s="8">
        <v>3.6349E-13</v>
      </c>
      <c r="E111" s="1">
        <v>1.4396999999999999E-13</v>
      </c>
      <c r="F111" s="45">
        <f t="shared" si="23"/>
        <v>2344.1999999999998</v>
      </c>
      <c r="G111" s="8">
        <f t="shared" si="26"/>
        <v>2.2171600000000002E-12</v>
      </c>
      <c r="H111" s="1">
        <f t="shared" si="24"/>
        <v>1.8536700000000001E-12</v>
      </c>
      <c r="I111" s="46">
        <f t="shared" si="25"/>
        <v>3.6349E-13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x14ac:dyDescent="0.3">
      <c r="A112" s="7">
        <v>2450.4</v>
      </c>
      <c r="B112" s="8">
        <v>1.7241000000000001E-12</v>
      </c>
      <c r="C112" s="8">
        <v>1.4218000000000001E-12</v>
      </c>
      <c r="D112" s="8">
        <v>3.0229999999999998E-13</v>
      </c>
      <c r="E112" s="1">
        <v>1.1973000000000001E-13</v>
      </c>
      <c r="F112" s="45">
        <f t="shared" si="23"/>
        <v>2450.4</v>
      </c>
      <c r="G112" s="8">
        <f t="shared" si="26"/>
        <v>1.8438299999999998E-12</v>
      </c>
      <c r="H112" s="1">
        <f t="shared" si="24"/>
        <v>1.54153E-12</v>
      </c>
      <c r="I112" s="46">
        <f t="shared" si="25"/>
        <v>3.0229999999999998E-13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x14ac:dyDescent="0.3">
      <c r="A113" s="7">
        <v>2556.5</v>
      </c>
      <c r="B113" s="8">
        <v>1.4339E-12</v>
      </c>
      <c r="C113" s="8">
        <v>1.1825000000000001E-12</v>
      </c>
      <c r="D113" s="8">
        <v>2.5140000000000002E-13</v>
      </c>
      <c r="E113" s="1">
        <v>9.9573999999999998E-14</v>
      </c>
      <c r="F113" s="45">
        <f t="shared" si="23"/>
        <v>2556.5</v>
      </c>
      <c r="G113" s="8">
        <f t="shared" si="26"/>
        <v>1.5334740000000002E-12</v>
      </c>
      <c r="H113" s="1">
        <f t="shared" si="24"/>
        <v>1.2820740000000001E-12</v>
      </c>
      <c r="I113" s="46">
        <f t="shared" si="25"/>
        <v>2.5140000000000002E-13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x14ac:dyDescent="0.3">
      <c r="A114" s="7">
        <v>2662.7</v>
      </c>
      <c r="B114" s="8">
        <v>1.1925E-12</v>
      </c>
      <c r="C114" s="8">
        <v>9.8338E-13</v>
      </c>
      <c r="D114" s="8">
        <v>2.0908E-13</v>
      </c>
      <c r="E114" s="1">
        <v>8.2810000000000003E-14</v>
      </c>
      <c r="F114" s="45">
        <f t="shared" si="23"/>
        <v>2662.7</v>
      </c>
      <c r="G114" s="8">
        <f t="shared" si="26"/>
        <v>1.2752699999999999E-12</v>
      </c>
      <c r="H114" s="1">
        <f t="shared" si="24"/>
        <v>1.0661899999999999E-12</v>
      </c>
      <c r="I114" s="46">
        <f t="shared" si="25"/>
        <v>2.0908E-13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x14ac:dyDescent="0.3">
      <c r="A115" s="7">
        <v>2768.9</v>
      </c>
      <c r="B115" s="8">
        <v>9.916999999999999E-13</v>
      </c>
      <c r="C115" s="8">
        <v>8.1782000000000004E-13</v>
      </c>
      <c r="D115" s="8">
        <v>1.7388000000000001E-13</v>
      </c>
      <c r="E115" s="1">
        <v>6.8869000000000004E-14</v>
      </c>
      <c r="F115" s="45">
        <f t="shared" si="23"/>
        <v>2768.9</v>
      </c>
      <c r="G115" s="8">
        <f t="shared" ref="G115:G116" si="27">H115+I115</f>
        <v>1.060569E-12</v>
      </c>
      <c r="H115" s="1">
        <f t="shared" si="24"/>
        <v>8.8668900000000006E-13</v>
      </c>
      <c r="I115" s="46">
        <f t="shared" si="25"/>
        <v>1.7388000000000001E-13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7.25" thickBot="1" x14ac:dyDescent="0.35">
      <c r="A116" s="7">
        <v>2875</v>
      </c>
      <c r="B116" s="8">
        <v>8.2473999999999998E-13</v>
      </c>
      <c r="C116" s="8">
        <v>6.8013999999999997E-13</v>
      </c>
      <c r="D116" s="8">
        <v>1.4460000000000001E-13</v>
      </c>
      <c r="E116" s="1">
        <v>5.7274000000000004E-14</v>
      </c>
      <c r="F116" s="47">
        <f t="shared" si="23"/>
        <v>2875</v>
      </c>
      <c r="G116" s="48">
        <f t="shared" si="27"/>
        <v>8.8201399999999998E-13</v>
      </c>
      <c r="H116" s="49">
        <f t="shared" si="24"/>
        <v>7.3741399999999997E-13</v>
      </c>
      <c r="I116" s="50">
        <f t="shared" si="25"/>
        <v>1.4460000000000001E-13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7.25" thickBot="1" x14ac:dyDescent="0.35">
      <c r="A117">
        <v>2981.2</v>
      </c>
      <c r="B117" s="8">
        <v>6.8589000000000002E-13</v>
      </c>
      <c r="C117" s="8">
        <v>5.6562999999999998E-13</v>
      </c>
      <c r="D117" s="8">
        <v>1.2026000000000001E-13</v>
      </c>
      <c r="E117" s="8">
        <v>4.7632000000000001E-14</v>
      </c>
      <c r="F117" s="47">
        <f t="shared" ref="F117:F130" si="28">A117</f>
        <v>2981.2</v>
      </c>
      <c r="G117" s="48">
        <f t="shared" ref="G117:G130" si="29">H117+I117</f>
        <v>7.3352200000000003E-13</v>
      </c>
      <c r="H117" s="49">
        <f t="shared" ref="H117:H130" si="30">C117+E117</f>
        <v>6.13262E-13</v>
      </c>
      <c r="I117" s="50">
        <f t="shared" ref="I117:I130" si="31">D117</f>
        <v>1.2026000000000001E-13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7.25" thickBot="1" x14ac:dyDescent="0.35">
      <c r="A118">
        <v>3087.4</v>
      </c>
      <c r="B118" s="8">
        <v>5.7042000000000001E-13</v>
      </c>
      <c r="C118" s="8">
        <v>4.7041000000000001E-13</v>
      </c>
      <c r="D118" s="8">
        <v>1.0000999999999999E-13</v>
      </c>
      <c r="E118" s="8">
        <v>3.9612999999999997E-14</v>
      </c>
      <c r="F118" s="47">
        <f t="shared" si="28"/>
        <v>3087.4</v>
      </c>
      <c r="G118" s="48">
        <f t="shared" si="29"/>
        <v>6.1003299999999999E-13</v>
      </c>
      <c r="H118" s="49">
        <f t="shared" si="30"/>
        <v>5.10023E-13</v>
      </c>
      <c r="I118" s="50">
        <f t="shared" si="31"/>
        <v>1.0000999999999999E-13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7.25" thickBot="1" x14ac:dyDescent="0.35">
      <c r="A119">
        <v>3193.6</v>
      </c>
      <c r="B119" s="8">
        <v>4.7438999999999996E-13</v>
      </c>
      <c r="C119" s="8">
        <v>3.9121000000000001E-13</v>
      </c>
      <c r="D119" s="8">
        <v>8.3176000000000006E-14</v>
      </c>
      <c r="E119" s="8">
        <v>3.2944000000000002E-14</v>
      </c>
      <c r="F119" s="47">
        <f t="shared" si="28"/>
        <v>3193.6</v>
      </c>
      <c r="G119" s="48">
        <f t="shared" si="29"/>
        <v>5.0733000000000002E-13</v>
      </c>
      <c r="H119" s="49">
        <f t="shared" si="30"/>
        <v>4.24154E-13</v>
      </c>
      <c r="I119" s="50">
        <f t="shared" si="31"/>
        <v>8.3176000000000006E-14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7.25" thickBot="1" x14ac:dyDescent="0.35">
      <c r="A120">
        <v>3299.7</v>
      </c>
      <c r="B120" s="8">
        <v>3.9452000000000002E-13</v>
      </c>
      <c r="C120" s="8">
        <v>3.2535000000000002E-13</v>
      </c>
      <c r="D120" s="8">
        <v>6.9173E-14</v>
      </c>
      <c r="E120" s="8">
        <v>2.7397999999999999E-14</v>
      </c>
      <c r="F120" s="47">
        <f t="shared" si="28"/>
        <v>3299.7</v>
      </c>
      <c r="G120" s="48">
        <f t="shared" si="29"/>
        <v>4.2192100000000006E-13</v>
      </c>
      <c r="H120" s="49">
        <f t="shared" si="30"/>
        <v>3.5274800000000004E-13</v>
      </c>
      <c r="I120" s="50">
        <f t="shared" si="31"/>
        <v>6.9173E-14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7.25" thickBot="1" x14ac:dyDescent="0.35">
      <c r="A121">
        <v>3405.9</v>
      </c>
      <c r="B121" s="8">
        <v>3.2809999999999999E-13</v>
      </c>
      <c r="C121" s="8">
        <v>2.7057999999999999E-13</v>
      </c>
      <c r="D121" s="8">
        <v>5.7527000000000006E-14</v>
      </c>
      <c r="E121" s="8">
        <v>2.2785000000000001E-14</v>
      </c>
      <c r="F121" s="47">
        <f t="shared" si="28"/>
        <v>3405.9</v>
      </c>
      <c r="G121" s="48">
        <f t="shared" si="29"/>
        <v>3.5089199999999998E-13</v>
      </c>
      <c r="H121" s="49">
        <f t="shared" si="30"/>
        <v>2.9336499999999998E-13</v>
      </c>
      <c r="I121" s="50">
        <f t="shared" si="31"/>
        <v>5.7527000000000006E-14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7.25" thickBot="1" x14ac:dyDescent="0.35">
      <c r="A122">
        <v>3512.1</v>
      </c>
      <c r="B122" s="8">
        <v>2.7286000000000001E-13</v>
      </c>
      <c r="C122" s="8">
        <v>2.2502000000000001E-13</v>
      </c>
      <c r="D122" s="8">
        <v>4.7842000000000001E-14</v>
      </c>
      <c r="E122" s="8">
        <v>1.8949000000000001E-14</v>
      </c>
      <c r="F122" s="47">
        <f t="shared" si="28"/>
        <v>3512.1</v>
      </c>
      <c r="G122" s="48">
        <f t="shared" si="29"/>
        <v>2.9181100000000002E-13</v>
      </c>
      <c r="H122" s="49">
        <f t="shared" si="30"/>
        <v>2.43969E-13</v>
      </c>
      <c r="I122" s="50">
        <f t="shared" si="31"/>
        <v>4.7842000000000001E-14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7.25" thickBot="1" x14ac:dyDescent="0.35">
      <c r="A123">
        <v>3618.2</v>
      </c>
      <c r="B123" s="8">
        <v>2.2693E-13</v>
      </c>
      <c r="C123" s="8">
        <v>1.8714E-13</v>
      </c>
      <c r="D123" s="8">
        <v>3.9788E-14</v>
      </c>
      <c r="E123" s="8">
        <v>1.5759000000000001E-14</v>
      </c>
      <c r="F123" s="47">
        <f t="shared" si="28"/>
        <v>3618.2</v>
      </c>
      <c r="G123" s="48">
        <f t="shared" si="29"/>
        <v>2.4268699999999998E-13</v>
      </c>
      <c r="H123" s="49">
        <f t="shared" si="30"/>
        <v>2.02899E-13</v>
      </c>
      <c r="I123" s="50">
        <f t="shared" si="31"/>
        <v>3.9788E-14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7.25" thickBot="1" x14ac:dyDescent="0.35">
      <c r="A124">
        <v>3724.4</v>
      </c>
      <c r="B124" s="8">
        <v>1.8872E-13</v>
      </c>
      <c r="C124" s="8">
        <v>1.5562999999999999E-13</v>
      </c>
      <c r="D124" s="8">
        <v>3.3088999999999998E-14</v>
      </c>
      <c r="E124" s="8">
        <v>1.3106E-14</v>
      </c>
      <c r="F124" s="47">
        <f t="shared" si="28"/>
        <v>3724.4</v>
      </c>
      <c r="G124" s="48">
        <f t="shared" si="29"/>
        <v>2.0182499999999998E-13</v>
      </c>
      <c r="H124" s="49">
        <f t="shared" si="30"/>
        <v>1.6873599999999998E-13</v>
      </c>
      <c r="I124" s="50">
        <f t="shared" si="31"/>
        <v>3.3088999999999998E-14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7.25" thickBot="1" x14ac:dyDescent="0.35">
      <c r="A125">
        <v>3830.6</v>
      </c>
      <c r="B125" s="8">
        <v>1.5695E-13</v>
      </c>
      <c r="C125" s="8">
        <v>1.2943000000000001E-13</v>
      </c>
      <c r="D125" s="8">
        <v>2.7518999999999999E-14</v>
      </c>
      <c r="E125" s="8">
        <v>1.0899E-14</v>
      </c>
      <c r="F125" s="47">
        <f t="shared" si="28"/>
        <v>3830.6</v>
      </c>
      <c r="G125" s="48">
        <f t="shared" si="29"/>
        <v>1.6784799999999999E-13</v>
      </c>
      <c r="H125" s="49">
        <f t="shared" si="30"/>
        <v>1.40329E-13</v>
      </c>
      <c r="I125" s="50">
        <f t="shared" si="31"/>
        <v>2.7518999999999999E-14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7.25" thickBot="1" x14ac:dyDescent="0.35">
      <c r="A126">
        <v>3936.7</v>
      </c>
      <c r="B126" s="8">
        <v>1.3053E-13</v>
      </c>
      <c r="C126" s="8">
        <v>1.0764E-13</v>
      </c>
      <c r="D126" s="8">
        <v>2.2886000000000002E-14</v>
      </c>
      <c r="E126" s="8">
        <v>9.0645000000000005E-15</v>
      </c>
      <c r="F126" s="47">
        <f t="shared" si="28"/>
        <v>3936.7</v>
      </c>
      <c r="G126" s="48">
        <f t="shared" si="29"/>
        <v>1.395905E-13</v>
      </c>
      <c r="H126" s="49">
        <f t="shared" si="30"/>
        <v>1.167045E-13</v>
      </c>
      <c r="I126" s="50">
        <f t="shared" si="31"/>
        <v>2.2886000000000002E-14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7.25" thickBot="1" x14ac:dyDescent="0.35">
      <c r="A127">
        <v>4042.9</v>
      </c>
      <c r="B127" s="8">
        <v>1.0855E-13</v>
      </c>
      <c r="C127" s="8">
        <v>8.9520000000000006E-14</v>
      </c>
      <c r="D127" s="8">
        <v>1.9033000000000001E-14</v>
      </c>
      <c r="E127" s="8">
        <v>7.5385000000000005E-15</v>
      </c>
      <c r="F127" s="47">
        <f t="shared" si="28"/>
        <v>4042.9</v>
      </c>
      <c r="G127" s="48">
        <f t="shared" si="29"/>
        <v>1.1609150000000002E-13</v>
      </c>
      <c r="H127" s="49">
        <f t="shared" si="30"/>
        <v>9.705850000000001E-14</v>
      </c>
      <c r="I127" s="50">
        <f t="shared" si="31"/>
        <v>1.9033000000000001E-14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7.25" thickBot="1" x14ac:dyDescent="0.35">
      <c r="A128">
        <v>4149.1000000000004</v>
      </c>
      <c r="B128" s="8">
        <v>9.0277000000000005E-14</v>
      </c>
      <c r="C128" s="8">
        <v>7.4449000000000004E-14</v>
      </c>
      <c r="D128" s="8">
        <v>1.5829000000000001E-14</v>
      </c>
      <c r="E128" s="8">
        <v>6.2693000000000003E-15</v>
      </c>
      <c r="F128" s="47">
        <f t="shared" si="28"/>
        <v>4149.1000000000004</v>
      </c>
      <c r="G128" s="48">
        <f t="shared" si="29"/>
        <v>9.6547299999999996E-14</v>
      </c>
      <c r="H128" s="49">
        <f t="shared" si="30"/>
        <v>8.0718299999999999E-14</v>
      </c>
      <c r="I128" s="50">
        <f t="shared" si="31"/>
        <v>1.5829000000000001E-14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7.25" thickBot="1" x14ac:dyDescent="0.35">
      <c r="A129">
        <v>4255.2</v>
      </c>
      <c r="B129" s="8">
        <v>7.5078999999999997E-14</v>
      </c>
      <c r="C129" s="8">
        <v>6.1914999999999994E-14</v>
      </c>
      <c r="D129" s="8">
        <v>1.3164E-14</v>
      </c>
      <c r="E129" s="8">
        <v>5.2138999999999998E-15</v>
      </c>
      <c r="F129" s="47">
        <f t="shared" si="28"/>
        <v>4255.2</v>
      </c>
      <c r="G129" s="48">
        <f t="shared" si="29"/>
        <v>8.02929E-14</v>
      </c>
      <c r="H129" s="49">
        <f t="shared" si="30"/>
        <v>6.7128899999999996E-14</v>
      </c>
      <c r="I129" s="50">
        <f t="shared" si="31"/>
        <v>1.3164E-14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7.25" thickBot="1" x14ac:dyDescent="0.35">
      <c r="A130">
        <v>4320</v>
      </c>
      <c r="B130" s="8">
        <v>6.7064000000000006E-14</v>
      </c>
      <c r="C130" s="8">
        <v>5.5304999999999998E-14</v>
      </c>
      <c r="D130" s="8">
        <v>1.1759E-14</v>
      </c>
      <c r="E130" s="8">
        <v>4.6573000000000002E-15</v>
      </c>
      <c r="F130" s="47">
        <f t="shared" si="28"/>
        <v>4320</v>
      </c>
      <c r="G130" s="48">
        <f t="shared" si="29"/>
        <v>7.1721299999999989E-14</v>
      </c>
      <c r="H130" s="49">
        <f t="shared" si="30"/>
        <v>5.9962299999999994E-14</v>
      </c>
      <c r="I130" s="50">
        <f t="shared" si="31"/>
        <v>1.1759E-14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64F7-126F-41EF-AAE9-33951CCAF03F}">
  <dimension ref="A1:BM602"/>
  <sheetViews>
    <sheetView zoomScale="85" zoomScaleNormal="85" workbookViewId="0">
      <selection activeCell="AF23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20" max="20" width="11" bestFit="1" customWidth="1"/>
    <col min="21" max="21" width="9.5" bestFit="1" customWidth="1"/>
    <col min="22" max="22" width="13.37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1.2736176240811999E-10</v>
      </c>
      <c r="B1" s="7" t="s">
        <v>0</v>
      </c>
      <c r="C1" s="8" t="s">
        <v>86</v>
      </c>
      <c r="D1" s="8" t="s">
        <v>87</v>
      </c>
      <c r="E1" s="8" t="s">
        <v>87</v>
      </c>
      <c r="F1" t="s">
        <v>87</v>
      </c>
      <c r="G1" t="s">
        <v>87</v>
      </c>
      <c r="H1" t="s">
        <v>88</v>
      </c>
      <c r="I1" t="s">
        <v>89</v>
      </c>
      <c r="J1" t="s">
        <v>76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1.2710463219999998E-10</v>
      </c>
      <c r="D2" s="1">
        <v>1.2710229999999999E-10</v>
      </c>
      <c r="E2" s="1">
        <v>2.3321999999999999E-15</v>
      </c>
      <c r="F2" s="1">
        <v>2.5712999999999999E-13</v>
      </c>
      <c r="G2" s="1">
        <v>2.0812000000000001E-19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37" si="0">(H2+F2)/$A$1*100</f>
        <v>0.20188948012202332</v>
      </c>
      <c r="R2" s="6">
        <f t="shared" ref="R2:R37" si="1">(G2+I2)/$A$1*100</f>
        <v>1.634085427721211E-7</v>
      </c>
      <c r="S2" s="5">
        <f t="shared" ref="S2:S37" si="2">J2/$A$1*100</f>
        <v>0</v>
      </c>
      <c r="T2" s="6">
        <f t="shared" ref="T2:V17" si="3">C2/$A$1*100</f>
        <v>99.798110356469422</v>
      </c>
      <c r="U2" s="1">
        <f t="shared" si="3"/>
        <v>99.796279194623125</v>
      </c>
      <c r="V2" s="1">
        <f t="shared" si="3"/>
        <v>1.8311618463056928E-3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2.7240000000000002</v>
      </c>
      <c r="C3" s="8">
        <v>1.2608420000000001E-10</v>
      </c>
      <c r="D3" s="1">
        <v>1.219689E-10</v>
      </c>
      <c r="E3" s="1">
        <v>4.1152999999999996E-12</v>
      </c>
      <c r="F3" s="1">
        <v>1.2131999999999999E-12</v>
      </c>
      <c r="G3" s="1">
        <v>9.3682000000000007E-18</v>
      </c>
      <c r="H3" s="1">
        <v>2.9560999999999999E-14</v>
      </c>
      <c r="I3" s="1">
        <v>1.9754000000000001E-15</v>
      </c>
      <c r="J3">
        <v>0</v>
      </c>
      <c r="K3" s="1"/>
      <c r="L3" s="1"/>
      <c r="N3" s="7"/>
      <c r="O3">
        <f t="shared" ref="O3:O37" si="4">B3/60</f>
        <v>4.5400000000000003E-2</v>
      </c>
      <c r="P3" s="6">
        <f t="shared" ref="P3:P37" si="5">(SUM(F3:J3)+C3)/$A$1*100</f>
        <v>99.974233522448586</v>
      </c>
      <c r="Q3" s="6">
        <f t="shared" si="0"/>
        <v>0.97577245831262738</v>
      </c>
      <c r="R3" s="6">
        <f t="shared" si="1"/>
        <v>1.5583705520970871E-3</v>
      </c>
      <c r="S3" s="5">
        <f t="shared" si="2"/>
        <v>0</v>
      </c>
      <c r="T3" s="6">
        <f t="shared" si="3"/>
        <v>98.996902693583849</v>
      </c>
      <c r="U3" s="1">
        <f t="shared" si="3"/>
        <v>95.765713110314053</v>
      </c>
      <c r="V3" s="1">
        <f t="shared" si="3"/>
        <v>3.2311895832697961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4.7720000000000002</v>
      </c>
      <c r="C4" s="8">
        <v>1.2579680000000001E-10</v>
      </c>
      <c r="D4" s="1">
        <v>1.216931E-10</v>
      </c>
      <c r="E4" s="1">
        <v>4.1037E-12</v>
      </c>
      <c r="F4" s="1">
        <v>1.4469E-12</v>
      </c>
      <c r="G4" s="1">
        <v>1.1116E-17</v>
      </c>
      <c r="H4" s="1">
        <v>7.8281000000000005E-14</v>
      </c>
      <c r="I4" s="1">
        <v>5.1736999999999996E-15</v>
      </c>
      <c r="J4">
        <v>0</v>
      </c>
      <c r="K4" s="1"/>
      <c r="L4" s="1"/>
      <c r="N4" s="7"/>
      <c r="O4">
        <f t="shared" si="4"/>
        <v>7.9533333333333331E-2</v>
      </c>
      <c r="P4" s="6">
        <f t="shared" si="5"/>
        <v>99.972835966254038</v>
      </c>
      <c r="Q4" s="6">
        <f t="shared" si="0"/>
        <v>1.1975187616458121</v>
      </c>
      <c r="R4" s="6">
        <f t="shared" si="1"/>
        <v>4.0709361286833451E-3</v>
      </c>
      <c r="S4" s="5">
        <f t="shared" si="2"/>
        <v>0</v>
      </c>
      <c r="T4" s="6">
        <f t="shared" si="3"/>
        <v>98.771246268479558</v>
      </c>
      <c r="U4" s="1">
        <f t="shared" si="3"/>
        <v>95.549164599375416</v>
      </c>
      <c r="V4" s="1">
        <f t="shared" si="3"/>
        <v>3.2220816691041385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6.82</v>
      </c>
      <c r="C5" s="8">
        <v>1.2556139999999998E-10</v>
      </c>
      <c r="D5" s="1">
        <v>1.2146949999999999E-10</v>
      </c>
      <c r="E5" s="1">
        <v>4.0919000000000004E-12</v>
      </c>
      <c r="F5" s="1">
        <v>1.6084000000000001E-12</v>
      </c>
      <c r="G5" s="1">
        <v>1.3278E-17</v>
      </c>
      <c r="H5" s="1">
        <v>1.3460999999999999E-13</v>
      </c>
      <c r="I5" s="1">
        <v>8.9365999999999993E-15</v>
      </c>
      <c r="J5">
        <v>0</v>
      </c>
      <c r="K5" s="1"/>
      <c r="L5" s="1"/>
      <c r="N5" s="7"/>
      <c r="O5">
        <f t="shared" si="4"/>
        <v>0.11366666666666667</v>
      </c>
      <c r="P5" s="6">
        <f t="shared" si="5"/>
        <v>99.961996026747101</v>
      </c>
      <c r="Q5" s="6">
        <f t="shared" si="0"/>
        <v>1.3685504715415857</v>
      </c>
      <c r="R5" s="6">
        <f t="shared" si="1"/>
        <v>7.02713108768146E-3</v>
      </c>
      <c r="S5" s="5">
        <f t="shared" si="2"/>
        <v>0</v>
      </c>
      <c r="T5" s="6">
        <f t="shared" si="3"/>
        <v>98.586418424117824</v>
      </c>
      <c r="U5" s="1">
        <f t="shared" si="3"/>
        <v>95.373601702182214</v>
      </c>
      <c r="V5" s="1">
        <f t="shared" si="3"/>
        <v>3.2128167219356256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8.8680000000000003</v>
      </c>
      <c r="C6" s="8">
        <v>1.2535710000000003E-10</v>
      </c>
      <c r="D6" s="1">
        <v>1.2127690000000001E-10</v>
      </c>
      <c r="E6" s="1">
        <v>4.0802000000000003E-12</v>
      </c>
      <c r="F6" s="1">
        <v>1.7384999999999999E-12</v>
      </c>
      <c r="G6" s="1">
        <v>1.5645E-17</v>
      </c>
      <c r="H6" s="1">
        <v>1.9656E-13</v>
      </c>
      <c r="I6" s="1">
        <v>1.3411E-14</v>
      </c>
      <c r="J6">
        <v>0</v>
      </c>
      <c r="K6" s="1"/>
      <c r="L6" s="1"/>
      <c r="N6" s="7"/>
      <c r="O6">
        <f t="shared" si="4"/>
        <v>0.14780000000000001</v>
      </c>
      <c r="P6" s="6">
        <f t="shared" si="5"/>
        <v>99.955892756147676</v>
      </c>
      <c r="Q6" s="6">
        <f t="shared" si="0"/>
        <v>1.5193414125342142</v>
      </c>
      <c r="R6" s="6">
        <f t="shared" si="1"/>
        <v>1.0542131913168296E-2</v>
      </c>
      <c r="S6" s="5">
        <f t="shared" si="2"/>
        <v>0</v>
      </c>
      <c r="T6" s="6">
        <f t="shared" si="3"/>
        <v>98.42600921170029</v>
      </c>
      <c r="U6" s="1">
        <f t="shared" si="3"/>
        <v>95.222378920431751</v>
      </c>
      <c r="V6" s="1">
        <f t="shared" si="3"/>
        <v>3.2036302912685404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0.7</v>
      </c>
      <c r="AH6" s="36">
        <v>0.7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10.916</v>
      </c>
      <c r="C7" s="8">
        <v>1.251783E-10</v>
      </c>
      <c r="D7" s="1">
        <v>1.211095E-10</v>
      </c>
      <c r="E7" s="1">
        <v>4.0687999999999998E-12</v>
      </c>
      <c r="F7" s="1">
        <v>1.8478999999999998E-12</v>
      </c>
      <c r="G7" s="1">
        <v>1.8192E-17</v>
      </c>
      <c r="H7" s="1">
        <v>2.6316000000000001E-13</v>
      </c>
      <c r="I7" s="1">
        <v>1.8663999999999999E-14</v>
      </c>
      <c r="J7">
        <v>0</v>
      </c>
      <c r="K7" s="1"/>
      <c r="L7" s="1"/>
      <c r="N7" s="7"/>
      <c r="O7">
        <f t="shared" si="4"/>
        <v>0.18193333333333334</v>
      </c>
      <c r="P7" s="6">
        <f t="shared" si="5"/>
        <v>99.957820765742994</v>
      </c>
      <c r="Q7" s="6">
        <f t="shared" si="0"/>
        <v>1.6575304550476355</v>
      </c>
      <c r="R7" s="6">
        <f t="shared" si="1"/>
        <v>1.4668603548476737E-2</v>
      </c>
      <c r="S7" s="5">
        <f t="shared" si="2"/>
        <v>0</v>
      </c>
      <c r="T7" s="6">
        <f t="shared" si="3"/>
        <v>98.285621707146873</v>
      </c>
      <c r="U7" s="1">
        <f t="shared" si="3"/>
        <v>95.090942297041138</v>
      </c>
      <c r="V7" s="1">
        <f t="shared" si="3"/>
        <v>3.1946794101057385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161</v>
      </c>
      <c r="AH7" s="1" t="s">
        <v>162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12.964</v>
      </c>
      <c r="C8" s="8">
        <v>1.249973E-10</v>
      </c>
      <c r="D8" s="1">
        <v>1.2093939999999999E-10</v>
      </c>
      <c r="E8" s="1">
        <v>4.0579000000000003E-12</v>
      </c>
      <c r="F8" s="1">
        <v>1.9429000000000001E-12</v>
      </c>
      <c r="G8" s="1">
        <v>2.0907000000000001E-17</v>
      </c>
      <c r="H8" s="1">
        <v>3.338E-13</v>
      </c>
      <c r="I8" s="1">
        <v>2.4750999999999998E-14</v>
      </c>
      <c r="J8" s="4">
        <v>0</v>
      </c>
      <c r="K8" s="1"/>
      <c r="L8" s="1"/>
      <c r="M8" s="4"/>
      <c r="N8" s="7"/>
      <c r="O8">
        <f t="shared" si="4"/>
        <v>0.21606666666666668</v>
      </c>
      <c r="P8" s="6">
        <f t="shared" si="5"/>
        <v>99.950542062288577</v>
      </c>
      <c r="Q8" s="6">
        <f t="shared" si="0"/>
        <v>1.7875851880131084</v>
      </c>
      <c r="R8" s="6">
        <f t="shared" si="1"/>
        <v>1.9450034713417767E-2</v>
      </c>
      <c r="S8" s="5">
        <f t="shared" si="2"/>
        <v>0</v>
      </c>
      <c r="T8" s="6">
        <f t="shared" si="3"/>
        <v>98.14350683956205</v>
      </c>
      <c r="U8" s="1">
        <f t="shared" si="3"/>
        <v>94.957385728111959</v>
      </c>
      <c r="V8" s="1">
        <f t="shared" si="3"/>
        <v>3.1861211114500776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0.17</v>
      </c>
      <c r="AH8" s="37">
        <v>0.17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17.059999999999999</v>
      </c>
      <c r="C9" s="8">
        <v>1.2465959999999999E-10</v>
      </c>
      <c r="D9" s="1">
        <v>1.2062239999999998E-10</v>
      </c>
      <c r="E9" s="1">
        <v>4.0371999999999998E-12</v>
      </c>
      <c r="F9" s="1">
        <v>2.1082999999999998E-12</v>
      </c>
      <c r="G9" s="1">
        <v>2.6635999999999999E-17</v>
      </c>
      <c r="H9" s="1">
        <v>4.8547999999999997E-13</v>
      </c>
      <c r="I9" s="1">
        <v>3.9617000000000003E-14</v>
      </c>
      <c r="J9">
        <v>0</v>
      </c>
      <c r="K9" s="1"/>
      <c r="L9" s="1"/>
      <c r="N9" s="7"/>
      <c r="O9">
        <f t="shared" si="4"/>
        <v>0.28433333333333333</v>
      </c>
      <c r="P9" s="6">
        <f t="shared" si="5"/>
        <v>99.946028721006769</v>
      </c>
      <c r="Q9" s="6">
        <f t="shared" si="0"/>
        <v>2.0365453107412659</v>
      </c>
      <c r="R9" s="6">
        <f t="shared" si="1"/>
        <v>3.1126796026083033E-2</v>
      </c>
      <c r="S9" s="5">
        <f t="shared" si="2"/>
        <v>0</v>
      </c>
      <c r="T9" s="6">
        <f t="shared" si="3"/>
        <v>97.878356614239408</v>
      </c>
      <c r="U9" s="1">
        <f t="shared" si="3"/>
        <v>94.708488418584935</v>
      </c>
      <c r="V9" s="1">
        <f t="shared" si="3"/>
        <v>3.1698681956544648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4.7699999999999996</v>
      </c>
      <c r="AH9" s="37">
        <v>4.7699999999999996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21.155999999999999</v>
      </c>
      <c r="C10" s="8">
        <v>1.243321E-10</v>
      </c>
      <c r="D10" s="1">
        <v>1.20314E-10</v>
      </c>
      <c r="E10" s="1">
        <v>4.0180999999999996E-12</v>
      </c>
      <c r="F10" s="1">
        <v>2.2421999999999999E-12</v>
      </c>
      <c r="G10" s="1">
        <v>3.2696999999999998E-17</v>
      </c>
      <c r="H10" s="1">
        <v>6.4934000000000004E-13</v>
      </c>
      <c r="I10" s="1">
        <v>5.8243999999999999E-14</v>
      </c>
      <c r="J10">
        <v>0</v>
      </c>
      <c r="K10" s="1"/>
      <c r="L10" s="1"/>
      <c r="N10" s="7"/>
      <c r="O10">
        <f t="shared" si="4"/>
        <v>0.35259999999999997</v>
      </c>
      <c r="P10" s="6">
        <f t="shared" si="5"/>
        <v>99.937307941088221</v>
      </c>
      <c r="Q10" s="6">
        <f t="shared" si="0"/>
        <v>2.2703360453935182</v>
      </c>
      <c r="R10" s="6">
        <f t="shared" si="1"/>
        <v>4.5756823632243135E-2</v>
      </c>
      <c r="S10" s="5">
        <f t="shared" si="2"/>
        <v>0</v>
      </c>
      <c r="T10" s="6">
        <f t="shared" si="3"/>
        <v>97.621215072062455</v>
      </c>
      <c r="U10" s="1">
        <f t="shared" si="3"/>
        <v>94.466343528180758</v>
      </c>
      <c r="V10" s="1">
        <f t="shared" si="3"/>
        <v>3.1548715438817014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0</v>
      </c>
      <c r="AH10" s="1">
        <v>0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29.347999999999999</v>
      </c>
      <c r="C11" s="8">
        <v>1.2371489999999999E-10</v>
      </c>
      <c r="D11" s="1">
        <v>1.1973059999999999E-10</v>
      </c>
      <c r="E11" s="1">
        <v>3.9843000000000003E-12</v>
      </c>
      <c r="F11" s="1">
        <v>2.4451000000000002E-12</v>
      </c>
      <c r="G11" s="1">
        <v>4.4839E-17</v>
      </c>
      <c r="H11" s="1">
        <v>1.0052E-12</v>
      </c>
      <c r="I11" s="1">
        <v>1.0722E-13</v>
      </c>
      <c r="J11">
        <v>0</v>
      </c>
      <c r="K11" s="1"/>
      <c r="L11" s="1"/>
      <c r="N11" s="7"/>
      <c r="O11">
        <f t="shared" si="4"/>
        <v>0.48913333333333331</v>
      </c>
      <c r="P11" s="6">
        <f t="shared" si="5"/>
        <v>99.929886672866658</v>
      </c>
      <c r="Q11" s="6">
        <f t="shared" si="0"/>
        <v>2.7090548487730612</v>
      </c>
      <c r="R11" s="6">
        <f t="shared" si="1"/>
        <v>8.4220598845263214E-2</v>
      </c>
      <c r="S11" s="5">
        <f t="shared" si="2"/>
        <v>0</v>
      </c>
      <c r="T11" s="6">
        <f t="shared" si="3"/>
        <v>97.13661122524833</v>
      </c>
      <c r="U11" s="1">
        <f t="shared" si="3"/>
        <v>94.008278258849316</v>
      </c>
      <c r="V11" s="1">
        <f t="shared" si="3"/>
        <v>3.1283329663990109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37.54</v>
      </c>
      <c r="C12" s="8">
        <v>1.2312389999999999E-10</v>
      </c>
      <c r="D12" s="1">
        <v>1.1916879999999999E-10</v>
      </c>
      <c r="E12" s="1">
        <v>3.9551000000000004E-12</v>
      </c>
      <c r="F12" s="1">
        <v>2.581E-12</v>
      </c>
      <c r="G12" s="1">
        <v>5.6101999999999999E-17</v>
      </c>
      <c r="H12" s="1">
        <v>1.3899999999999999E-12</v>
      </c>
      <c r="I12" s="1">
        <v>1.7130000000000001E-13</v>
      </c>
      <c r="J12">
        <v>0</v>
      </c>
      <c r="K12" s="1"/>
      <c r="L12" s="1"/>
      <c r="N12" s="7"/>
      <c r="O12">
        <f t="shared" si="4"/>
        <v>0.6256666666666667</v>
      </c>
      <c r="P12" s="6">
        <f t="shared" si="5"/>
        <v>99.92501178979137</v>
      </c>
      <c r="Q12" s="6">
        <f t="shared" si="0"/>
        <v>3.1178902717090762</v>
      </c>
      <c r="R12" s="6">
        <f t="shared" si="1"/>
        <v>0.13454281627393305</v>
      </c>
      <c r="S12" s="5">
        <f t="shared" si="2"/>
        <v>0</v>
      </c>
      <c r="T12" s="6">
        <f t="shared" si="3"/>
        <v>96.672578701808376</v>
      </c>
      <c r="U12" s="1">
        <f t="shared" si="3"/>
        <v>93.567172553826367</v>
      </c>
      <c r="V12" s="1">
        <f t="shared" si="3"/>
        <v>3.1054061479820114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45.731999999999999</v>
      </c>
      <c r="C13" s="8">
        <v>1.2255440000000001E-10</v>
      </c>
      <c r="D13" s="1">
        <v>1.186252E-10</v>
      </c>
      <c r="E13" s="1">
        <v>3.9291999999999999E-12</v>
      </c>
      <c r="F13" s="1">
        <v>2.6699000000000002E-12</v>
      </c>
      <c r="G13" s="1">
        <v>6.5604999999999996E-17</v>
      </c>
      <c r="H13" s="1">
        <v>1.7947E-12</v>
      </c>
      <c r="I13" s="1">
        <v>2.4869999999999999E-13</v>
      </c>
      <c r="J13">
        <v>0</v>
      </c>
      <c r="K13" s="1"/>
      <c r="L13" s="1"/>
      <c r="N13" s="7"/>
      <c r="O13">
        <f t="shared" si="4"/>
        <v>0.76219999999999999</v>
      </c>
      <c r="P13" s="6">
        <f t="shared" si="5"/>
        <v>99.926196998735961</v>
      </c>
      <c r="Q13" s="6">
        <f t="shared" si="0"/>
        <v>3.5054477227580816</v>
      </c>
      <c r="R13" s="6">
        <f t="shared" si="1"/>
        <v>0.19532204980239803</v>
      </c>
      <c r="S13" s="5">
        <f t="shared" si="2"/>
        <v>0</v>
      </c>
      <c r="T13" s="6">
        <f t="shared" si="3"/>
        <v>96.225427226175469</v>
      </c>
      <c r="U13" s="1">
        <f t="shared" si="3"/>
        <v>93.140356852063334</v>
      </c>
      <c r="V13" s="1">
        <f t="shared" si="3"/>
        <v>3.0850703741121381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53.923999999999999</v>
      </c>
      <c r="C14" s="8">
        <v>1.2198800000000002E-10</v>
      </c>
      <c r="D14" s="1">
        <v>1.1808240000000001E-10</v>
      </c>
      <c r="E14" s="1">
        <v>3.9055999999999998E-12</v>
      </c>
      <c r="F14" s="1">
        <v>2.7260999999999999E-12</v>
      </c>
      <c r="G14" s="1">
        <v>7.2944000000000003E-17</v>
      </c>
      <c r="H14" s="1">
        <v>2.2125000000000001E-12</v>
      </c>
      <c r="I14" s="1">
        <v>3.3699999999999998E-13</v>
      </c>
      <c r="J14">
        <v>0</v>
      </c>
      <c r="K14" s="1"/>
      <c r="L14" s="1"/>
      <c r="N14" s="7"/>
      <c r="O14">
        <f t="shared" si="4"/>
        <v>0.89873333333333327</v>
      </c>
      <c r="P14" s="6">
        <f t="shared" si="5"/>
        <v>99.922983584503456</v>
      </c>
      <c r="Q14" s="6">
        <f t="shared" si="0"/>
        <v>3.8776159395271828</v>
      </c>
      <c r="R14" s="6">
        <f t="shared" si="1"/>
        <v>0.26465788288943293</v>
      </c>
      <c r="S14" s="5">
        <f t="shared" si="2"/>
        <v>0</v>
      </c>
      <c r="T14" s="6">
        <f t="shared" si="3"/>
        <v>95.780709762086829</v>
      </c>
      <c r="U14" s="1">
        <f t="shared" si="3"/>
        <v>92.714169282311715</v>
      </c>
      <c r="V14" s="1">
        <f t="shared" si="3"/>
        <v>3.066540479775111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62.116</v>
      </c>
      <c r="C15" s="8">
        <v>1.2142060000000002E-10</v>
      </c>
      <c r="D15" s="1">
        <v>1.1753690000000001E-10</v>
      </c>
      <c r="E15" s="1">
        <v>3.8836999999999997E-12</v>
      </c>
      <c r="F15" s="1">
        <v>2.7598E-12</v>
      </c>
      <c r="G15" s="1">
        <v>7.8507999999999995E-17</v>
      </c>
      <c r="H15" s="1">
        <v>2.6388E-12</v>
      </c>
      <c r="I15" s="1">
        <v>4.3373000000000001E-13</v>
      </c>
      <c r="J15">
        <v>0</v>
      </c>
      <c r="K15" s="1"/>
      <c r="L15" s="1"/>
      <c r="N15" s="7"/>
      <c r="O15">
        <f t="shared" si="4"/>
        <v>1.0352666666666666</v>
      </c>
      <c r="P15" s="6">
        <f t="shared" si="5"/>
        <v>99.914610242459219</v>
      </c>
      <c r="Q15" s="6">
        <f t="shared" si="0"/>
        <v>4.238791846096353</v>
      </c>
      <c r="R15" s="6">
        <f t="shared" si="1"/>
        <v>0.34061126337895464</v>
      </c>
      <c r="S15" s="5">
        <f t="shared" si="2"/>
        <v>0</v>
      </c>
      <c r="T15" s="6">
        <f t="shared" si="3"/>
        <v>95.335207132983896</v>
      </c>
      <c r="U15" s="1">
        <f t="shared" si="3"/>
        <v>92.285861767021544</v>
      </c>
      <c r="V15" s="1">
        <f t="shared" si="3"/>
        <v>3.0493453659623615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0.05</v>
      </c>
      <c r="AH15" s="37">
        <v>0.05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70.308000000000007</v>
      </c>
      <c r="C16" s="8">
        <v>1.2086349999999999E-10</v>
      </c>
      <c r="D16" s="1">
        <v>1.1700049999999999E-10</v>
      </c>
      <c r="E16" s="1">
        <v>3.863E-12</v>
      </c>
      <c r="F16" s="1">
        <v>2.7781E-12</v>
      </c>
      <c r="G16" s="1">
        <v>8.2514000000000003E-17</v>
      </c>
      <c r="H16" s="1">
        <v>3.07E-12</v>
      </c>
      <c r="I16" s="1">
        <v>5.3677999999999996E-13</v>
      </c>
      <c r="J16">
        <v>0</v>
      </c>
      <c r="K16" s="1"/>
      <c r="L16" s="1"/>
      <c r="N16" s="7"/>
      <c r="O16">
        <f t="shared" si="4"/>
        <v>1.1718000000000002</v>
      </c>
      <c r="P16" s="6">
        <f t="shared" si="5"/>
        <v>99.911040887015247</v>
      </c>
      <c r="Q16" s="6">
        <f t="shared" si="0"/>
        <v>4.5917235200155746</v>
      </c>
      <c r="R16" s="6">
        <f t="shared" si="1"/>
        <v>0.42152566347163878</v>
      </c>
      <c r="S16" s="5">
        <f t="shared" si="2"/>
        <v>0</v>
      </c>
      <c r="T16" s="6">
        <f t="shared" si="3"/>
        <v>94.897791703528043</v>
      </c>
      <c r="U16" s="1">
        <f t="shared" si="3"/>
        <v>91.864699253361294</v>
      </c>
      <c r="V16" s="1">
        <f t="shared" si="3"/>
        <v>3.0330924501667491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86.691999999999993</v>
      </c>
      <c r="C17" s="8">
        <v>1.1975659999999998E-10</v>
      </c>
      <c r="D17" s="1">
        <v>1.1593279999999999E-10</v>
      </c>
      <c r="E17" s="1">
        <v>3.8237999999999999E-12</v>
      </c>
      <c r="F17" s="1">
        <v>2.7903999999999999E-12</v>
      </c>
      <c r="G17" s="1">
        <v>8.6580999999999999E-17</v>
      </c>
      <c r="H17" s="1">
        <v>3.9390999999999996E-12</v>
      </c>
      <c r="I17" s="1">
        <v>7.5541000000000001E-13</v>
      </c>
      <c r="J17">
        <v>0</v>
      </c>
      <c r="K17" s="1"/>
      <c r="L17" s="1"/>
      <c r="N17" s="7"/>
      <c r="O17">
        <f t="shared" si="4"/>
        <v>1.4448666666666665</v>
      </c>
      <c r="P17" s="6">
        <f t="shared" si="5"/>
        <v>99.905649996633258</v>
      </c>
      <c r="Q17" s="6">
        <f t="shared" si="0"/>
        <v>5.283767963602676</v>
      </c>
      <c r="R17" s="6">
        <f t="shared" si="1"/>
        <v>0.59318948380996417</v>
      </c>
      <c r="S17" s="5">
        <f t="shared" si="2"/>
        <v>0</v>
      </c>
      <c r="T17" s="6">
        <f t="shared" si="3"/>
        <v>94.028692549220622</v>
      </c>
      <c r="U17" s="1">
        <f t="shared" si="3"/>
        <v>91.026378567613691</v>
      </c>
      <c r="V17" s="1">
        <f t="shared" si="3"/>
        <v>3.0023139816069415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103.08</v>
      </c>
      <c r="C18" s="8">
        <v>1.18659E-10</v>
      </c>
      <c r="D18" s="1">
        <v>1.148723E-10</v>
      </c>
      <c r="E18" s="1">
        <v>3.7866999999999996E-12</v>
      </c>
      <c r="F18" s="1">
        <v>2.7808E-12</v>
      </c>
      <c r="G18" s="1">
        <v>8.9120999999999999E-17</v>
      </c>
      <c r="H18" s="1">
        <v>4.8101000000000003E-12</v>
      </c>
      <c r="I18" s="1">
        <v>9.8477999999999997E-13</v>
      </c>
      <c r="J18">
        <v>0</v>
      </c>
      <c r="K18" s="1"/>
      <c r="L18" s="1"/>
      <c r="N18" s="7"/>
      <c r="O18">
        <f t="shared" si="4"/>
        <v>1.718</v>
      </c>
      <c r="P18" s="6">
        <f t="shared" si="5"/>
        <v>99.900289313904864</v>
      </c>
      <c r="Q18" s="6">
        <f t="shared" si="0"/>
        <v>5.9601091069041612</v>
      </c>
      <c r="R18" s="6">
        <f t="shared" si="1"/>
        <v>0.77328477745468871</v>
      </c>
      <c r="S18" s="5">
        <f t="shared" si="2"/>
        <v>0</v>
      </c>
      <c r="T18" s="6">
        <f t="shared" ref="T18:V37" si="6">C18/$A$1*100</f>
        <v>93.166895429546017</v>
      </c>
      <c r="U18" s="1">
        <f t="shared" si="6"/>
        <v>90.193711069968899</v>
      </c>
      <c r="V18" s="1">
        <f t="shared" si="6"/>
        <v>2.973184359577123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119.46</v>
      </c>
      <c r="C19" s="8">
        <v>1.1757429999999999E-10</v>
      </c>
      <c r="D19" s="1">
        <v>1.138234E-10</v>
      </c>
      <c r="E19" s="1">
        <v>3.7509000000000001E-12</v>
      </c>
      <c r="F19" s="1">
        <v>2.7608000000000001E-12</v>
      </c>
      <c r="G19" s="1">
        <v>9.1331999999999994E-17</v>
      </c>
      <c r="H19" s="1">
        <v>5.6770000000000001E-12</v>
      </c>
      <c r="I19" s="1">
        <v>1.2194E-12</v>
      </c>
      <c r="J19">
        <v>0</v>
      </c>
      <c r="K19" s="1"/>
      <c r="L19" s="1"/>
      <c r="N19" s="7"/>
      <c r="O19">
        <f t="shared" si="4"/>
        <v>1.9909999999999999</v>
      </c>
      <c r="P19" s="6">
        <f t="shared" si="5"/>
        <v>99.897794225159288</v>
      </c>
      <c r="Q19" s="6">
        <f t="shared" si="0"/>
        <v>6.6250653574985749</v>
      </c>
      <c r="R19" s="6">
        <f t="shared" si="1"/>
        <v>0.95750192910509768</v>
      </c>
      <c r="S19" s="5">
        <f t="shared" si="2"/>
        <v>0</v>
      </c>
      <c r="T19" s="6">
        <f t="shared" si="6"/>
        <v>92.315226938555611</v>
      </c>
      <c r="U19" s="1">
        <f t="shared" si="6"/>
        <v>89.37015148648976</v>
      </c>
      <c r="V19" s="1">
        <f t="shared" si="6"/>
        <v>2.9450754520658711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135.84</v>
      </c>
      <c r="C20" s="8">
        <v>1.1648590000000001E-10</v>
      </c>
      <c r="D20" s="1">
        <v>1.1277E-10</v>
      </c>
      <c r="E20" s="1">
        <v>3.7159000000000004E-12</v>
      </c>
      <c r="F20" s="1">
        <v>2.7367999999999998E-12</v>
      </c>
      <c r="G20" s="1">
        <v>9.1919000000000005E-17</v>
      </c>
      <c r="H20" s="1">
        <v>6.5372999999999996E-12</v>
      </c>
      <c r="I20" s="1">
        <v>1.4561E-12</v>
      </c>
      <c r="J20">
        <v>0</v>
      </c>
      <c r="K20" s="1"/>
      <c r="L20" s="1"/>
      <c r="N20" s="7"/>
      <c r="O20">
        <f t="shared" si="4"/>
        <v>2.2640000000000002</v>
      </c>
      <c r="P20" s="6">
        <f t="shared" si="5"/>
        <v>99.885703144831254</v>
      </c>
      <c r="Q20" s="6">
        <f t="shared" si="0"/>
        <v>7.2816988589416116</v>
      </c>
      <c r="R20" s="6">
        <f t="shared" si="1"/>
        <v>1.1433509488772275</v>
      </c>
      <c r="S20" s="5">
        <f t="shared" si="2"/>
        <v>0</v>
      </c>
      <c r="T20" s="6">
        <f t="shared" si="6"/>
        <v>91.460653337012417</v>
      </c>
      <c r="U20" s="1">
        <f t="shared" si="6"/>
        <v>88.543058660446363</v>
      </c>
      <c r="V20" s="1">
        <f t="shared" si="6"/>
        <v>2.917594676566043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152.22999999999999</v>
      </c>
      <c r="C21" s="8">
        <v>1.154107E-10</v>
      </c>
      <c r="D21" s="1">
        <v>1.1172929999999999E-10</v>
      </c>
      <c r="E21" s="1">
        <v>3.6814E-12</v>
      </c>
      <c r="F21" s="1">
        <v>2.7115999999999999E-12</v>
      </c>
      <c r="G21" s="1">
        <v>9.1360999999999999E-17</v>
      </c>
      <c r="H21" s="1">
        <v>7.3899999999999998E-12</v>
      </c>
      <c r="I21" s="1">
        <v>1.6927E-12</v>
      </c>
      <c r="J21">
        <v>0</v>
      </c>
      <c r="K21" s="1"/>
      <c r="L21" s="1"/>
      <c r="N21" s="7"/>
      <c r="O21">
        <f t="shared" si="4"/>
        <v>2.5371666666666663</v>
      </c>
      <c r="P21" s="6">
        <f t="shared" si="5"/>
        <v>99.876987375050646</v>
      </c>
      <c r="Q21" s="6">
        <f t="shared" si="0"/>
        <v>7.9314229082589769</v>
      </c>
      <c r="R21" s="6">
        <f t="shared" si="1"/>
        <v>1.329120553133988</v>
      </c>
      <c r="S21" s="5">
        <f t="shared" si="2"/>
        <v>0</v>
      </c>
      <c r="T21" s="6">
        <f t="shared" si="6"/>
        <v>90.616443913657676</v>
      </c>
      <c r="U21" s="1">
        <f t="shared" si="6"/>
        <v>87.725937430084315</v>
      </c>
      <c r="V21" s="1">
        <f t="shared" si="6"/>
        <v>2.8905064835733549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185</v>
      </c>
      <c r="C22" s="8">
        <v>1.132953E-10</v>
      </c>
      <c r="D22" s="1">
        <v>1.0968179999999999E-10</v>
      </c>
      <c r="E22" s="1">
        <v>3.6134999999999999E-12</v>
      </c>
      <c r="F22" s="1">
        <v>2.6615999999999999E-12</v>
      </c>
      <c r="G22" s="1">
        <v>8.8250999999999997E-17</v>
      </c>
      <c r="H22" s="1">
        <v>9.0717999999999994E-12</v>
      </c>
      <c r="I22" s="1">
        <v>2.1623000000000002E-12</v>
      </c>
      <c r="J22">
        <v>0</v>
      </c>
      <c r="K22" s="1"/>
      <c r="L22" s="1"/>
      <c r="N22" s="7"/>
      <c r="O22">
        <f t="shared" si="4"/>
        <v>3.0833333333333335</v>
      </c>
      <c r="P22" s="6">
        <f t="shared" si="5"/>
        <v>99.86599262298752</v>
      </c>
      <c r="Q22" s="6">
        <f t="shared" si="0"/>
        <v>9.2126551785623949</v>
      </c>
      <c r="R22" s="6">
        <f t="shared" si="1"/>
        <v>1.6978316019770598</v>
      </c>
      <c r="S22" s="5">
        <f t="shared" si="2"/>
        <v>0</v>
      </c>
      <c r="T22" s="6">
        <f t="shared" si="6"/>
        <v>88.955505842448062</v>
      </c>
      <c r="U22" s="1">
        <f t="shared" si="6"/>
        <v>86.118312063344376</v>
      </c>
      <c r="V22" s="1">
        <f t="shared" si="6"/>
        <v>2.8371937791036883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250.53</v>
      </c>
      <c r="C23" s="8">
        <v>1.092395E-10</v>
      </c>
      <c r="D23" s="1">
        <v>1.057554E-10</v>
      </c>
      <c r="E23" s="1">
        <v>3.4841000000000001E-12</v>
      </c>
      <c r="F23" s="1">
        <v>2.5658999999999998E-12</v>
      </c>
      <c r="G23" s="1">
        <v>8.5484000000000005E-17</v>
      </c>
      <c r="H23" s="1">
        <v>1.2344E-11</v>
      </c>
      <c r="I23" s="1">
        <v>3.0790000000000001E-12</v>
      </c>
      <c r="J23">
        <v>0</v>
      </c>
      <c r="K23" s="1"/>
      <c r="L23" s="1"/>
      <c r="N23" s="7"/>
      <c r="O23">
        <f t="shared" si="4"/>
        <v>4.1755000000000004</v>
      </c>
      <c r="P23" s="6">
        <f t="shared" si="5"/>
        <v>99.895355621970026</v>
      </c>
      <c r="Q23" s="6">
        <f t="shared" si="0"/>
        <v>11.706731846425372</v>
      </c>
      <c r="R23" s="6">
        <f t="shared" si="1"/>
        <v>2.4175901980166792</v>
      </c>
      <c r="S23" s="5">
        <f t="shared" si="2"/>
        <v>0</v>
      </c>
      <c r="T23" s="6">
        <f t="shared" si="6"/>
        <v>85.771033577527973</v>
      </c>
      <c r="U23" s="1">
        <f t="shared" si="6"/>
        <v>83.035440151272226</v>
      </c>
      <c r="V23" s="1">
        <f t="shared" si="6"/>
        <v>2.7355934262557517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165</v>
      </c>
      <c r="AH23" s="1" t="s">
        <v>171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316.07</v>
      </c>
      <c r="C24" s="8">
        <v>1.053276E-10</v>
      </c>
      <c r="D24" s="1">
        <v>1.0196819999999999E-10</v>
      </c>
      <c r="E24" s="1">
        <v>3.3594E-12</v>
      </c>
      <c r="F24" s="1">
        <v>2.4739000000000002E-12</v>
      </c>
      <c r="G24" s="1">
        <v>8.4657999999999994E-17</v>
      </c>
      <c r="H24" s="1">
        <v>1.5498999999999999E-11</v>
      </c>
      <c r="I24" s="1">
        <v>3.9639999999999997E-12</v>
      </c>
      <c r="J24">
        <v>0</v>
      </c>
      <c r="K24" s="1"/>
      <c r="L24" s="1"/>
      <c r="N24" s="7"/>
      <c r="O24">
        <f t="shared" si="4"/>
        <v>5.2678333333333329</v>
      </c>
      <c r="P24" s="6">
        <f t="shared" si="5"/>
        <v>99.923699430439257</v>
      </c>
      <c r="Q24" s="6">
        <f t="shared" si="0"/>
        <v>14.111692285167477</v>
      </c>
      <c r="R24" s="6">
        <f t="shared" si="1"/>
        <v>3.1124605871088891</v>
      </c>
      <c r="S24" s="5">
        <f t="shared" si="2"/>
        <v>0</v>
      </c>
      <c r="T24" s="6">
        <f t="shared" si="6"/>
        <v>82.699546558162893</v>
      </c>
      <c r="U24" s="1">
        <f t="shared" si="6"/>
        <v>80.061863209187962</v>
      </c>
      <c r="V24" s="1">
        <f t="shared" si="6"/>
        <v>2.6376833489749356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447.14</v>
      </c>
      <c r="C25" s="8">
        <v>9.8043000000000005E-11</v>
      </c>
      <c r="D25" s="1">
        <v>9.4915999999999998E-11</v>
      </c>
      <c r="E25" s="1">
        <v>3.1269999999999999E-12</v>
      </c>
      <c r="F25" s="1">
        <v>2.3027999999999998E-12</v>
      </c>
      <c r="G25" s="1">
        <v>7.8665999999999997E-17</v>
      </c>
      <c r="H25" s="1">
        <v>2.1477999999999999E-11</v>
      </c>
      <c r="I25" s="1">
        <v>5.6432E-12</v>
      </c>
      <c r="J25">
        <v>0</v>
      </c>
      <c r="K25" s="1"/>
      <c r="L25" s="1"/>
      <c r="N25" s="7"/>
      <c r="O25">
        <f t="shared" si="4"/>
        <v>7.4523333333333328</v>
      </c>
      <c r="P25" s="6">
        <f t="shared" si="5"/>
        <v>100.08269064112237</v>
      </c>
      <c r="Q25" s="6">
        <f t="shared" si="0"/>
        <v>18.671852171608961</v>
      </c>
      <c r="R25" s="6">
        <f t="shared" si="1"/>
        <v>4.4309049743804509</v>
      </c>
      <c r="S25" s="5">
        <f t="shared" si="2"/>
        <v>0</v>
      </c>
      <c r="T25" s="6">
        <f t="shared" si="6"/>
        <v>76.97993349513294</v>
      </c>
      <c r="U25" s="1">
        <f t="shared" si="6"/>
        <v>74.524722495476865</v>
      </c>
      <c r="V25" s="1">
        <f t="shared" si="6"/>
        <v>2.4552109996560767</v>
      </c>
      <c r="X25" s="68" t="s">
        <v>135</v>
      </c>
      <c r="Y25" s="69"/>
      <c r="Z25" s="70"/>
      <c r="AA25" s="71"/>
      <c r="AB25" s="5"/>
      <c r="AC25" s="1"/>
      <c r="AD25" s="5"/>
      <c r="AE25" s="5"/>
      <c r="AF25" s="44"/>
      <c r="AG25" s="44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578.21</v>
      </c>
      <c r="C26" s="8">
        <v>9.1262400000000006E-11</v>
      </c>
      <c r="D26" s="1">
        <v>8.8351700000000009E-11</v>
      </c>
      <c r="E26" s="1">
        <v>2.9107000000000001E-12</v>
      </c>
      <c r="F26" s="1">
        <v>2.1434999999999999E-12</v>
      </c>
      <c r="G26" s="1">
        <v>7.3689999999999995E-17</v>
      </c>
      <c r="H26" s="1">
        <v>2.7044E-11</v>
      </c>
      <c r="I26" s="1">
        <v>7.2065E-12</v>
      </c>
      <c r="J26">
        <v>0</v>
      </c>
      <c r="K26" s="1"/>
      <c r="L26" s="1"/>
      <c r="N26" s="7"/>
      <c r="O26">
        <f t="shared" si="4"/>
        <v>9.6368333333333336</v>
      </c>
      <c r="P26" s="6">
        <f t="shared" si="5"/>
        <v>100.23139698784603</v>
      </c>
      <c r="Q26" s="6">
        <f t="shared" si="0"/>
        <v>22.917003854320992</v>
      </c>
      <c r="R26" s="6">
        <f t="shared" si="1"/>
        <v>5.6583495342245227</v>
      </c>
      <c r="S26" s="5">
        <f t="shared" si="2"/>
        <v>0</v>
      </c>
      <c r="T26" s="6">
        <f t="shared" si="6"/>
        <v>71.656043599300517</v>
      </c>
      <c r="U26" s="1">
        <f t="shared" si="6"/>
        <v>69.370663792233387</v>
      </c>
      <c r="V26" s="1">
        <f t="shared" si="6"/>
        <v>2.2853798070671387</v>
      </c>
      <c r="X26" s="72"/>
      <c r="Y26" s="73"/>
      <c r="Z26" s="74"/>
      <c r="AA26" s="7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709.28</v>
      </c>
      <c r="C27" s="8">
        <v>8.49502E-11</v>
      </c>
      <c r="D27" s="1">
        <v>8.2240800000000002E-11</v>
      </c>
      <c r="E27" s="1">
        <v>2.7094000000000001E-12</v>
      </c>
      <c r="F27" s="1">
        <v>1.9951999999999998E-12</v>
      </c>
      <c r="G27" s="1">
        <v>6.8442000000000006E-17</v>
      </c>
      <c r="H27" s="1">
        <v>3.2224999999999997E-11</v>
      </c>
      <c r="I27" s="1">
        <v>8.662E-12</v>
      </c>
      <c r="J27">
        <v>0</v>
      </c>
      <c r="K27" s="1"/>
      <c r="L27" s="1"/>
      <c r="N27" s="7"/>
      <c r="O27">
        <f t="shared" si="4"/>
        <v>11.821333333333333</v>
      </c>
      <c r="P27" s="6">
        <f t="shared" si="5"/>
        <v>100.36958190981346</v>
      </c>
      <c r="Q27" s="6">
        <f t="shared" si="0"/>
        <v>26.868503821691998</v>
      </c>
      <c r="R27" s="6">
        <f t="shared" si="1"/>
        <v>6.8011530919642373</v>
      </c>
      <c r="S27" s="5">
        <f t="shared" si="2"/>
        <v>0</v>
      </c>
      <c r="T27" s="6">
        <f t="shared" si="6"/>
        <v>66.699924996157222</v>
      </c>
      <c r="U27" s="1">
        <f t="shared" si="6"/>
        <v>64.572598906464819</v>
      </c>
      <c r="V27" s="1">
        <f t="shared" si="6"/>
        <v>2.1273260896924127</v>
      </c>
      <c r="X27" s="76" t="s">
        <v>143</v>
      </c>
      <c r="Y27" s="73"/>
      <c r="Z27" s="74"/>
      <c r="AA27" s="7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971.43</v>
      </c>
      <c r="C28" s="8">
        <v>7.3330199999999993E-11</v>
      </c>
      <c r="D28" s="1">
        <v>7.0991399999999999E-11</v>
      </c>
      <c r="E28" s="1">
        <v>2.3388000000000001E-12</v>
      </c>
      <c r="F28" s="1">
        <v>1.7224E-12</v>
      </c>
      <c r="G28" s="1">
        <v>5.7575999999999996E-17</v>
      </c>
      <c r="H28" s="1">
        <v>4.1532999999999998E-11</v>
      </c>
      <c r="I28" s="1">
        <v>1.1275E-11</v>
      </c>
      <c r="J28">
        <v>0</v>
      </c>
      <c r="K28" s="1"/>
      <c r="L28" s="1"/>
      <c r="N28" s="7"/>
      <c r="O28">
        <f t="shared" si="4"/>
        <v>16.1905</v>
      </c>
      <c r="P28" s="6">
        <f t="shared" si="5"/>
        <v>100.39171503161313</v>
      </c>
      <c r="Q28" s="6">
        <f t="shared" si="0"/>
        <v>33.962626758721917</v>
      </c>
      <c r="R28" s="6">
        <f t="shared" si="1"/>
        <v>8.852780742676936</v>
      </c>
      <c r="S28" s="5">
        <f t="shared" si="2"/>
        <v>0</v>
      </c>
      <c r="T28" s="6">
        <f t="shared" si="6"/>
        <v>57.576307530214265</v>
      </c>
      <c r="U28" s="1">
        <f t="shared" si="6"/>
        <v>55.739963594814327</v>
      </c>
      <c r="V28" s="1">
        <f t="shared" si="6"/>
        <v>1.8363439353999464</v>
      </c>
      <c r="X28" s="76" t="s">
        <v>144</v>
      </c>
      <c r="Y28" s="73"/>
      <c r="Z28" s="74"/>
      <c r="AA28" s="7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1233.5999999999999</v>
      </c>
      <c r="C29" s="8">
        <v>6.3199499999999995E-11</v>
      </c>
      <c r="D29" s="1">
        <v>6.1183799999999999E-11</v>
      </c>
      <c r="E29" s="1">
        <v>2.0157E-12</v>
      </c>
      <c r="F29" s="1">
        <v>1.4844E-12</v>
      </c>
      <c r="G29" s="1">
        <v>4.9226E-17</v>
      </c>
      <c r="H29" s="1">
        <v>4.9561999999999999E-11</v>
      </c>
      <c r="I29" s="1">
        <v>1.3528E-11</v>
      </c>
      <c r="J29">
        <v>0</v>
      </c>
      <c r="K29" s="1"/>
      <c r="L29" s="1"/>
      <c r="N29" s="7"/>
      <c r="O29">
        <f t="shared" si="4"/>
        <v>20.56</v>
      </c>
      <c r="P29" s="6">
        <f t="shared" si="5"/>
        <v>100.32363466874712</v>
      </c>
      <c r="Q29" s="6">
        <f t="shared" si="0"/>
        <v>40.079847384983672</v>
      </c>
      <c r="R29" s="6">
        <f t="shared" si="1"/>
        <v>10.621750963723722</v>
      </c>
      <c r="S29" s="5">
        <f t="shared" si="2"/>
        <v>0</v>
      </c>
      <c r="T29" s="6">
        <f t="shared" si="6"/>
        <v>49.622036320039719</v>
      </c>
      <c r="U29" s="1">
        <f t="shared" si="6"/>
        <v>48.039379200753906</v>
      </c>
      <c r="V29" s="1">
        <f t="shared" si="6"/>
        <v>1.5826571192858181</v>
      </c>
      <c r="X29" s="76" t="s">
        <v>145</v>
      </c>
      <c r="Y29" s="73"/>
      <c r="Z29" s="74"/>
      <c r="AA29" s="7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1495.7</v>
      </c>
      <c r="C30" s="8">
        <v>5.4434500000000006E-11</v>
      </c>
      <c r="D30" s="1">
        <v>5.2698300000000004E-11</v>
      </c>
      <c r="E30" s="1">
        <v>1.7362E-12</v>
      </c>
      <c r="F30" s="1">
        <v>1.2785000000000001E-12</v>
      </c>
      <c r="G30" s="1">
        <v>4.3259000000000001E-17</v>
      </c>
      <c r="H30" s="1">
        <v>5.6480000000000002E-11</v>
      </c>
      <c r="I30" s="1">
        <v>1.5469E-11</v>
      </c>
      <c r="J30">
        <v>0</v>
      </c>
      <c r="K30" s="1"/>
      <c r="L30" s="1"/>
      <c r="N30" s="7"/>
      <c r="O30">
        <f t="shared" si="4"/>
        <v>24.928333333333335</v>
      </c>
      <c r="P30" s="6">
        <f t="shared" si="5"/>
        <v>100.23577001856947</v>
      </c>
      <c r="Q30" s="6">
        <f t="shared" si="0"/>
        <v>45.34995347733787</v>
      </c>
      <c r="R30" s="6">
        <f t="shared" si="1"/>
        <v>12.145751571363123</v>
      </c>
      <c r="S30" s="5">
        <f t="shared" si="2"/>
        <v>0</v>
      </c>
      <c r="T30" s="6">
        <f t="shared" si="6"/>
        <v>42.740064969868477</v>
      </c>
      <c r="U30" s="1">
        <f t="shared" si="6"/>
        <v>41.37686147207414</v>
      </c>
      <c r="V30" s="1">
        <f t="shared" si="6"/>
        <v>1.3632034977943333</v>
      </c>
      <c r="X30" s="76" t="s">
        <v>146</v>
      </c>
      <c r="Y30" s="73"/>
      <c r="Z30" s="74"/>
      <c r="AA30" s="7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1927.7</v>
      </c>
      <c r="C31" s="8">
        <v>4.2456700000000003E-11</v>
      </c>
      <c r="D31" s="1">
        <v>4.1102600000000001E-11</v>
      </c>
      <c r="E31" s="1">
        <v>1.3541000000000001E-12</v>
      </c>
      <c r="F31" s="1">
        <v>9.9720000000000003E-13</v>
      </c>
      <c r="G31" s="1">
        <v>3.3533000000000002E-17</v>
      </c>
      <c r="H31" s="1">
        <v>6.5869000000000005E-11</v>
      </c>
      <c r="I31" s="1">
        <v>1.8106000000000001E-11</v>
      </c>
      <c r="J31">
        <v>0</v>
      </c>
      <c r="K31" s="1"/>
      <c r="L31" s="1"/>
      <c r="N31" s="7"/>
      <c r="O31">
        <f t="shared" si="4"/>
        <v>32.128333333333337</v>
      </c>
      <c r="P31" s="6">
        <f t="shared" si="5"/>
        <v>100.05274041722569</v>
      </c>
      <c r="Q31" s="6">
        <f t="shared" si="0"/>
        <v>52.501000877903145</v>
      </c>
      <c r="R31" s="6">
        <f t="shared" si="1"/>
        <v>14.216224077506675</v>
      </c>
      <c r="S31" s="5">
        <f t="shared" si="2"/>
        <v>0</v>
      </c>
      <c r="T31" s="6">
        <f t="shared" si="6"/>
        <v>33.335515461815845</v>
      </c>
      <c r="U31" s="1">
        <f t="shared" si="6"/>
        <v>32.272323515978208</v>
      </c>
      <c r="V31" s="1">
        <f t="shared" si="6"/>
        <v>1.0631919458376378</v>
      </c>
      <c r="X31" s="72"/>
      <c r="Y31" s="73"/>
      <c r="Z31" s="74"/>
      <c r="AA31" s="7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2359.6999999999998</v>
      </c>
      <c r="C32" s="8">
        <v>3.3073699999999999E-11</v>
      </c>
      <c r="D32" s="1">
        <v>3.2018800000000002E-11</v>
      </c>
      <c r="E32" s="1">
        <v>1.0549000000000001E-12</v>
      </c>
      <c r="F32" s="1">
        <v>7.7682000000000002E-13</v>
      </c>
      <c r="G32" s="1">
        <v>2.556E-17</v>
      </c>
      <c r="H32" s="1">
        <v>7.3188999999999999E-11</v>
      </c>
      <c r="I32" s="1">
        <v>2.0158999999999999E-11</v>
      </c>
      <c r="J32">
        <v>0</v>
      </c>
      <c r="K32" s="1"/>
      <c r="L32" s="1"/>
      <c r="N32" s="7"/>
      <c r="O32">
        <f t="shared" si="4"/>
        <v>39.328333333333333</v>
      </c>
      <c r="P32" s="6">
        <f t="shared" si="5"/>
        <v>99.871847841114999</v>
      </c>
      <c r="Q32" s="6">
        <f t="shared" si="0"/>
        <v>58.075374116591441</v>
      </c>
      <c r="R32" s="6">
        <f t="shared" si="1"/>
        <v>15.828161591704509</v>
      </c>
      <c r="S32" s="5">
        <f t="shared" si="2"/>
        <v>0</v>
      </c>
      <c r="T32" s="6">
        <f t="shared" si="6"/>
        <v>25.968312132819054</v>
      </c>
      <c r="U32" s="1">
        <f t="shared" si="6"/>
        <v>25.140041559254232</v>
      </c>
      <c r="V32" s="1">
        <f t="shared" si="6"/>
        <v>0.82827057356482103</v>
      </c>
      <c r="X32" s="72"/>
      <c r="Y32" s="73"/>
      <c r="Z32" s="74"/>
      <c r="AA32" s="89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ht="18.75" x14ac:dyDescent="0.3">
      <c r="B33" s="7">
        <v>2791.7</v>
      </c>
      <c r="C33" s="8">
        <v>2.5751209999999999E-11</v>
      </c>
      <c r="D33" s="1">
        <v>2.4929899999999999E-11</v>
      </c>
      <c r="E33" s="1">
        <v>8.2130999999999996E-13</v>
      </c>
      <c r="F33" s="1">
        <v>6.0483999999999998E-13</v>
      </c>
      <c r="G33" s="1">
        <v>2.0022999999999999E-17</v>
      </c>
      <c r="H33" s="1">
        <v>7.8889000000000003E-11</v>
      </c>
      <c r="I33" s="1">
        <v>2.1758999999999999E-11</v>
      </c>
      <c r="J33">
        <v>0</v>
      </c>
      <c r="K33" s="1"/>
      <c r="L33" s="1"/>
      <c r="N33" s="7"/>
      <c r="O33">
        <f t="shared" si="4"/>
        <v>46.528333333333329</v>
      </c>
      <c r="P33" s="6">
        <f t="shared" si="5"/>
        <v>99.71915245332913</v>
      </c>
      <c r="Q33" s="6">
        <f t="shared" si="0"/>
        <v>62.415782018836019</v>
      </c>
      <c r="R33" s="6">
        <f t="shared" si="1"/>
        <v>17.084421267095113</v>
      </c>
      <c r="S33" s="5">
        <f t="shared" si="2"/>
        <v>0</v>
      </c>
      <c r="T33" s="6">
        <f t="shared" si="6"/>
        <v>20.218949167398005</v>
      </c>
      <c r="U33" s="1">
        <f t="shared" si="6"/>
        <v>19.574085289519036</v>
      </c>
      <c r="V33" s="1">
        <f t="shared" si="6"/>
        <v>0.64486387787896771</v>
      </c>
      <c r="X33" s="77" t="s">
        <v>141</v>
      </c>
      <c r="Y33" s="78" t="s">
        <v>136</v>
      </c>
      <c r="Z33" s="79"/>
      <c r="AA33" s="90">
        <v>0.357666926836674</v>
      </c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ht="18.75" x14ac:dyDescent="0.3">
      <c r="B34" s="7">
        <v>3223.7</v>
      </c>
      <c r="C34" s="8">
        <v>2.0045529999999999E-11</v>
      </c>
      <c r="D34" s="1">
        <v>1.9406199999999998E-11</v>
      </c>
      <c r="E34" s="1">
        <v>6.3932999999999996E-13</v>
      </c>
      <c r="F34" s="1">
        <v>4.7082000000000001E-13</v>
      </c>
      <c r="G34" s="1">
        <v>1.5869000000000001E-17</v>
      </c>
      <c r="H34" s="1">
        <v>8.3327999999999994E-11</v>
      </c>
      <c r="I34" s="1">
        <v>2.3004E-11</v>
      </c>
      <c r="J34">
        <v>0</v>
      </c>
      <c r="K34" s="1"/>
      <c r="L34" s="1"/>
      <c r="N34" s="7"/>
      <c r="O34">
        <f t="shared" si="4"/>
        <v>53.728333333333332</v>
      </c>
      <c r="P34" s="6">
        <f t="shared" si="5"/>
        <v>99.596898999030131</v>
      </c>
      <c r="Q34" s="6">
        <f t="shared" si="0"/>
        <v>65.795901702014575</v>
      </c>
      <c r="R34" s="6">
        <f t="shared" si="1"/>
        <v>18.061948448299244</v>
      </c>
      <c r="S34" s="5">
        <f t="shared" si="2"/>
        <v>0</v>
      </c>
      <c r="T34" s="6">
        <f t="shared" si="6"/>
        <v>15.739048848716299</v>
      </c>
      <c r="U34" s="1">
        <f t="shared" si="6"/>
        <v>15.237069300136152</v>
      </c>
      <c r="V34" s="1">
        <f t="shared" si="6"/>
        <v>0.50197954858014693</v>
      </c>
      <c r="X34" s="81"/>
      <c r="Y34" s="82" t="s">
        <v>137</v>
      </c>
      <c r="Z34" s="79"/>
      <c r="AA34" s="90">
        <v>77.970460217834898</v>
      </c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3655.7</v>
      </c>
      <c r="C35" s="8">
        <v>1.5601610000000002E-11</v>
      </c>
      <c r="D35" s="1">
        <v>1.5104E-11</v>
      </c>
      <c r="E35" s="1">
        <v>4.9761000000000004E-13</v>
      </c>
      <c r="F35" s="1">
        <v>3.6645999999999999E-13</v>
      </c>
      <c r="G35" s="1">
        <v>1.2274E-17</v>
      </c>
      <c r="H35" s="1">
        <v>8.6782000000000001E-11</v>
      </c>
      <c r="I35" s="1">
        <v>2.3974000000000001E-11</v>
      </c>
      <c r="J35">
        <v>0</v>
      </c>
      <c r="K35" s="1"/>
      <c r="L35" s="1"/>
      <c r="N35" s="7"/>
      <c r="O35">
        <f t="shared" si="4"/>
        <v>60.928333333333327</v>
      </c>
      <c r="P35" s="6">
        <f t="shared" si="5"/>
        <v>99.4993158683871</v>
      </c>
      <c r="Q35" s="6">
        <f t="shared" si="0"/>
        <v>68.425921840450158</v>
      </c>
      <c r="R35" s="6">
        <f t="shared" si="1"/>
        <v>18.823555689483403</v>
      </c>
      <c r="S35" s="5">
        <f t="shared" si="2"/>
        <v>0</v>
      </c>
      <c r="T35" s="6">
        <f t="shared" si="6"/>
        <v>12.249838338453548</v>
      </c>
      <c r="U35" s="1">
        <f t="shared" si="6"/>
        <v>11.859132375697277</v>
      </c>
      <c r="V35" s="1">
        <f t="shared" si="6"/>
        <v>0.39070596275627129</v>
      </c>
      <c r="X35" s="81"/>
      <c r="Y35" s="82" t="s">
        <v>138</v>
      </c>
      <c r="Z35" s="79"/>
      <c r="AA35" s="90">
        <v>1.5342407988695E-2</v>
      </c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4044.5</v>
      </c>
      <c r="C36" s="8">
        <v>1.246051E-11</v>
      </c>
      <c r="D36" s="1">
        <v>1.2063080000000001E-11</v>
      </c>
      <c r="E36" s="1">
        <v>3.9743E-13</v>
      </c>
      <c r="F36" s="1">
        <v>2.9268000000000002E-13</v>
      </c>
      <c r="G36" s="1">
        <v>9.7444000000000003E-18</v>
      </c>
      <c r="H36" s="1">
        <v>8.9229999999999998E-11</v>
      </c>
      <c r="I36" s="1">
        <v>2.4661000000000001E-11</v>
      </c>
      <c r="J36">
        <v>0</v>
      </c>
      <c r="K36" s="1"/>
      <c r="L36" s="1"/>
      <c r="N36" s="7"/>
      <c r="O36" s="51">
        <f t="shared" si="4"/>
        <v>67.408333333333331</v>
      </c>
      <c r="P36" s="52">
        <f t="shared" si="5"/>
        <v>99.436594900892928</v>
      </c>
      <c r="Q36" s="52">
        <f t="shared" si="0"/>
        <v>70.290076320655913</v>
      </c>
      <c r="R36" s="52">
        <f t="shared" si="1"/>
        <v>19.362962068140892</v>
      </c>
      <c r="S36" s="53">
        <f t="shared" si="2"/>
        <v>0</v>
      </c>
      <c r="T36" s="52">
        <f t="shared" si="6"/>
        <v>9.7835565120961121</v>
      </c>
      <c r="U36" s="54">
        <f t="shared" si="6"/>
        <v>9.4715083804704925</v>
      </c>
      <c r="V36" s="54">
        <f t="shared" si="6"/>
        <v>0.31204813162562028</v>
      </c>
      <c r="X36" s="81"/>
      <c r="Y36" s="82" t="s">
        <v>139</v>
      </c>
      <c r="Z36" s="79"/>
      <c r="AA36" s="90">
        <v>7.2048160987532199</v>
      </c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4320</v>
      </c>
      <c r="C37" s="8">
        <v>1.061939E-11</v>
      </c>
      <c r="D37" s="1">
        <v>1.028069E-11</v>
      </c>
      <c r="E37" s="1">
        <v>3.3870000000000001E-13</v>
      </c>
      <c r="F37" s="1">
        <v>2.4942000000000001E-13</v>
      </c>
      <c r="G37" s="1">
        <v>8.3091E-18</v>
      </c>
      <c r="H37" s="1">
        <v>9.0656000000000005E-11</v>
      </c>
      <c r="I37" s="1">
        <v>2.5062E-11</v>
      </c>
      <c r="J37">
        <v>0</v>
      </c>
      <c r="K37" s="1"/>
      <c r="L37" s="1"/>
      <c r="N37" s="7"/>
      <c r="O37" s="51">
        <f t="shared" si="4"/>
        <v>72</v>
      </c>
      <c r="P37" s="52">
        <f t="shared" si="5"/>
        <v>99.391541005426149</v>
      </c>
      <c r="Q37" s="52">
        <f t="shared" si="0"/>
        <v>71.375755392502555</v>
      </c>
      <c r="R37" s="52">
        <f t="shared" si="1"/>
        <v>19.677812111920151</v>
      </c>
      <c r="S37" s="53">
        <f t="shared" si="2"/>
        <v>0</v>
      </c>
      <c r="T37" s="52">
        <f t="shared" si="6"/>
        <v>8.3379735010034359</v>
      </c>
      <c r="U37" s="54">
        <f t="shared" si="6"/>
        <v>8.0720381106665275</v>
      </c>
      <c r="V37" s="54">
        <f t="shared" si="6"/>
        <v>0.26593539033690861</v>
      </c>
      <c r="X37" s="81"/>
      <c r="Y37" s="82" t="s">
        <v>140</v>
      </c>
      <c r="Z37" s="79"/>
      <c r="AA37" s="90">
        <v>3.4145737695631499E-2</v>
      </c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3404</v>
      </c>
      <c r="C38" s="8">
        <v>4.0173500000000004E-12</v>
      </c>
      <c r="D38" s="1">
        <v>3.8209500000000002E-12</v>
      </c>
      <c r="E38" s="1">
        <v>1.964E-13</v>
      </c>
      <c r="F38" s="1">
        <v>9.2948000000000004E-14</v>
      </c>
      <c r="G38" s="1">
        <v>1.5305999999999999E-17</v>
      </c>
      <c r="H38" s="1">
        <v>5.3634999999999998E-11</v>
      </c>
      <c r="I38" s="1">
        <v>7.3232000000000006E-11</v>
      </c>
      <c r="J38">
        <v>0</v>
      </c>
      <c r="K38" s="1"/>
      <c r="L38" s="1"/>
      <c r="N38" s="7"/>
      <c r="P38" s="6"/>
      <c r="Q38" s="6"/>
      <c r="R38" s="6"/>
      <c r="S38" s="5"/>
      <c r="T38" s="6"/>
      <c r="U38" s="1"/>
      <c r="V38" s="1"/>
      <c r="X38" s="81"/>
      <c r="Y38" s="103" t="s">
        <v>151</v>
      </c>
      <c r="Z38" s="85"/>
      <c r="AA38" s="91">
        <v>8.5792582587891708</v>
      </c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3578.6</v>
      </c>
      <c r="C39" s="8">
        <v>3.3614799999999999E-12</v>
      </c>
      <c r="D39" s="1">
        <v>3.19715E-12</v>
      </c>
      <c r="E39" s="1">
        <v>1.6432999999999999E-13</v>
      </c>
      <c r="F39" s="1">
        <v>7.7771999999999999E-14</v>
      </c>
      <c r="G39" s="1">
        <v>1.2803E-17</v>
      </c>
      <c r="H39" s="1">
        <v>5.3918999999999998E-11</v>
      </c>
      <c r="I39" s="1">
        <v>7.3622000000000004E-11</v>
      </c>
      <c r="J39">
        <v>0</v>
      </c>
      <c r="K39" s="1"/>
      <c r="L39" s="1"/>
      <c r="N39" s="7"/>
      <c r="P39" s="6"/>
      <c r="Q39" s="6"/>
      <c r="R39" s="6"/>
      <c r="S39" s="5"/>
      <c r="T39" s="6"/>
      <c r="U39" s="1"/>
      <c r="V39" s="1"/>
      <c r="X39" s="81"/>
      <c r="Y39" s="103" t="s">
        <v>152</v>
      </c>
      <c r="Z39" s="85"/>
      <c r="AA39" s="91">
        <v>-7.2048160987532199</v>
      </c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3753.2</v>
      </c>
      <c r="C40" s="8">
        <v>2.81264E-12</v>
      </c>
      <c r="D40" s="1">
        <v>2.6751399999999998E-12</v>
      </c>
      <c r="E40" s="1">
        <v>1.3749999999999999E-13</v>
      </c>
      <c r="F40" s="1">
        <v>6.5075000000000003E-14</v>
      </c>
      <c r="G40" s="1">
        <v>1.0706E-17</v>
      </c>
      <c r="H40" s="1">
        <v>5.4156999999999997E-11</v>
      </c>
      <c r="I40" s="1">
        <v>7.3949000000000005E-11</v>
      </c>
      <c r="J40">
        <v>0</v>
      </c>
      <c r="K40" s="1"/>
      <c r="L40" s="1"/>
      <c r="N40" s="7"/>
      <c r="P40" s="6"/>
      <c r="Q40" s="6"/>
      <c r="R40" s="6"/>
      <c r="S40" s="5"/>
      <c r="T40" s="6"/>
      <c r="U40" s="1"/>
      <c r="V40" s="1"/>
      <c r="X40" s="81"/>
      <c r="Y40" s="103" t="s">
        <v>153</v>
      </c>
      <c r="Z40" s="85"/>
      <c r="AA40" s="91">
        <v>2.6094864591270701</v>
      </c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3927.8</v>
      </c>
      <c r="C41" s="8">
        <v>2.3533899999999999E-12</v>
      </c>
      <c r="D41" s="1">
        <v>2.2383399999999999E-12</v>
      </c>
      <c r="E41" s="1">
        <v>1.1505E-13</v>
      </c>
      <c r="F41" s="1">
        <v>5.4449999999999998E-14</v>
      </c>
      <c r="G41" s="1">
        <v>8.9642999999999994E-18</v>
      </c>
      <c r="H41" s="1">
        <v>5.4355999999999998E-11</v>
      </c>
      <c r="I41" s="1">
        <v>7.4223000000000003E-11</v>
      </c>
      <c r="J41">
        <v>0</v>
      </c>
      <c r="K41" s="1"/>
      <c r="L41" s="1"/>
      <c r="N41" s="7"/>
      <c r="P41" s="6"/>
      <c r="Q41" s="6"/>
      <c r="R41" s="6"/>
      <c r="S41" s="5"/>
      <c r="T41" s="6"/>
      <c r="U41" s="1"/>
      <c r="V41" s="1"/>
      <c r="X41" s="81"/>
      <c r="Y41" s="103" t="s">
        <v>154</v>
      </c>
      <c r="Z41" s="85"/>
      <c r="AA41" s="91">
        <v>-3.4145737695631499E-2</v>
      </c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x14ac:dyDescent="0.3">
      <c r="B42" s="7">
        <v>4102.3999999999996</v>
      </c>
      <c r="C42" s="8">
        <v>1.9691679999999998E-12</v>
      </c>
      <c r="D42" s="1">
        <v>1.8728999999999998E-12</v>
      </c>
      <c r="E42" s="1">
        <v>9.6267999999999997E-14</v>
      </c>
      <c r="F42" s="1">
        <v>4.5559999999999997E-14</v>
      </c>
      <c r="G42" s="1">
        <v>7.4969000000000005E-18</v>
      </c>
      <c r="H42" s="1">
        <v>5.4523000000000003E-11</v>
      </c>
      <c r="I42" s="1">
        <v>7.4450999999999994E-11</v>
      </c>
      <c r="J42">
        <v>0</v>
      </c>
      <c r="K42" s="1"/>
      <c r="L42" s="1"/>
      <c r="N42" s="7"/>
      <c r="P42" s="6"/>
      <c r="Q42" s="6"/>
      <c r="R42" s="6"/>
      <c r="S42" s="5"/>
      <c r="T42" s="6"/>
      <c r="U42" s="1"/>
      <c r="V42" s="1"/>
      <c r="X42" s="81"/>
      <c r="Y42" s="101"/>
      <c r="Z42" s="83"/>
      <c r="AA42" s="89"/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4277</v>
      </c>
      <c r="C43" s="8">
        <v>1.64767E-12</v>
      </c>
      <c r="D43" s="8">
        <v>1.5671199999999999E-12</v>
      </c>
      <c r="E43" s="8">
        <v>8.0549999999999995E-14</v>
      </c>
      <c r="F43" s="1">
        <v>3.8121000000000002E-14</v>
      </c>
      <c r="G43" s="1">
        <v>6.2706000000000004E-18</v>
      </c>
      <c r="H43" s="1">
        <v>5.4662E-11</v>
      </c>
      <c r="I43" s="1">
        <v>7.4643E-11</v>
      </c>
      <c r="J43">
        <v>0</v>
      </c>
      <c r="K43" s="1"/>
      <c r="L43" s="1"/>
      <c r="N43" s="7"/>
      <c r="P43" s="6"/>
      <c r="Q43" s="6"/>
      <c r="R43" s="6"/>
      <c r="S43" s="5"/>
      <c r="T43" s="6"/>
      <c r="U43" s="1"/>
      <c r="V43" s="1"/>
      <c r="X43" s="77" t="s">
        <v>142</v>
      </c>
      <c r="Y43" s="102" t="s">
        <v>136</v>
      </c>
      <c r="Z43" s="83"/>
      <c r="AA43" s="90">
        <v>7.0456368033306998E-3</v>
      </c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4320</v>
      </c>
      <c r="C44" s="8">
        <v>1.5765109999999999E-12</v>
      </c>
      <c r="D44" s="8">
        <v>1.4994399999999999E-12</v>
      </c>
      <c r="E44" s="8">
        <v>7.7071000000000003E-14</v>
      </c>
      <c r="F44" s="1">
        <v>3.6474999999999997E-14</v>
      </c>
      <c r="G44" s="1">
        <v>6.0001000000000001E-18</v>
      </c>
      <c r="H44" s="1">
        <v>5.4693000000000001E-11</v>
      </c>
      <c r="I44" s="1">
        <v>7.4684999999999999E-11</v>
      </c>
      <c r="J44">
        <v>0</v>
      </c>
      <c r="K44" s="1"/>
      <c r="L44" s="1"/>
      <c r="N44" s="7"/>
      <c r="P44" s="6"/>
      <c r="Q44" s="6"/>
      <c r="R44" s="6"/>
      <c r="S44" s="5"/>
      <c r="T44" s="6"/>
      <c r="U44" s="1"/>
      <c r="V44" s="1"/>
      <c r="X44" s="81"/>
      <c r="Y44" s="102" t="s">
        <v>137</v>
      </c>
      <c r="Z44" s="83"/>
      <c r="AA44" s="90">
        <v>21.586868201049398</v>
      </c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/>
      <c r="C45" s="8"/>
      <c r="D45" s="8"/>
      <c r="E45" s="8"/>
      <c r="F45" s="1"/>
      <c r="G45" s="1"/>
      <c r="H45" s="1"/>
      <c r="I45" s="1"/>
      <c r="J45" s="8"/>
      <c r="K45" s="1"/>
      <c r="L45" s="1"/>
      <c r="N45" s="7"/>
      <c r="P45" s="6"/>
      <c r="Q45" s="6"/>
      <c r="R45" s="6"/>
      <c r="S45" s="5"/>
      <c r="T45" s="6"/>
      <c r="U45" s="1"/>
      <c r="V45" s="1"/>
      <c r="X45" s="81"/>
      <c r="Y45" s="102" t="s">
        <v>138</v>
      </c>
      <c r="Z45" s="83"/>
      <c r="AA45" s="90">
        <v>-2.4665360412346099E-2</v>
      </c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/>
      <c r="C46" s="8"/>
      <c r="D46" s="8"/>
      <c r="E46" s="8"/>
      <c r="F46" s="1"/>
      <c r="G46" s="1"/>
      <c r="H46" s="1"/>
      <c r="I46" s="1"/>
      <c r="J46" s="8"/>
      <c r="K46" s="1"/>
      <c r="L46" s="1"/>
      <c r="N46" s="7"/>
      <c r="P46" s="6"/>
      <c r="Q46" s="6"/>
      <c r="R46" s="6"/>
      <c r="S46" s="5"/>
      <c r="T46" s="6"/>
      <c r="U46" s="1"/>
      <c r="V46" s="1"/>
      <c r="X46" s="81"/>
      <c r="Y46" s="102" t="s">
        <v>139</v>
      </c>
      <c r="Z46" s="83"/>
      <c r="AA46" s="90">
        <v>1.58849546044547</v>
      </c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/>
      <c r="C47" s="8"/>
      <c r="D47" s="8"/>
      <c r="E47" s="8"/>
      <c r="F47" s="1"/>
      <c r="G47" s="1"/>
      <c r="H47" s="1"/>
      <c r="I47" s="1"/>
      <c r="J47" s="8"/>
      <c r="K47" s="1"/>
      <c r="L47" s="1"/>
      <c r="N47" s="7"/>
      <c r="P47" s="6"/>
      <c r="Q47" s="6"/>
      <c r="R47" s="6"/>
      <c r="S47" s="5"/>
      <c r="T47" s="6"/>
      <c r="U47" s="1"/>
      <c r="V47" s="1"/>
      <c r="X47" s="81"/>
      <c r="Y47" s="102" t="s">
        <v>140</v>
      </c>
      <c r="Z47" s="83"/>
      <c r="AA47" s="90">
        <v>3.4136885120690103E-2</v>
      </c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9.5" thickBot="1" x14ac:dyDescent="0.35">
      <c r="B48" s="7"/>
      <c r="C48" s="8"/>
      <c r="D48" s="8"/>
      <c r="E48" s="8"/>
      <c r="F48" s="1"/>
      <c r="G48" s="1"/>
      <c r="H48" s="1"/>
      <c r="I48" s="1"/>
      <c r="J48" s="8"/>
      <c r="K48" s="1"/>
      <c r="L48" s="1"/>
      <c r="N48" s="7"/>
      <c r="P48" s="6"/>
      <c r="Q48" s="6"/>
      <c r="R48" s="6"/>
      <c r="S48" s="5"/>
      <c r="T48" s="6"/>
      <c r="U48" s="1"/>
      <c r="V48" s="1"/>
      <c r="X48" s="81"/>
      <c r="Y48" s="103" t="s">
        <v>151</v>
      </c>
      <c r="Z48" s="86"/>
      <c r="AA48" s="91">
        <v>-0.84551499343967795</v>
      </c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A49" s="7"/>
      <c r="B49" s="8" t="s">
        <v>18</v>
      </c>
      <c r="C49" s="8" t="s">
        <v>18</v>
      </c>
      <c r="D49" s="8" t="s">
        <v>18</v>
      </c>
      <c r="E49" s="1" t="s">
        <v>74</v>
      </c>
      <c r="F49" s="40"/>
      <c r="G49" s="41" t="s">
        <v>75</v>
      </c>
      <c r="H49" s="41" t="s">
        <v>75</v>
      </c>
      <c r="I49" s="42" t="s">
        <v>75</v>
      </c>
      <c r="N49" s="7"/>
      <c r="P49" s="6"/>
      <c r="Q49" s="6"/>
      <c r="R49" s="6"/>
      <c r="S49" s="5"/>
      <c r="T49" s="6"/>
      <c r="U49" s="1"/>
      <c r="V49" s="1"/>
      <c r="X49" s="81"/>
      <c r="Y49" s="103" t="s">
        <v>152</v>
      </c>
      <c r="Z49" s="86"/>
      <c r="AA49" s="91">
        <v>-1.58849546044547</v>
      </c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A50" s="7"/>
      <c r="B50" s="8" t="s">
        <v>73</v>
      </c>
      <c r="C50" s="8" t="s">
        <v>71</v>
      </c>
      <c r="D50" s="8" t="s">
        <v>72</v>
      </c>
      <c r="E50" s="1" t="s">
        <v>71</v>
      </c>
      <c r="F50" s="43"/>
      <c r="G50" s="8" t="s">
        <v>73</v>
      </c>
      <c r="H50" s="8" t="s">
        <v>71</v>
      </c>
      <c r="I50" s="44" t="s">
        <v>72</v>
      </c>
      <c r="Q50" s="6"/>
      <c r="R50" s="6"/>
      <c r="S50" s="5"/>
      <c r="T50" s="6"/>
      <c r="U50" s="1"/>
      <c r="V50" s="1"/>
      <c r="X50" s="81"/>
      <c r="Y50" s="103" t="s">
        <v>153</v>
      </c>
      <c r="Z50" s="86"/>
      <c r="AA50" s="91">
        <v>0.75483810364529902</v>
      </c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8.75" x14ac:dyDescent="0.3">
      <c r="A51" s="7" t="s">
        <v>0</v>
      </c>
      <c r="B51" s="8" t="s">
        <v>170</v>
      </c>
      <c r="C51" s="8" t="s">
        <v>87</v>
      </c>
      <c r="D51" s="8" t="s">
        <v>87</v>
      </c>
      <c r="E51" s="1" t="s">
        <v>87</v>
      </c>
      <c r="F51" s="45" t="str">
        <f>A51</f>
        <v>Time (min)</v>
      </c>
      <c r="G51" s="8" t="str">
        <f>B51</f>
        <v>MW=66.5, sigma_ve=0.7, sigma_le=0.05, p_ve=1E-9, p_le=1E-8, D_gel=6.2E-11, kf_m=0.17, kr_m=4.77, k_decay=0, cA+cMA (mol)</v>
      </c>
      <c r="H51" s="8" t="str">
        <f>C51</f>
        <v>MW=66.5, sigma_ve=0.7, sigma_le=0.05, p_ve=1E-9, p_le=1E-8, D_gel=6.2E-11, kf_m=0.17, kr_m=4.77, k_decay=0, Concentration (mol)</v>
      </c>
      <c r="I51" s="44" t="str">
        <f>D51</f>
        <v>MW=66.5, sigma_ve=0.7, sigma_le=0.05, p_ve=1E-9, p_le=1E-8, D_gel=6.2E-11, kf_m=0.17, kr_m=4.77, k_decay=0, Concentration (mol)</v>
      </c>
      <c r="Q51" s="6"/>
      <c r="R51" s="6"/>
      <c r="S51" s="5"/>
      <c r="T51" s="6"/>
      <c r="U51" s="1"/>
      <c r="V51" s="1"/>
      <c r="X51" s="84"/>
      <c r="Y51" s="104" t="s">
        <v>154</v>
      </c>
      <c r="Z51" s="87"/>
      <c r="AA51" s="92">
        <v>-3.4136885120690103E-2</v>
      </c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7">
        <v>0</v>
      </c>
      <c r="B52" s="8">
        <v>1.2102999999999999E-10</v>
      </c>
      <c r="C52" s="8">
        <v>1.2102999999999999E-10</v>
      </c>
      <c r="D52" s="8">
        <v>2.3321999999999999E-15</v>
      </c>
      <c r="E52" s="1">
        <v>6.0723000000000003E-12</v>
      </c>
      <c r="F52" s="45">
        <f t="shared" ref="F52:F94" si="7">A52</f>
        <v>0</v>
      </c>
      <c r="G52" s="8">
        <f>H52+I52</f>
        <v>1.2710463219999998E-10</v>
      </c>
      <c r="H52" s="1">
        <f t="shared" ref="H52:H94" si="8">C52+E52</f>
        <v>1.2710229999999999E-10</v>
      </c>
      <c r="I52" s="46">
        <f t="shared" ref="I52:I94" si="9">D52</f>
        <v>2.3321999999999999E-15</v>
      </c>
      <c r="Q52" s="6"/>
      <c r="R52" s="6"/>
      <c r="S52" s="5"/>
      <c r="T52" s="6"/>
      <c r="U52" s="1"/>
      <c r="V52" s="1"/>
      <c r="X52" s="5"/>
      <c r="Y52" s="5"/>
      <c r="Z52" s="5"/>
      <c r="AA52" s="93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7">
        <v>2.7240000000000002</v>
      </c>
      <c r="B53" s="8">
        <v>1.1959E-10</v>
      </c>
      <c r="C53" s="8">
        <v>1.1547E-10</v>
      </c>
      <c r="D53" s="8">
        <v>4.1152999999999996E-12</v>
      </c>
      <c r="E53" s="1">
        <v>6.4989000000000001E-12</v>
      </c>
      <c r="F53" s="45">
        <f t="shared" si="7"/>
        <v>2.7240000000000002</v>
      </c>
      <c r="G53" s="8">
        <f t="shared" ref="G53:G94" si="10">H53+I53</f>
        <v>1.2608420000000001E-10</v>
      </c>
      <c r="H53" s="1">
        <f t="shared" si="8"/>
        <v>1.219689E-10</v>
      </c>
      <c r="I53" s="46">
        <f t="shared" si="9"/>
        <v>4.1152999999999996E-12</v>
      </c>
      <c r="Q53" s="6"/>
      <c r="R53" s="6"/>
      <c r="S53" s="5"/>
      <c r="T53" s="6"/>
      <c r="U53" s="1"/>
      <c r="V53" s="1"/>
      <c r="X53" s="5"/>
      <c r="Y53" s="5"/>
      <c r="Z53" s="5"/>
      <c r="AA53" s="93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7">
        <v>4.7720000000000002</v>
      </c>
      <c r="B54" s="8">
        <v>1.1925E-10</v>
      </c>
      <c r="C54" s="8">
        <v>1.1515E-10</v>
      </c>
      <c r="D54" s="8">
        <v>4.1037E-12</v>
      </c>
      <c r="E54" s="1">
        <v>6.5431000000000003E-12</v>
      </c>
      <c r="F54" s="45">
        <f t="shared" si="7"/>
        <v>4.7720000000000002</v>
      </c>
      <c r="G54" s="8">
        <f t="shared" si="10"/>
        <v>1.2579680000000001E-10</v>
      </c>
      <c r="H54" s="1">
        <f t="shared" si="8"/>
        <v>1.216931E-10</v>
      </c>
      <c r="I54" s="46">
        <f t="shared" si="9"/>
        <v>4.1037E-12</v>
      </c>
      <c r="Q54" s="6"/>
      <c r="R54" s="6"/>
      <c r="S54" s="5"/>
      <c r="T54" s="6"/>
      <c r="U54" s="1"/>
      <c r="V54" s="1"/>
      <c r="X54" s="5"/>
      <c r="Y54" s="67" t="s">
        <v>148</v>
      </c>
      <c r="Z54" s="95">
        <v>8973.7743828574494</v>
      </c>
      <c r="AA54" s="93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7">
        <v>6.82</v>
      </c>
      <c r="B55" s="8">
        <v>1.189E-10</v>
      </c>
      <c r="C55" s="8">
        <v>1.1481E-10</v>
      </c>
      <c r="D55" s="8">
        <v>4.0919000000000004E-12</v>
      </c>
      <c r="E55" s="1">
        <v>6.6595E-12</v>
      </c>
      <c r="F55" s="45">
        <f t="shared" si="7"/>
        <v>6.82</v>
      </c>
      <c r="G55" s="8">
        <f t="shared" si="10"/>
        <v>1.2556139999999998E-10</v>
      </c>
      <c r="H55" s="1">
        <f t="shared" si="8"/>
        <v>1.2146949999999999E-10</v>
      </c>
      <c r="I55" s="46">
        <f t="shared" si="9"/>
        <v>4.0919000000000004E-12</v>
      </c>
      <c r="Q55" s="6"/>
      <c r="R55" s="6"/>
      <c r="S55" s="5"/>
      <c r="T55" s="6"/>
      <c r="U55" s="1"/>
      <c r="V55" s="1"/>
      <c r="X55" s="5"/>
      <c r="Y55" s="67" t="s">
        <v>149</v>
      </c>
      <c r="Z55" s="95">
        <v>8853.9380940168303</v>
      </c>
      <c r="AA55" s="93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8.75" x14ac:dyDescent="0.3">
      <c r="A56" s="7">
        <v>8.8680000000000003</v>
      </c>
      <c r="B56" s="8">
        <v>1.1856E-10</v>
      </c>
      <c r="C56" s="8">
        <v>1.1448E-10</v>
      </c>
      <c r="D56" s="8">
        <v>4.0802000000000003E-12</v>
      </c>
      <c r="E56" s="1">
        <v>6.7968999999999998E-12</v>
      </c>
      <c r="F56" s="45">
        <f t="shared" si="7"/>
        <v>8.8680000000000003</v>
      </c>
      <c r="G56" s="8">
        <f t="shared" si="10"/>
        <v>1.2535710000000003E-10</v>
      </c>
      <c r="H56" s="1">
        <f t="shared" si="8"/>
        <v>1.2127690000000001E-10</v>
      </c>
      <c r="I56" s="46">
        <f t="shared" si="9"/>
        <v>4.0802000000000003E-12</v>
      </c>
      <c r="Q56" s="6"/>
      <c r="R56" s="6"/>
      <c r="S56" s="5"/>
      <c r="T56" s="6"/>
      <c r="U56" s="1"/>
      <c r="V56" s="1"/>
      <c r="X56" s="5"/>
      <c r="Y56" s="66" t="s">
        <v>150</v>
      </c>
      <c r="Z56" s="96">
        <f>Z55/Z54*100</f>
        <v>98.664594364334121</v>
      </c>
      <c r="AA56" s="93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7">
        <v>10.916</v>
      </c>
      <c r="B57" s="8">
        <v>1.1822999999999999E-10</v>
      </c>
      <c r="C57" s="8">
        <v>1.1417E-10</v>
      </c>
      <c r="D57" s="8">
        <v>4.0687999999999998E-12</v>
      </c>
      <c r="E57" s="1">
        <v>6.9394999999999997E-12</v>
      </c>
      <c r="F57" s="45">
        <f t="shared" si="7"/>
        <v>10.916</v>
      </c>
      <c r="G57" s="8">
        <f t="shared" si="10"/>
        <v>1.251783E-10</v>
      </c>
      <c r="H57" s="1">
        <f t="shared" si="8"/>
        <v>1.211095E-10</v>
      </c>
      <c r="I57" s="46">
        <f t="shared" si="9"/>
        <v>4.0687999999999998E-12</v>
      </c>
      <c r="Q57" s="6"/>
      <c r="R57" s="6"/>
      <c r="S57" s="5"/>
      <c r="T57" s="6"/>
      <c r="U57" s="1"/>
      <c r="V57" s="1"/>
      <c r="X57" s="5"/>
      <c r="Y57" s="5"/>
      <c r="Z57" s="5"/>
      <c r="AA57" s="93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7">
        <v>12.964</v>
      </c>
      <c r="B58" s="8">
        <v>1.1791999999999999E-10</v>
      </c>
      <c r="C58" s="8">
        <v>1.1386E-10</v>
      </c>
      <c r="D58" s="8">
        <v>4.0579000000000003E-12</v>
      </c>
      <c r="E58" s="1">
        <v>7.0793999999999999E-12</v>
      </c>
      <c r="F58" s="45">
        <f t="shared" si="7"/>
        <v>12.964</v>
      </c>
      <c r="G58" s="8">
        <f t="shared" si="10"/>
        <v>1.249973E-10</v>
      </c>
      <c r="H58" s="1">
        <f t="shared" si="8"/>
        <v>1.2093939999999999E-10</v>
      </c>
      <c r="I58" s="46">
        <f t="shared" si="9"/>
        <v>4.0579000000000003E-12</v>
      </c>
      <c r="Q58" s="6"/>
      <c r="R58" s="6"/>
      <c r="S58" s="5"/>
      <c r="T58" s="6"/>
      <c r="U58" s="1"/>
      <c r="V58" s="1"/>
      <c r="X58" s="5"/>
      <c r="Y58" s="5"/>
      <c r="Z58" s="5"/>
      <c r="AA58" s="93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7">
        <v>17.059999999999999</v>
      </c>
      <c r="B59" s="8">
        <v>1.1731999999999999E-10</v>
      </c>
      <c r="C59" s="8">
        <v>1.1328E-10</v>
      </c>
      <c r="D59" s="8">
        <v>4.0371999999999998E-12</v>
      </c>
      <c r="E59" s="1">
        <v>7.3423999999999999E-12</v>
      </c>
      <c r="F59" s="45">
        <f t="shared" si="7"/>
        <v>17.059999999999999</v>
      </c>
      <c r="G59" s="8">
        <f t="shared" si="10"/>
        <v>1.2465959999999999E-10</v>
      </c>
      <c r="H59" s="1">
        <f t="shared" si="8"/>
        <v>1.2062239999999998E-10</v>
      </c>
      <c r="I59" s="46">
        <f t="shared" si="9"/>
        <v>4.0371999999999998E-12</v>
      </c>
      <c r="Q59" s="6"/>
      <c r="R59" s="6"/>
      <c r="S59" s="5"/>
      <c r="T59" s="6"/>
      <c r="U59" s="1"/>
      <c r="V59" s="1"/>
      <c r="X59" s="5"/>
      <c r="Y59" s="5"/>
      <c r="Z59" s="5"/>
      <c r="AA59" s="93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>
        <v>21.155999999999999</v>
      </c>
      <c r="B60" s="8">
        <v>1.1675999999999999E-10</v>
      </c>
      <c r="C60" s="8">
        <v>1.1274E-10</v>
      </c>
      <c r="D60" s="8">
        <v>4.0180999999999996E-12</v>
      </c>
      <c r="E60" s="1">
        <v>7.5739999999999998E-12</v>
      </c>
      <c r="F60" s="45">
        <f t="shared" si="7"/>
        <v>21.155999999999999</v>
      </c>
      <c r="G60" s="8">
        <f t="shared" si="10"/>
        <v>1.243321E-10</v>
      </c>
      <c r="H60" s="1">
        <f t="shared" si="8"/>
        <v>1.20314E-10</v>
      </c>
      <c r="I60" s="46">
        <f t="shared" si="9"/>
        <v>4.0180999999999996E-12</v>
      </c>
      <c r="Q60" s="6"/>
      <c r="R60" s="6"/>
      <c r="S60" s="5"/>
      <c r="T60" s="6"/>
      <c r="U60" s="1"/>
      <c r="V60" s="1"/>
      <c r="X60" s="5"/>
      <c r="Y60" s="5"/>
      <c r="Z60" s="5"/>
      <c r="AA60" s="93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>
        <v>29.347999999999999</v>
      </c>
      <c r="B61" s="8">
        <v>1.1578E-10</v>
      </c>
      <c r="C61" s="8">
        <v>1.1179E-10</v>
      </c>
      <c r="D61" s="8">
        <v>3.9843000000000003E-12</v>
      </c>
      <c r="E61" s="1">
        <v>7.9405999999999995E-12</v>
      </c>
      <c r="F61" s="45">
        <f t="shared" si="7"/>
        <v>29.347999999999999</v>
      </c>
      <c r="G61" s="8">
        <f t="shared" si="10"/>
        <v>1.2371489999999999E-10</v>
      </c>
      <c r="H61" s="1">
        <f t="shared" si="8"/>
        <v>1.1973059999999999E-10</v>
      </c>
      <c r="I61" s="46">
        <f t="shared" si="9"/>
        <v>3.9843000000000003E-12</v>
      </c>
      <c r="Q61" s="6"/>
      <c r="R61" s="6"/>
      <c r="S61" s="5"/>
      <c r="T61" s="6"/>
      <c r="U61" s="1"/>
      <c r="V61" s="1"/>
      <c r="X61" s="5"/>
      <c r="Y61" s="5"/>
      <c r="Z61" s="5"/>
      <c r="AA61" s="93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>
        <v>37.54</v>
      </c>
      <c r="B62" s="8">
        <v>1.1493E-10</v>
      </c>
      <c r="C62" s="8">
        <v>1.1097000000000001E-10</v>
      </c>
      <c r="D62" s="8">
        <v>3.9551000000000004E-12</v>
      </c>
      <c r="E62" s="1">
        <v>8.1988000000000002E-12</v>
      </c>
      <c r="F62" s="45">
        <f t="shared" si="7"/>
        <v>37.54</v>
      </c>
      <c r="G62" s="8">
        <f t="shared" si="10"/>
        <v>1.2312389999999999E-10</v>
      </c>
      <c r="H62" s="1">
        <f t="shared" si="8"/>
        <v>1.1916879999999999E-10</v>
      </c>
      <c r="I62" s="46">
        <f t="shared" si="9"/>
        <v>3.9551000000000004E-12</v>
      </c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45.731999999999999</v>
      </c>
      <c r="B63" s="8">
        <v>1.1418E-10</v>
      </c>
      <c r="C63" s="8">
        <v>1.1024999999999999E-10</v>
      </c>
      <c r="D63" s="8">
        <v>3.9291999999999999E-12</v>
      </c>
      <c r="E63" s="1">
        <v>8.3751999999999993E-12</v>
      </c>
      <c r="F63" s="45">
        <f t="shared" si="7"/>
        <v>45.731999999999999</v>
      </c>
      <c r="G63" s="8">
        <f t="shared" si="10"/>
        <v>1.2255440000000001E-10</v>
      </c>
      <c r="H63" s="1">
        <f t="shared" si="8"/>
        <v>1.186252E-10</v>
      </c>
      <c r="I63" s="46">
        <f t="shared" si="9"/>
        <v>3.9291999999999999E-12</v>
      </c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53.923999999999999</v>
      </c>
      <c r="B64" s="8">
        <v>1.1349E-10</v>
      </c>
      <c r="C64" s="8">
        <v>1.0959000000000001E-10</v>
      </c>
      <c r="D64" s="8">
        <v>3.9055999999999998E-12</v>
      </c>
      <c r="E64" s="1">
        <v>8.4924000000000004E-12</v>
      </c>
      <c r="F64" s="45">
        <f t="shared" si="7"/>
        <v>53.923999999999999</v>
      </c>
      <c r="G64" s="8">
        <f t="shared" si="10"/>
        <v>1.2198800000000002E-10</v>
      </c>
      <c r="H64" s="1">
        <f t="shared" si="8"/>
        <v>1.1808240000000001E-10</v>
      </c>
      <c r="I64" s="46">
        <f t="shared" si="9"/>
        <v>3.9055999999999998E-12</v>
      </c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62.116</v>
      </c>
      <c r="B65" s="8">
        <v>1.1286E-10</v>
      </c>
      <c r="C65" s="8">
        <v>1.0897E-10</v>
      </c>
      <c r="D65" s="8">
        <v>3.8836999999999997E-12</v>
      </c>
      <c r="E65" s="1">
        <v>8.5668999999999998E-12</v>
      </c>
      <c r="F65" s="45">
        <f t="shared" si="7"/>
        <v>62.116</v>
      </c>
      <c r="G65" s="8">
        <f t="shared" si="10"/>
        <v>1.2142060000000002E-10</v>
      </c>
      <c r="H65" s="1">
        <f t="shared" si="8"/>
        <v>1.1753690000000001E-10</v>
      </c>
      <c r="I65" s="46">
        <f t="shared" si="9"/>
        <v>3.8836999999999997E-12</v>
      </c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70.308000000000007</v>
      </c>
      <c r="B66" s="8">
        <v>1.1225E-10</v>
      </c>
      <c r="C66" s="8">
        <v>1.0839E-10</v>
      </c>
      <c r="D66" s="8">
        <v>3.863E-12</v>
      </c>
      <c r="E66" s="1">
        <v>8.6104999999999993E-12</v>
      </c>
      <c r="F66" s="45">
        <f t="shared" si="7"/>
        <v>70.308000000000007</v>
      </c>
      <c r="G66" s="8">
        <f t="shared" si="10"/>
        <v>1.2086349999999999E-10</v>
      </c>
      <c r="H66" s="1">
        <f t="shared" si="8"/>
        <v>1.1700049999999999E-10</v>
      </c>
      <c r="I66" s="46">
        <f t="shared" si="9"/>
        <v>3.863E-12</v>
      </c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86.691999999999993</v>
      </c>
      <c r="B67" s="8">
        <v>1.1111E-10</v>
      </c>
      <c r="C67" s="8">
        <v>1.0729E-10</v>
      </c>
      <c r="D67" s="8">
        <v>3.8237999999999999E-12</v>
      </c>
      <c r="E67" s="1">
        <v>8.6427999999999995E-12</v>
      </c>
      <c r="F67" s="45">
        <f t="shared" si="7"/>
        <v>86.691999999999993</v>
      </c>
      <c r="G67" s="8">
        <f t="shared" si="10"/>
        <v>1.1975659999999998E-10</v>
      </c>
      <c r="H67" s="1">
        <f t="shared" si="8"/>
        <v>1.1593279999999999E-10</v>
      </c>
      <c r="I67" s="46">
        <f t="shared" si="9"/>
        <v>3.8237999999999999E-12</v>
      </c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103.08</v>
      </c>
      <c r="B68" s="8">
        <v>1.1004E-10</v>
      </c>
      <c r="C68" s="8">
        <v>1.0624999999999999E-10</v>
      </c>
      <c r="D68" s="8">
        <v>3.7866999999999996E-12</v>
      </c>
      <c r="E68" s="1">
        <v>8.6222999999999997E-12</v>
      </c>
      <c r="F68" s="45">
        <f t="shared" si="7"/>
        <v>103.08</v>
      </c>
      <c r="G68" s="8">
        <f t="shared" si="10"/>
        <v>1.18659E-10</v>
      </c>
      <c r="H68" s="1">
        <f t="shared" si="8"/>
        <v>1.148723E-10</v>
      </c>
      <c r="I68" s="46">
        <f t="shared" si="9"/>
        <v>3.7866999999999996E-12</v>
      </c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119.46</v>
      </c>
      <c r="B69" s="8">
        <v>1.09E-10</v>
      </c>
      <c r="C69" s="8">
        <v>1.0525E-10</v>
      </c>
      <c r="D69" s="8">
        <v>3.7509000000000001E-12</v>
      </c>
      <c r="E69" s="1">
        <v>8.5734000000000006E-12</v>
      </c>
      <c r="F69" s="45">
        <f t="shared" si="7"/>
        <v>119.46</v>
      </c>
      <c r="G69" s="8">
        <f t="shared" si="10"/>
        <v>1.1757429999999999E-10</v>
      </c>
      <c r="H69" s="1">
        <f t="shared" si="8"/>
        <v>1.138234E-10</v>
      </c>
      <c r="I69" s="46">
        <f t="shared" si="9"/>
        <v>3.7509000000000001E-12</v>
      </c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135.84</v>
      </c>
      <c r="B70" s="8">
        <v>1.0798E-10</v>
      </c>
      <c r="C70" s="8">
        <v>1.0426E-10</v>
      </c>
      <c r="D70" s="8">
        <v>3.7159000000000004E-12</v>
      </c>
      <c r="E70" s="1">
        <v>8.5099999999999999E-12</v>
      </c>
      <c r="F70" s="45">
        <f t="shared" si="7"/>
        <v>135.84</v>
      </c>
      <c r="G70" s="8">
        <f t="shared" si="10"/>
        <v>1.1648590000000001E-10</v>
      </c>
      <c r="H70" s="1">
        <f t="shared" si="8"/>
        <v>1.1277E-10</v>
      </c>
      <c r="I70" s="46">
        <f t="shared" si="9"/>
        <v>3.7159000000000004E-12</v>
      </c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152.22999999999999</v>
      </c>
      <c r="B71" s="8">
        <v>1.0698E-10</v>
      </c>
      <c r="C71" s="8">
        <v>1.0329E-10</v>
      </c>
      <c r="D71" s="8">
        <v>3.6814E-12</v>
      </c>
      <c r="E71" s="1">
        <v>8.4393000000000002E-12</v>
      </c>
      <c r="F71" s="45">
        <f t="shared" si="7"/>
        <v>152.22999999999999</v>
      </c>
      <c r="G71" s="8">
        <f t="shared" si="10"/>
        <v>1.154107E-10</v>
      </c>
      <c r="H71" s="1">
        <f t="shared" si="8"/>
        <v>1.1172929999999999E-10</v>
      </c>
      <c r="I71" s="46">
        <f t="shared" si="9"/>
        <v>3.6814E-12</v>
      </c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185</v>
      </c>
      <c r="B72" s="8">
        <v>1.05E-10</v>
      </c>
      <c r="C72" s="8">
        <v>1.0139E-10</v>
      </c>
      <c r="D72" s="8">
        <v>3.6134999999999999E-12</v>
      </c>
      <c r="E72" s="1">
        <v>8.2917999999999999E-12</v>
      </c>
      <c r="F72" s="45">
        <f t="shared" si="7"/>
        <v>185</v>
      </c>
      <c r="G72" s="8">
        <f t="shared" si="10"/>
        <v>1.132953E-10</v>
      </c>
      <c r="H72" s="1">
        <f t="shared" si="8"/>
        <v>1.0968179999999999E-10</v>
      </c>
      <c r="I72" s="46">
        <f t="shared" si="9"/>
        <v>3.6134999999999999E-12</v>
      </c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250.53</v>
      </c>
      <c r="B73" s="8">
        <v>1.0124E-10</v>
      </c>
      <c r="C73" s="8">
        <v>9.7759999999999994E-11</v>
      </c>
      <c r="D73" s="8">
        <v>3.4841000000000001E-12</v>
      </c>
      <c r="E73" s="1">
        <v>7.9954000000000004E-12</v>
      </c>
      <c r="F73" s="45">
        <f t="shared" si="7"/>
        <v>250.53</v>
      </c>
      <c r="G73" s="8">
        <f t="shared" si="10"/>
        <v>1.092395E-10</v>
      </c>
      <c r="H73" s="1">
        <f t="shared" si="8"/>
        <v>1.057554E-10</v>
      </c>
      <c r="I73" s="46">
        <f t="shared" si="9"/>
        <v>3.4841000000000001E-12</v>
      </c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316.07</v>
      </c>
      <c r="B74" s="8">
        <v>9.7618999999999999E-11</v>
      </c>
      <c r="C74" s="8">
        <v>9.4258999999999997E-11</v>
      </c>
      <c r="D74" s="8">
        <v>3.3594E-12</v>
      </c>
      <c r="E74" s="1">
        <v>7.7092000000000003E-12</v>
      </c>
      <c r="F74" s="45">
        <f t="shared" si="7"/>
        <v>316.07</v>
      </c>
      <c r="G74" s="8">
        <f t="shared" si="10"/>
        <v>1.053276E-10</v>
      </c>
      <c r="H74" s="1">
        <f t="shared" si="8"/>
        <v>1.0196819999999999E-10</v>
      </c>
      <c r="I74" s="46">
        <f t="shared" si="9"/>
        <v>3.3594E-12</v>
      </c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447.14</v>
      </c>
      <c r="B75" s="8">
        <v>9.0867000000000005E-11</v>
      </c>
      <c r="C75" s="8">
        <v>8.7739999999999999E-11</v>
      </c>
      <c r="D75" s="8">
        <v>3.1269999999999999E-12</v>
      </c>
      <c r="E75" s="1">
        <v>7.1760000000000001E-12</v>
      </c>
      <c r="F75" s="45">
        <f t="shared" si="7"/>
        <v>447.14</v>
      </c>
      <c r="G75" s="8">
        <f t="shared" si="10"/>
        <v>9.8043000000000005E-11</v>
      </c>
      <c r="H75" s="1">
        <f t="shared" si="8"/>
        <v>9.4915999999999998E-11</v>
      </c>
      <c r="I75" s="46">
        <f t="shared" si="9"/>
        <v>3.1269999999999999E-12</v>
      </c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578.21</v>
      </c>
      <c r="B76" s="8">
        <v>8.4581999999999998E-11</v>
      </c>
      <c r="C76" s="8">
        <v>8.1672000000000005E-11</v>
      </c>
      <c r="D76" s="8">
        <v>2.9107000000000001E-12</v>
      </c>
      <c r="E76" s="1">
        <v>6.6797000000000003E-12</v>
      </c>
      <c r="F76" s="45">
        <f t="shared" si="7"/>
        <v>578.21</v>
      </c>
      <c r="G76" s="8">
        <f t="shared" si="10"/>
        <v>9.1262400000000006E-11</v>
      </c>
      <c r="H76" s="1">
        <f t="shared" si="8"/>
        <v>8.8351700000000009E-11</v>
      </c>
      <c r="I76" s="46">
        <f t="shared" si="9"/>
        <v>2.9107000000000001E-12</v>
      </c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709.28</v>
      </c>
      <c r="B77" s="8">
        <v>7.8732E-11</v>
      </c>
      <c r="C77" s="8">
        <v>7.6022999999999999E-11</v>
      </c>
      <c r="D77" s="8">
        <v>2.7094000000000001E-12</v>
      </c>
      <c r="E77" s="1">
        <v>6.2177999999999996E-12</v>
      </c>
      <c r="F77" s="45">
        <f t="shared" si="7"/>
        <v>709.28</v>
      </c>
      <c r="G77" s="8">
        <f t="shared" si="10"/>
        <v>8.49502E-11</v>
      </c>
      <c r="H77" s="1">
        <f t="shared" si="8"/>
        <v>8.2240800000000002E-11</v>
      </c>
      <c r="I77" s="46">
        <f t="shared" si="9"/>
        <v>2.7094000000000001E-12</v>
      </c>
      <c r="N77" s="7"/>
      <c r="O77" s="1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971.43</v>
      </c>
      <c r="B78" s="8">
        <v>6.7963000000000004E-11</v>
      </c>
      <c r="C78" s="8">
        <v>6.5623999999999997E-11</v>
      </c>
      <c r="D78" s="8">
        <v>2.3388000000000001E-12</v>
      </c>
      <c r="E78" s="1">
        <v>5.3673999999999999E-12</v>
      </c>
      <c r="F78" s="45">
        <f t="shared" si="7"/>
        <v>971.43</v>
      </c>
      <c r="G78" s="8">
        <f t="shared" si="10"/>
        <v>7.3330199999999993E-11</v>
      </c>
      <c r="H78" s="1">
        <f t="shared" si="8"/>
        <v>7.0991399999999999E-11</v>
      </c>
      <c r="I78" s="46">
        <f t="shared" si="9"/>
        <v>2.3388000000000001E-12</v>
      </c>
      <c r="N78" s="7"/>
      <c r="O78" s="1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1233.5999999999999</v>
      </c>
      <c r="B79" s="8">
        <v>5.8574000000000006E-11</v>
      </c>
      <c r="C79" s="8">
        <v>5.6557999999999999E-11</v>
      </c>
      <c r="D79" s="8">
        <v>2.0157E-12</v>
      </c>
      <c r="E79" s="1">
        <v>4.6257999999999999E-12</v>
      </c>
      <c r="F79" s="45">
        <f t="shared" si="7"/>
        <v>1233.5999999999999</v>
      </c>
      <c r="G79" s="8">
        <f t="shared" si="10"/>
        <v>6.3199499999999995E-11</v>
      </c>
      <c r="H79" s="1">
        <f t="shared" si="8"/>
        <v>6.1183799999999999E-11</v>
      </c>
      <c r="I79" s="46">
        <f t="shared" si="9"/>
        <v>2.0157E-12</v>
      </c>
      <c r="N79" s="7"/>
      <c r="O79" s="1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1495.7</v>
      </c>
      <c r="B80" s="8">
        <v>5.0451E-11</v>
      </c>
      <c r="C80" s="8">
        <v>4.8714000000000001E-11</v>
      </c>
      <c r="D80" s="8">
        <v>1.7362E-12</v>
      </c>
      <c r="E80" s="1">
        <v>3.9843000000000003E-12</v>
      </c>
      <c r="F80" s="45">
        <f t="shared" si="7"/>
        <v>1495.7</v>
      </c>
      <c r="G80" s="8">
        <f t="shared" si="10"/>
        <v>5.4434500000000006E-11</v>
      </c>
      <c r="H80" s="1">
        <f t="shared" si="8"/>
        <v>5.2698300000000004E-11</v>
      </c>
      <c r="I80" s="46">
        <f t="shared" si="9"/>
        <v>1.7362E-12</v>
      </c>
      <c r="N80" s="7"/>
      <c r="O80" s="1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1927.7</v>
      </c>
      <c r="B81" s="8">
        <v>3.9349000000000003E-11</v>
      </c>
      <c r="C81" s="8">
        <v>3.7995E-11</v>
      </c>
      <c r="D81" s="8">
        <v>1.3541000000000001E-12</v>
      </c>
      <c r="E81" s="1">
        <v>3.1075999999999998E-12</v>
      </c>
      <c r="F81" s="45">
        <f t="shared" si="7"/>
        <v>1927.7</v>
      </c>
      <c r="G81" s="8">
        <f t="shared" si="10"/>
        <v>4.2456700000000003E-11</v>
      </c>
      <c r="H81" s="1">
        <f t="shared" si="8"/>
        <v>4.1102600000000001E-11</v>
      </c>
      <c r="I81" s="46">
        <f t="shared" si="9"/>
        <v>1.3541000000000001E-12</v>
      </c>
      <c r="N81" s="7"/>
      <c r="O81" s="1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2359.6999999999998</v>
      </c>
      <c r="B82" s="8">
        <v>3.0652999999999999E-11</v>
      </c>
      <c r="C82" s="8">
        <v>2.9598000000000002E-11</v>
      </c>
      <c r="D82" s="8">
        <v>1.0549000000000001E-12</v>
      </c>
      <c r="E82" s="1">
        <v>2.4207999999999999E-12</v>
      </c>
      <c r="F82" s="45">
        <f t="shared" si="7"/>
        <v>2359.6999999999998</v>
      </c>
      <c r="G82" s="8">
        <f t="shared" si="10"/>
        <v>3.3073699999999999E-11</v>
      </c>
      <c r="H82" s="1">
        <f t="shared" si="8"/>
        <v>3.2018800000000002E-11</v>
      </c>
      <c r="I82" s="46">
        <f t="shared" si="9"/>
        <v>1.0549000000000001E-12</v>
      </c>
      <c r="N82" s="7"/>
      <c r="O82" s="1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2791.7</v>
      </c>
      <c r="B83" s="8">
        <v>2.3865999999999999E-11</v>
      </c>
      <c r="C83" s="8">
        <v>2.3045E-11</v>
      </c>
      <c r="D83" s="8">
        <v>8.2130999999999996E-13</v>
      </c>
      <c r="E83" s="1">
        <v>1.8849000000000002E-12</v>
      </c>
      <c r="F83" s="45">
        <f t="shared" si="7"/>
        <v>2791.7</v>
      </c>
      <c r="G83" s="8">
        <f t="shared" si="10"/>
        <v>2.5751209999999999E-11</v>
      </c>
      <c r="H83" s="1">
        <f t="shared" si="8"/>
        <v>2.4929899999999999E-11</v>
      </c>
      <c r="I83" s="46">
        <f t="shared" si="9"/>
        <v>8.2130999999999996E-13</v>
      </c>
      <c r="N83" s="7"/>
      <c r="O83" s="1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3223.7</v>
      </c>
      <c r="B84" s="8">
        <v>1.8578000000000001E-11</v>
      </c>
      <c r="C84" s="8">
        <v>1.7938999999999999E-11</v>
      </c>
      <c r="D84" s="8">
        <v>6.3932999999999996E-13</v>
      </c>
      <c r="E84" s="1">
        <v>1.4672E-12</v>
      </c>
      <c r="F84" s="45">
        <f t="shared" si="7"/>
        <v>3223.7</v>
      </c>
      <c r="G84" s="8">
        <f t="shared" si="10"/>
        <v>2.0045529999999999E-11</v>
      </c>
      <c r="H84" s="1">
        <f t="shared" si="8"/>
        <v>1.9406199999999998E-11</v>
      </c>
      <c r="I84" s="46">
        <f t="shared" si="9"/>
        <v>6.3932999999999996E-13</v>
      </c>
      <c r="N84" s="7"/>
      <c r="O84" s="1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3655.7</v>
      </c>
      <c r="B85" s="8">
        <v>1.4459999999999999E-11</v>
      </c>
      <c r="C85" s="8">
        <v>1.3962E-11</v>
      </c>
      <c r="D85" s="8">
        <v>4.9761000000000004E-13</v>
      </c>
      <c r="E85" s="1">
        <v>1.142E-12</v>
      </c>
      <c r="F85" s="45">
        <f t="shared" si="7"/>
        <v>3655.7</v>
      </c>
      <c r="G85" s="8">
        <f t="shared" si="10"/>
        <v>1.5601610000000002E-11</v>
      </c>
      <c r="H85" s="1">
        <f t="shared" si="8"/>
        <v>1.5104E-11</v>
      </c>
      <c r="I85" s="46">
        <f t="shared" si="9"/>
        <v>4.9761000000000004E-13</v>
      </c>
      <c r="N85" s="7"/>
      <c r="O85" s="1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4044.5</v>
      </c>
      <c r="B86" s="8">
        <v>1.1548999999999999E-11</v>
      </c>
      <c r="C86" s="8">
        <v>1.1151E-11</v>
      </c>
      <c r="D86" s="8">
        <v>3.9743E-13</v>
      </c>
      <c r="E86" s="1">
        <v>9.1208000000000009E-13</v>
      </c>
      <c r="F86" s="45">
        <f t="shared" si="7"/>
        <v>4044.5</v>
      </c>
      <c r="G86" s="8">
        <f t="shared" si="10"/>
        <v>1.246051E-11</v>
      </c>
      <c r="H86" s="1">
        <f t="shared" si="8"/>
        <v>1.2063080000000001E-11</v>
      </c>
      <c r="I86" s="46">
        <f t="shared" si="9"/>
        <v>3.9743E-13</v>
      </c>
      <c r="N86" s="7"/>
      <c r="O86" s="1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4320</v>
      </c>
      <c r="B87" s="8">
        <v>9.8421000000000006E-12</v>
      </c>
      <c r="C87" s="8">
        <v>9.5033999999999993E-12</v>
      </c>
      <c r="D87" s="8">
        <v>3.3870000000000001E-13</v>
      </c>
      <c r="E87" s="1">
        <v>7.7729000000000001E-13</v>
      </c>
      <c r="F87" s="45">
        <f t="shared" si="7"/>
        <v>4320</v>
      </c>
      <c r="G87" s="8">
        <f t="shared" si="10"/>
        <v>1.061939E-11</v>
      </c>
      <c r="H87" s="1">
        <f t="shared" si="8"/>
        <v>1.028069E-11</v>
      </c>
      <c r="I87" s="46">
        <f t="shared" si="9"/>
        <v>3.3870000000000001E-13</v>
      </c>
      <c r="N87" s="7"/>
      <c r="O87" s="1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3404</v>
      </c>
      <c r="B88" s="8">
        <v>3.7252000000000003E-12</v>
      </c>
      <c r="C88" s="8">
        <v>3.5288000000000001E-12</v>
      </c>
      <c r="D88" s="8">
        <v>1.964E-13</v>
      </c>
      <c r="E88" s="1">
        <v>2.9215000000000002E-13</v>
      </c>
      <c r="F88" s="45">
        <f t="shared" si="7"/>
        <v>3404</v>
      </c>
      <c r="G88" s="8">
        <f t="shared" si="10"/>
        <v>4.0173500000000004E-12</v>
      </c>
      <c r="H88" s="1">
        <f t="shared" si="8"/>
        <v>3.8209500000000002E-12</v>
      </c>
      <c r="I88" s="46">
        <f t="shared" si="9"/>
        <v>1.964E-13</v>
      </c>
      <c r="N88" s="7"/>
      <c r="O88" s="1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3578.6</v>
      </c>
      <c r="B89" s="8">
        <v>3.1170000000000001E-12</v>
      </c>
      <c r="C89" s="8">
        <v>2.9527000000000001E-12</v>
      </c>
      <c r="D89" s="8">
        <v>1.6432999999999999E-13</v>
      </c>
      <c r="E89" s="1">
        <v>2.4444999999999998E-13</v>
      </c>
      <c r="F89" s="45">
        <f t="shared" si="7"/>
        <v>3578.6</v>
      </c>
      <c r="G89" s="8">
        <f t="shared" si="10"/>
        <v>3.3614799999999999E-12</v>
      </c>
      <c r="H89" s="1">
        <f t="shared" si="8"/>
        <v>3.19715E-12</v>
      </c>
      <c r="I89" s="46">
        <f t="shared" si="9"/>
        <v>1.6432999999999999E-13</v>
      </c>
      <c r="N89" s="7"/>
      <c r="O89" s="1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3753.2</v>
      </c>
      <c r="B90" s="8">
        <v>2.6081000000000002E-12</v>
      </c>
      <c r="C90" s="8">
        <v>2.4706E-12</v>
      </c>
      <c r="D90" s="8">
        <v>1.3749999999999999E-13</v>
      </c>
      <c r="E90" s="1">
        <v>2.0454E-13</v>
      </c>
      <c r="F90" s="45">
        <f t="shared" si="7"/>
        <v>3753.2</v>
      </c>
      <c r="G90" s="8">
        <f t="shared" si="10"/>
        <v>2.81264E-12</v>
      </c>
      <c r="H90" s="1">
        <f t="shared" si="8"/>
        <v>2.6751399999999998E-12</v>
      </c>
      <c r="I90" s="46">
        <f t="shared" si="9"/>
        <v>1.3749999999999999E-13</v>
      </c>
      <c r="N90" s="7"/>
      <c r="O90" s="1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3927.8</v>
      </c>
      <c r="B91" s="8">
        <v>2.1823000000000001E-12</v>
      </c>
      <c r="C91" s="8">
        <v>2.0671999999999999E-12</v>
      </c>
      <c r="D91" s="8">
        <v>1.1505E-13</v>
      </c>
      <c r="E91" s="1">
        <v>1.7113999999999999E-13</v>
      </c>
      <c r="F91" s="45">
        <f t="shared" si="7"/>
        <v>3927.8</v>
      </c>
      <c r="G91" s="8">
        <f t="shared" si="10"/>
        <v>2.3533899999999999E-12</v>
      </c>
      <c r="H91" s="1">
        <f t="shared" si="8"/>
        <v>2.2383399999999999E-12</v>
      </c>
      <c r="I91" s="46">
        <f t="shared" si="9"/>
        <v>1.1505E-13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4102.3999999999996</v>
      </c>
      <c r="B92" s="8">
        <v>1.8260000000000001E-12</v>
      </c>
      <c r="C92" s="8">
        <v>1.7297E-12</v>
      </c>
      <c r="D92" s="8">
        <v>9.6267999999999997E-14</v>
      </c>
      <c r="E92" s="1">
        <v>1.4320000000000001E-13</v>
      </c>
      <c r="F92" s="45">
        <f t="shared" si="7"/>
        <v>4102.3999999999996</v>
      </c>
      <c r="G92" s="8">
        <f t="shared" si="10"/>
        <v>1.9691679999999998E-12</v>
      </c>
      <c r="H92" s="1">
        <f t="shared" si="8"/>
        <v>1.8728999999999998E-12</v>
      </c>
      <c r="I92" s="46">
        <f t="shared" si="9"/>
        <v>9.6267999999999997E-14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4277</v>
      </c>
      <c r="B93" s="8">
        <v>1.5279E-12</v>
      </c>
      <c r="C93" s="8">
        <v>1.4472999999999999E-12</v>
      </c>
      <c r="D93" s="8">
        <v>8.0549999999999995E-14</v>
      </c>
      <c r="E93" s="1">
        <v>1.1981999999999999E-13</v>
      </c>
      <c r="F93" s="45">
        <f t="shared" si="7"/>
        <v>4277</v>
      </c>
      <c r="G93" s="8">
        <f t="shared" si="10"/>
        <v>1.64767E-12</v>
      </c>
      <c r="H93" s="1">
        <f t="shared" si="8"/>
        <v>1.5671199999999999E-12</v>
      </c>
      <c r="I93" s="46">
        <f t="shared" si="9"/>
        <v>8.0549999999999995E-14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7.25" thickBot="1" x14ac:dyDescent="0.35">
      <c r="A94" s="7">
        <v>4320</v>
      </c>
      <c r="B94" s="8">
        <v>1.4619000000000001E-12</v>
      </c>
      <c r="C94" s="8">
        <v>1.3847999999999999E-12</v>
      </c>
      <c r="D94" s="8">
        <v>7.7071000000000003E-14</v>
      </c>
      <c r="E94" s="1">
        <v>1.1464E-13</v>
      </c>
      <c r="F94" s="47">
        <f t="shared" si="7"/>
        <v>4320</v>
      </c>
      <c r="G94" s="48">
        <f t="shared" si="10"/>
        <v>1.5765109999999999E-12</v>
      </c>
      <c r="H94" s="49">
        <f t="shared" si="8"/>
        <v>1.4994399999999999E-12</v>
      </c>
      <c r="I94" s="50">
        <f t="shared" si="9"/>
        <v>7.7071000000000003E-14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B95" s="7"/>
      <c r="C95" s="8"/>
      <c r="D95" s="8"/>
      <c r="E95" s="8"/>
      <c r="F95" s="1"/>
      <c r="G95" s="1"/>
      <c r="H95" s="1"/>
      <c r="I95" s="1"/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B96" s="7"/>
      <c r="C96" s="8"/>
      <c r="D96" s="8"/>
      <c r="E96" s="8"/>
      <c r="F96" s="1"/>
      <c r="G96" s="1"/>
      <c r="H96" s="1"/>
      <c r="I96" s="1"/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 x14ac:dyDescent="0.3">
      <c r="B97" s="7"/>
      <c r="C97" s="8"/>
      <c r="D97" s="8"/>
      <c r="E97" s="8"/>
      <c r="F97" s="1"/>
      <c r="G97" s="1"/>
      <c r="H97" s="1"/>
      <c r="I97" s="1"/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 x14ac:dyDescent="0.3">
      <c r="B98" s="7"/>
      <c r="C98" s="8"/>
      <c r="D98" s="8"/>
      <c r="E98" s="8"/>
      <c r="F98" s="1"/>
      <c r="G98" s="1"/>
      <c r="H98" s="1"/>
      <c r="I98" s="1"/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 x14ac:dyDescent="0.3">
      <c r="B99" s="7"/>
      <c r="C99" s="8"/>
      <c r="D99" s="8"/>
      <c r="E99" s="8"/>
      <c r="F99" s="1"/>
      <c r="G99" s="1"/>
      <c r="H99" s="1"/>
      <c r="I99" s="1"/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 x14ac:dyDescent="0.3">
      <c r="B100" s="7"/>
      <c r="C100" s="8"/>
      <c r="D100" s="8"/>
      <c r="E100" s="8"/>
      <c r="F100" s="1"/>
      <c r="G100" s="1"/>
      <c r="H100" s="1"/>
      <c r="I100" s="1"/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 x14ac:dyDescent="0.3">
      <c r="B101" s="7"/>
      <c r="C101" s="8"/>
      <c r="D101" s="8"/>
      <c r="E101" s="8"/>
      <c r="F101" s="1"/>
      <c r="G101" s="1"/>
      <c r="H101" s="1"/>
      <c r="I101" s="1"/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 x14ac:dyDescent="0.3">
      <c r="B102" s="7"/>
      <c r="C102" s="8"/>
      <c r="D102" s="8"/>
      <c r="E102" s="8"/>
      <c r="F102" s="1"/>
      <c r="G102" s="1"/>
      <c r="H102" s="1"/>
      <c r="I102" s="1"/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 x14ac:dyDescent="0.3">
      <c r="B103" s="7"/>
      <c r="C103" s="8"/>
      <c r="D103" s="8"/>
      <c r="E103" s="8"/>
      <c r="F103" s="1"/>
      <c r="G103" s="1"/>
      <c r="H103" s="1"/>
      <c r="I103" s="1"/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 x14ac:dyDescent="0.3">
      <c r="B104" s="7"/>
      <c r="C104" s="8"/>
      <c r="D104" s="8"/>
      <c r="E104" s="8"/>
      <c r="F104" s="1"/>
      <c r="G104" s="1"/>
      <c r="H104" s="1"/>
      <c r="I104" s="1"/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 x14ac:dyDescent="0.3">
      <c r="B105" s="7"/>
      <c r="C105" s="8"/>
      <c r="D105" s="8"/>
      <c r="E105" s="8"/>
      <c r="F105" s="1"/>
      <c r="G105" s="1"/>
      <c r="H105" s="1"/>
      <c r="I105" s="1"/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 x14ac:dyDescent="0.3">
      <c r="B106" s="7"/>
      <c r="C106" s="8"/>
      <c r="D106" s="8"/>
      <c r="E106" s="8"/>
      <c r="F106" s="1"/>
      <c r="G106" s="1"/>
      <c r="H106" s="1"/>
      <c r="I106" s="1"/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 x14ac:dyDescent="0.3">
      <c r="B107" s="7"/>
      <c r="C107" s="8"/>
      <c r="D107" s="8"/>
      <c r="E107" s="8"/>
      <c r="F107" s="1"/>
      <c r="G107" s="1"/>
      <c r="H107" s="1"/>
      <c r="I107" s="1"/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 x14ac:dyDescent="0.3">
      <c r="B108" s="7"/>
      <c r="C108" s="8"/>
      <c r="D108" s="8"/>
      <c r="E108" s="8"/>
      <c r="F108" s="1"/>
      <c r="G108" s="1"/>
      <c r="H108" s="1"/>
      <c r="I108" s="1"/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 x14ac:dyDescent="0.3">
      <c r="B109" s="7"/>
      <c r="C109" s="8"/>
      <c r="D109" s="8"/>
      <c r="E109" s="8"/>
      <c r="F109" s="1"/>
      <c r="G109" s="1"/>
      <c r="H109" s="1"/>
      <c r="I109" s="1"/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 x14ac:dyDescent="0.3">
      <c r="B110" s="7"/>
      <c r="C110" s="8"/>
      <c r="D110" s="8"/>
      <c r="E110" s="8"/>
      <c r="F110" s="1"/>
      <c r="G110" s="1"/>
      <c r="H110" s="1"/>
      <c r="I110" s="1"/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 x14ac:dyDescent="0.3">
      <c r="B111" s="7"/>
      <c r="C111" s="8"/>
      <c r="D111" s="8"/>
      <c r="E111" s="8"/>
      <c r="F111" s="1"/>
      <c r="G111" s="1"/>
      <c r="H111" s="1"/>
      <c r="I111" s="1"/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 x14ac:dyDescent="0.3">
      <c r="B112" s="7"/>
      <c r="C112" s="8"/>
      <c r="D112" s="8"/>
      <c r="E112" s="8"/>
      <c r="F112" s="1"/>
      <c r="G112" s="1"/>
      <c r="H112" s="1"/>
      <c r="I112" s="1"/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 x14ac:dyDescent="0.3">
      <c r="B113" s="7"/>
      <c r="C113" s="8"/>
      <c r="D113" s="8"/>
      <c r="E113" s="8"/>
      <c r="F113" s="1"/>
      <c r="G113" s="1"/>
      <c r="H113" s="1"/>
      <c r="I113" s="1"/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 x14ac:dyDescent="0.3">
      <c r="B114" s="7"/>
      <c r="C114" s="8"/>
      <c r="D114" s="8"/>
      <c r="E114" s="8"/>
      <c r="F114" s="1"/>
      <c r="G114" s="1"/>
      <c r="H114" s="1"/>
      <c r="I114" s="1"/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 x14ac:dyDescent="0.3">
      <c r="B115" s="7"/>
      <c r="C115" s="8"/>
      <c r="D115" s="8"/>
      <c r="E115" s="8"/>
      <c r="F115" s="1"/>
      <c r="G115" s="1"/>
      <c r="H115" s="1"/>
      <c r="I115" s="1"/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 x14ac:dyDescent="0.3">
      <c r="B116" s="7"/>
      <c r="C116" s="8"/>
      <c r="D116" s="8"/>
      <c r="E116" s="8"/>
      <c r="F116" s="1"/>
      <c r="G116" s="1"/>
      <c r="H116" s="1"/>
      <c r="I116" s="1"/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 x14ac:dyDescent="0.3">
      <c r="B117" s="7"/>
      <c r="C117" s="8"/>
      <c r="D117" s="8"/>
      <c r="E117" s="8"/>
      <c r="F117" s="1"/>
      <c r="G117" s="1"/>
      <c r="H117" s="1"/>
      <c r="I117" s="1"/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 x14ac:dyDescent="0.3">
      <c r="B118" s="7"/>
      <c r="C118" s="8"/>
      <c r="D118" s="8"/>
      <c r="E118" s="8"/>
      <c r="F118" s="1"/>
      <c r="G118" s="1"/>
      <c r="H118" s="1"/>
      <c r="I118" s="1"/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AE4C-48ED-4872-BBB5-EA012203CB12}">
  <dimension ref="A1:BM602"/>
  <sheetViews>
    <sheetView zoomScale="85" zoomScaleNormal="85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19" max="19" width="9.75" customWidth="1"/>
    <col min="20" max="20" width="9.25" customWidth="1"/>
    <col min="21" max="21" width="8.5" customWidth="1"/>
    <col min="22" max="22" width="8.375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1.2735587532151998E-10</v>
      </c>
      <c r="B1" s="7" t="s">
        <v>0</v>
      </c>
      <c r="C1" s="8" t="s">
        <v>90</v>
      </c>
      <c r="D1" s="8" t="s">
        <v>91</v>
      </c>
      <c r="E1" s="8" t="s">
        <v>91</v>
      </c>
      <c r="F1" t="s">
        <v>91</v>
      </c>
      <c r="G1" t="s">
        <v>91</v>
      </c>
      <c r="H1" t="s">
        <v>92</v>
      </c>
      <c r="I1" t="s">
        <v>93</v>
      </c>
      <c r="J1" t="s">
        <v>94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1.2709878519999999E-10</v>
      </c>
      <c r="D2" s="1">
        <v>1.270922E-10</v>
      </c>
      <c r="E2" s="1">
        <v>6.5851999999999998E-15</v>
      </c>
      <c r="F2" s="1">
        <v>2.5709000000000002E-13</v>
      </c>
      <c r="G2" s="1">
        <v>1.2152E-19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36" si="0">(H2+F2)/$A$1*100</f>
        <v>0.20186740450800245</v>
      </c>
      <c r="R2" s="6">
        <f t="shared" ref="R2:R36" si="1">(G2+I2)/$A$1*100</f>
        <v>9.5417663058899438E-8</v>
      </c>
      <c r="S2" s="10">
        <f t="shared" ref="S2:S36" si="2">J2/$A$1*100</f>
        <v>0</v>
      </c>
      <c r="T2" s="6">
        <f t="shared" ref="T2:V17" si="3">C2/$A$1*100</f>
        <v>99.798132500074345</v>
      </c>
      <c r="U2" s="6">
        <f t="shared" si="3"/>
        <v>99.792961792414914</v>
      </c>
      <c r="V2" s="6">
        <f t="shared" si="3"/>
        <v>5.1707076594425987E-3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2.468</v>
      </c>
      <c r="C3" s="8">
        <v>1.2613000000000001E-10</v>
      </c>
      <c r="D3" s="1">
        <v>1.13824E-10</v>
      </c>
      <c r="E3" s="1">
        <v>1.2306E-11</v>
      </c>
      <c r="F3" s="1">
        <v>1.1752000000000001E-12</v>
      </c>
      <c r="G3" s="1">
        <v>9.1314999999999995E-18</v>
      </c>
      <c r="H3" s="1">
        <v>2.5861999999999999E-14</v>
      </c>
      <c r="I3" s="1">
        <v>1.6733999999999999E-15</v>
      </c>
      <c r="J3" s="1">
        <v>5.1748999999999997E-15</v>
      </c>
      <c r="K3" s="1"/>
      <c r="L3" s="1"/>
      <c r="N3" s="7"/>
      <c r="O3">
        <f t="shared" ref="O3:O36" si="4">B3/60</f>
        <v>4.1133333333333334E-2</v>
      </c>
      <c r="P3" s="6">
        <f t="shared" ref="P3:P36" si="5">(SUM(F3:J3)+C3)/$A$1*100</f>
        <v>99.985901011653638</v>
      </c>
      <c r="Q3" s="6">
        <f t="shared" si="0"/>
        <v>0.94307545448360686</v>
      </c>
      <c r="R3" s="6">
        <f t="shared" si="1"/>
        <v>1.3211259360844689E-3</v>
      </c>
      <c r="S3" s="10">
        <f t="shared" si="2"/>
        <v>4.0633382534850122E-3</v>
      </c>
      <c r="T3" s="6">
        <f t="shared" si="3"/>
        <v>99.037441092980487</v>
      </c>
      <c r="U3" s="6">
        <f t="shared" si="3"/>
        <v>89.374753785518195</v>
      </c>
      <c r="V3" s="6">
        <f t="shared" si="3"/>
        <v>9.6626873074622832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4.516</v>
      </c>
      <c r="C4" s="8">
        <v>1.2583620000000001E-10</v>
      </c>
      <c r="D4" s="1">
        <v>1.135622E-10</v>
      </c>
      <c r="E4" s="1">
        <v>1.2274E-11</v>
      </c>
      <c r="F4" s="1">
        <v>1.4001000000000001E-12</v>
      </c>
      <c r="G4" s="1">
        <v>1.1002E-17</v>
      </c>
      <c r="H4" s="1">
        <v>7.3009E-14</v>
      </c>
      <c r="I4" s="1">
        <v>4.7290000000000001E-15</v>
      </c>
      <c r="J4" s="1">
        <v>9.4448000000000007E-15</v>
      </c>
      <c r="K4" s="1"/>
      <c r="L4" s="1"/>
      <c r="N4" s="7"/>
      <c r="O4">
        <f t="shared" si="4"/>
        <v>7.5266666666666662E-2</v>
      </c>
      <c r="P4" s="6">
        <f t="shared" si="5"/>
        <v>99.974573988488373</v>
      </c>
      <c r="Q4" s="6">
        <f t="shared" si="0"/>
        <v>1.1566871149689952</v>
      </c>
      <c r="R4" s="6">
        <f t="shared" si="1"/>
        <v>3.7218557746421126E-3</v>
      </c>
      <c r="S4" s="10">
        <f t="shared" si="2"/>
        <v>7.4160693224053116E-3</v>
      </c>
      <c r="T4" s="6">
        <f t="shared" si="3"/>
        <v>98.806748948422339</v>
      </c>
      <c r="U4" s="6">
        <f t="shared" si="3"/>
        <v>89.16918808284521</v>
      </c>
      <c r="V4" s="6">
        <f t="shared" si="3"/>
        <v>9.6375608655771217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7.5880000000000001</v>
      </c>
      <c r="C5" s="8">
        <v>1.2550360000000002E-10</v>
      </c>
      <c r="D5" s="1">
        <v>1.1328060000000001E-10</v>
      </c>
      <c r="E5" s="1">
        <v>1.2223000000000001E-11</v>
      </c>
      <c r="F5" s="1">
        <v>1.6266999999999999E-12</v>
      </c>
      <c r="G5" s="1">
        <v>1.4807000000000001E-17</v>
      </c>
      <c r="H5" s="1">
        <v>1.5700000000000001E-13</v>
      </c>
      <c r="I5" s="1">
        <v>1.0619E-14</v>
      </c>
      <c r="J5" s="1">
        <v>1.5828000000000001E-14</v>
      </c>
      <c r="K5" s="1"/>
      <c r="L5" s="1"/>
      <c r="N5" s="7"/>
      <c r="O5">
        <f t="shared" si="4"/>
        <v>0.12646666666666667</v>
      </c>
      <c r="P5" s="6">
        <f t="shared" si="5"/>
        <v>99.966932413276069</v>
      </c>
      <c r="Q5" s="6">
        <f t="shared" si="0"/>
        <v>1.4005635747050604</v>
      </c>
      <c r="R5" s="6">
        <f t="shared" si="1"/>
        <v>8.349679175109993E-3</v>
      </c>
      <c r="S5" s="10">
        <f t="shared" si="2"/>
        <v>1.2428166317447831E-2</v>
      </c>
      <c r="T5" s="6">
        <f t="shared" si="3"/>
        <v>98.545590993078463</v>
      </c>
      <c r="U5" s="6">
        <f t="shared" si="3"/>
        <v>88.948075394255795</v>
      </c>
      <c r="V5" s="6">
        <f t="shared" si="3"/>
        <v>9.5975155988226462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9.6359999999999992</v>
      </c>
      <c r="C6" s="8">
        <v>1.253194E-10</v>
      </c>
      <c r="D6" s="1">
        <v>1.1312939999999999E-10</v>
      </c>
      <c r="E6" s="1">
        <v>1.219E-11</v>
      </c>
      <c r="F6" s="1">
        <v>1.7380000000000001E-12</v>
      </c>
      <c r="G6" s="1">
        <v>1.7355E-17</v>
      </c>
      <c r="H6" s="1">
        <v>2.1950999999999999E-13</v>
      </c>
      <c r="I6" s="1">
        <v>1.5529000000000001E-14</v>
      </c>
      <c r="J6" s="1">
        <v>2.0069E-14</v>
      </c>
      <c r="K6" s="1"/>
      <c r="L6" s="1"/>
      <c r="N6" s="7"/>
      <c r="O6">
        <f t="shared" si="4"/>
        <v>0.16059999999999999</v>
      </c>
      <c r="P6" s="6">
        <f t="shared" si="5"/>
        <v>99.965961549547245</v>
      </c>
      <c r="Q6" s="6">
        <f t="shared" si="0"/>
        <v>1.5370394142069312</v>
      </c>
      <c r="R6" s="6">
        <f t="shared" si="1"/>
        <v>1.2207018294799511E-2</v>
      </c>
      <c r="S6" s="10">
        <f t="shared" si="2"/>
        <v>1.5758205068540594E-2</v>
      </c>
      <c r="T6" s="6">
        <f t="shared" si="3"/>
        <v>98.400956911976991</v>
      </c>
      <c r="U6" s="6">
        <f t="shared" si="3"/>
        <v>88.829352956348401</v>
      </c>
      <c r="V6" s="6">
        <f t="shared" si="3"/>
        <v>9.5716039556285732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0.9</v>
      </c>
      <c r="AH6" s="1">
        <v>0.9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13.731999999999999</v>
      </c>
      <c r="C7" s="8">
        <v>1.2497860000000001E-10</v>
      </c>
      <c r="D7" s="1">
        <v>1.128526E-10</v>
      </c>
      <c r="E7" s="1">
        <v>1.2126000000000001E-11</v>
      </c>
      <c r="F7" s="1">
        <v>1.9118E-12</v>
      </c>
      <c r="G7" s="1">
        <v>2.3497000000000001E-17</v>
      </c>
      <c r="H7" s="1">
        <v>3.5568000000000001E-13</v>
      </c>
      <c r="I7" s="1">
        <v>2.8092E-14</v>
      </c>
      <c r="J7" s="1">
        <v>2.8518000000000002E-14</v>
      </c>
      <c r="K7" s="1"/>
      <c r="L7" s="1"/>
      <c r="N7" s="7"/>
      <c r="O7">
        <f t="shared" si="4"/>
        <v>0.22886666666666666</v>
      </c>
      <c r="P7" s="6">
        <f t="shared" si="5"/>
        <v>99.958257265802814</v>
      </c>
      <c r="Q7" s="6">
        <f t="shared" si="0"/>
        <v>1.7804282639301623</v>
      </c>
      <c r="R7" s="6">
        <f t="shared" si="1"/>
        <v>2.2076325045091327E-2</v>
      </c>
      <c r="S7" s="10">
        <f t="shared" si="2"/>
        <v>2.2392370927532046E-2</v>
      </c>
      <c r="T7" s="6">
        <f t="shared" si="3"/>
        <v>98.133360305900027</v>
      </c>
      <c r="U7" s="6">
        <f t="shared" si="3"/>
        <v>88.612009234041764</v>
      </c>
      <c r="V7" s="6">
        <f t="shared" si="3"/>
        <v>9.5213510718582519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156</v>
      </c>
      <c r="AH7" s="1" t="s">
        <v>160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17.417999999999999</v>
      </c>
      <c r="C8" s="8">
        <v>1.2470379999999999E-10</v>
      </c>
      <c r="D8" s="1">
        <v>1.126308E-10</v>
      </c>
      <c r="E8" s="1">
        <v>1.2073E-11</v>
      </c>
      <c r="F8" s="1">
        <v>2.03E-12</v>
      </c>
      <c r="G8" s="1">
        <v>3.0113999999999999E-17</v>
      </c>
      <c r="H8" s="1">
        <v>4.8871999999999996E-13</v>
      </c>
      <c r="I8" s="1">
        <v>4.2965000000000003E-14</v>
      </c>
      <c r="J8" s="1">
        <v>3.6084999999999998E-14</v>
      </c>
      <c r="K8" s="1"/>
      <c r="L8" s="1"/>
      <c r="M8" s="4"/>
      <c r="N8" s="7"/>
      <c r="O8">
        <f t="shared" si="4"/>
        <v>0.2903</v>
      </c>
      <c r="P8" s="6">
        <f t="shared" si="5"/>
        <v>99.95738303601388</v>
      </c>
      <c r="Q8" s="6">
        <f t="shared" si="0"/>
        <v>1.9777022407810336</v>
      </c>
      <c r="R8" s="6">
        <f t="shared" si="1"/>
        <v>3.3759819789589945E-2</v>
      </c>
      <c r="S8" s="10">
        <f t="shared" si="2"/>
        <v>2.8333989232063744E-2</v>
      </c>
      <c r="T8" s="6">
        <f t="shared" si="3"/>
        <v>97.917586986211191</v>
      </c>
      <c r="U8" s="6">
        <f t="shared" si="3"/>
        <v>88.437851583725248</v>
      </c>
      <c r="V8" s="6">
        <f t="shared" si="3"/>
        <v>9.4797354024859537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0.48</v>
      </c>
      <c r="AH8" s="37">
        <v>0.48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21.105</v>
      </c>
      <c r="C9" s="8">
        <v>1.244325E-10</v>
      </c>
      <c r="D9" s="1">
        <v>1.124085E-10</v>
      </c>
      <c r="E9" s="1">
        <v>1.2024E-11</v>
      </c>
      <c r="F9" s="1">
        <v>2.1268000000000002E-12</v>
      </c>
      <c r="G9" s="1">
        <v>3.7221000000000002E-17</v>
      </c>
      <c r="H9" s="1">
        <v>6.2971999999999997E-13</v>
      </c>
      <c r="I9" s="1">
        <v>6.1585999999999994E-14</v>
      </c>
      <c r="J9" s="1">
        <v>4.3620000000000001E-14</v>
      </c>
      <c r="K9" s="1"/>
      <c r="L9" s="1"/>
      <c r="N9" s="7"/>
      <c r="O9">
        <f t="shared" si="4"/>
        <v>0.35175000000000001</v>
      </c>
      <c r="P9" s="6">
        <f t="shared" si="5"/>
        <v>99.951622098026945</v>
      </c>
      <c r="Q9" s="6">
        <f t="shared" si="0"/>
        <v>2.1644231120401374</v>
      </c>
      <c r="R9" s="6">
        <f t="shared" si="1"/>
        <v>4.8386633788529421E-2</v>
      </c>
      <c r="S9" s="10">
        <f t="shared" si="2"/>
        <v>3.4250481094710288E-2</v>
      </c>
      <c r="T9" s="6">
        <f t="shared" si="3"/>
        <v>97.704561871103564</v>
      </c>
      <c r="U9" s="6">
        <f t="shared" si="3"/>
        <v>88.263301332754267</v>
      </c>
      <c r="V9" s="6">
        <f t="shared" si="3"/>
        <v>9.4412605383492991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4.2</v>
      </c>
      <c r="AH9" s="37">
        <v>4.2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24.791</v>
      </c>
      <c r="C10" s="8">
        <v>1.2417450000000001E-10</v>
      </c>
      <c r="D10" s="1">
        <v>1.1219550000000001E-10</v>
      </c>
      <c r="E10" s="1">
        <v>1.1979E-11</v>
      </c>
      <c r="F10" s="1">
        <v>2.2081999999999998E-12</v>
      </c>
      <c r="G10" s="1">
        <v>4.4509000000000003E-17</v>
      </c>
      <c r="H10" s="1">
        <v>7.7750999999999999E-13</v>
      </c>
      <c r="I10" s="1">
        <v>8.4177999999999995E-14</v>
      </c>
      <c r="J10" s="1">
        <v>5.1126E-14</v>
      </c>
      <c r="K10" s="1"/>
      <c r="L10" s="1"/>
      <c r="N10" s="7"/>
      <c r="O10">
        <f t="shared" si="4"/>
        <v>0.41318333333333335</v>
      </c>
      <c r="P10" s="6">
        <f t="shared" si="5"/>
        <v>99.952639159859956</v>
      </c>
      <c r="Q10" s="6">
        <f t="shared" si="0"/>
        <v>2.344383400029515</v>
      </c>
      <c r="R10" s="6">
        <f t="shared" si="1"/>
        <v>6.6131624306592529E-2</v>
      </c>
      <c r="S10" s="10">
        <f t="shared" si="2"/>
        <v>4.0144202119398398E-2</v>
      </c>
      <c r="T10" s="6">
        <f t="shared" si="3"/>
        <v>97.501979933404456</v>
      </c>
      <c r="U10" s="6">
        <f t="shared" si="3"/>
        <v>88.096053453956173</v>
      </c>
      <c r="V10" s="6">
        <f t="shared" si="3"/>
        <v>9.4059264794482917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2.8999999999999998E-7</v>
      </c>
      <c r="AH10" s="37">
        <v>2.8999999999999998E-7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32.164000000000001</v>
      </c>
      <c r="C11" s="8">
        <v>1.2364410000000001E-10</v>
      </c>
      <c r="D11" s="1">
        <v>1.117481E-10</v>
      </c>
      <c r="E11" s="1">
        <v>1.1896E-11</v>
      </c>
      <c r="F11" s="1">
        <v>2.3361000000000001E-12</v>
      </c>
      <c r="G11" s="1">
        <v>5.7921999999999997E-17</v>
      </c>
      <c r="H11" s="1">
        <v>1.0894E-12</v>
      </c>
      <c r="I11" s="1">
        <v>1.4122E-13</v>
      </c>
      <c r="J11" s="1">
        <v>6.6058000000000005E-14</v>
      </c>
      <c r="K11" s="1"/>
      <c r="L11" s="1"/>
      <c r="N11" s="7"/>
      <c r="O11">
        <f t="shared" si="4"/>
        <v>0.53606666666666669</v>
      </c>
      <c r="P11" s="6">
        <f t="shared" si="5"/>
        <v>99.938016680172254</v>
      </c>
      <c r="Q11" s="6">
        <f t="shared" si="0"/>
        <v>2.6897070836756094</v>
      </c>
      <c r="R11" s="6">
        <f t="shared" si="1"/>
        <v>0.11093160927466653</v>
      </c>
      <c r="S11" s="10">
        <f t="shared" si="2"/>
        <v>5.186882806406172E-2</v>
      </c>
      <c r="T11" s="6">
        <f t="shared" si="3"/>
        <v>97.085509159157908</v>
      </c>
      <c r="U11" s="6">
        <f t="shared" si="3"/>
        <v>87.74475438834925</v>
      </c>
      <c r="V11" s="6">
        <f t="shared" si="3"/>
        <v>9.3407547708086547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39.536999999999999</v>
      </c>
      <c r="C12" s="8">
        <v>1.2313670000000001E-10</v>
      </c>
      <c r="D12" s="1">
        <v>1.113137E-10</v>
      </c>
      <c r="E12" s="1">
        <v>1.1822999999999999E-11</v>
      </c>
      <c r="F12" s="1">
        <v>2.4247999999999999E-12</v>
      </c>
      <c r="G12" s="1">
        <v>7.0343000000000002E-17</v>
      </c>
      <c r="H12" s="1">
        <v>1.4184000000000001E-12</v>
      </c>
      <c r="I12" s="1">
        <v>2.1308000000000001E-13</v>
      </c>
      <c r="J12" s="1">
        <v>8.0891000000000006E-14</v>
      </c>
      <c r="K12" s="1"/>
      <c r="L12" s="1"/>
      <c r="N12" s="7"/>
      <c r="O12">
        <f t="shared" si="4"/>
        <v>0.65895000000000004</v>
      </c>
      <c r="P12" s="6">
        <f t="shared" si="5"/>
        <v>99.935665332821827</v>
      </c>
      <c r="Q12" s="6">
        <f t="shared" si="0"/>
        <v>3.0176856704078538</v>
      </c>
      <c r="R12" s="6">
        <f t="shared" si="1"/>
        <v>0.16736592831848951</v>
      </c>
      <c r="S12" s="10">
        <f t="shared" si="2"/>
        <v>6.3515719079142829E-2</v>
      </c>
      <c r="T12" s="6">
        <f t="shared" si="3"/>
        <v>96.687098015016332</v>
      </c>
      <c r="U12" s="6">
        <f t="shared" si="3"/>
        <v>87.403662939758192</v>
      </c>
      <c r="V12" s="6">
        <f t="shared" si="3"/>
        <v>9.2834350752581312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46.91</v>
      </c>
      <c r="C13" s="8">
        <v>1.2262739999999999E-10</v>
      </c>
      <c r="D13" s="1">
        <v>1.1087139999999999E-10</v>
      </c>
      <c r="E13" s="1">
        <v>1.1756E-11</v>
      </c>
      <c r="F13" s="1">
        <v>2.4844000000000002E-12</v>
      </c>
      <c r="G13" s="1">
        <v>8.1304000000000004E-17</v>
      </c>
      <c r="H13" s="1">
        <v>1.7596000000000001E-12</v>
      </c>
      <c r="I13" s="1">
        <v>2.9781999999999999E-13</v>
      </c>
      <c r="J13" s="1">
        <v>9.5636999999999994E-14</v>
      </c>
      <c r="K13" s="1"/>
      <c r="L13" s="1"/>
      <c r="N13" s="7"/>
      <c r="O13">
        <f t="shared" si="4"/>
        <v>0.78183333333333327</v>
      </c>
      <c r="P13" s="6">
        <f t="shared" si="5"/>
        <v>99.928596134814825</v>
      </c>
      <c r="Q13" s="6">
        <f t="shared" si="0"/>
        <v>3.3323943550194968</v>
      </c>
      <c r="R13" s="6">
        <f t="shared" si="1"/>
        <v>0.23391249382717885</v>
      </c>
      <c r="S13" s="10">
        <f t="shared" si="2"/>
        <v>7.5094297580348635E-2</v>
      </c>
      <c r="T13" s="6">
        <f t="shared" si="3"/>
        <v>96.287194988387796</v>
      </c>
      <c r="U13" s="6">
        <f t="shared" si="3"/>
        <v>87.056368400826727</v>
      </c>
      <c r="V13" s="6">
        <f t="shared" si="3"/>
        <v>9.2308265875610758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54.281999999999996</v>
      </c>
      <c r="C14" s="8">
        <v>1.2211839999999999E-10</v>
      </c>
      <c r="D14" s="1">
        <v>1.1042539999999999E-10</v>
      </c>
      <c r="E14" s="1">
        <v>1.1693E-11</v>
      </c>
      <c r="F14" s="1">
        <v>2.5231E-12</v>
      </c>
      <c r="G14" s="1">
        <v>9.0047999999999994E-17</v>
      </c>
      <c r="H14" s="1">
        <v>2.109E-12</v>
      </c>
      <c r="I14" s="1">
        <v>3.9316000000000001E-13</v>
      </c>
      <c r="J14" s="1">
        <v>1.1029999999999999E-13</v>
      </c>
      <c r="K14" s="1"/>
      <c r="L14" s="1"/>
      <c r="N14" s="7"/>
      <c r="O14">
        <f t="shared" si="4"/>
        <v>0.90469999999999995</v>
      </c>
      <c r="P14" s="6">
        <f t="shared" si="5"/>
        <v>99.920046661951872</v>
      </c>
      <c r="Q14" s="6">
        <f t="shared" si="0"/>
        <v>3.637130983007967</v>
      </c>
      <c r="R14" s="6">
        <f t="shared" si="1"/>
        <v>0.30878045241902591</v>
      </c>
      <c r="S14" s="10">
        <f t="shared" si="2"/>
        <v>8.6607704372914818E-2</v>
      </c>
      <c r="T14" s="6">
        <f t="shared" si="3"/>
        <v>95.887527522151956</v>
      </c>
      <c r="U14" s="6">
        <f t="shared" si="3"/>
        <v>86.706168617052299</v>
      </c>
      <c r="V14" s="6">
        <f t="shared" si="3"/>
        <v>9.181358905099664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69.028000000000006</v>
      </c>
      <c r="C15" s="8">
        <v>1.211171E-10</v>
      </c>
      <c r="D15" s="1">
        <v>1.095401E-10</v>
      </c>
      <c r="E15" s="1">
        <v>1.1577E-11</v>
      </c>
      <c r="F15" s="1">
        <v>2.5646000000000002E-12</v>
      </c>
      <c r="G15" s="1">
        <v>1.0053E-16</v>
      </c>
      <c r="H15" s="1">
        <v>2.8218E-12</v>
      </c>
      <c r="I15" s="1">
        <v>6.068E-13</v>
      </c>
      <c r="J15" s="1">
        <v>1.3941000000000001E-13</v>
      </c>
      <c r="K15" s="1"/>
      <c r="L15" s="1"/>
      <c r="N15" s="7"/>
      <c r="O15">
        <f t="shared" si="4"/>
        <v>1.1504666666666667</v>
      </c>
      <c r="P15" s="6">
        <f t="shared" si="5"/>
        <v>99.916717786869114</v>
      </c>
      <c r="Q15" s="6">
        <f t="shared" si="0"/>
        <v>4.2294083303197487</v>
      </c>
      <c r="R15" s="6">
        <f t="shared" si="1"/>
        <v>0.47653909053495302</v>
      </c>
      <c r="S15" s="10">
        <f t="shared" si="2"/>
        <v>0.10946491447532236</v>
      </c>
      <c r="T15" s="6">
        <f t="shared" si="3"/>
        <v>95.101305451539091</v>
      </c>
      <c r="U15" s="6">
        <f t="shared" si="3"/>
        <v>86.011029898273122</v>
      </c>
      <c r="V15" s="6">
        <f t="shared" si="3"/>
        <v>9.0902755532659558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0.1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83.774000000000001</v>
      </c>
      <c r="C16" s="8">
        <v>1.201124E-10</v>
      </c>
      <c r="D16" s="1">
        <v>1.086434E-10</v>
      </c>
      <c r="E16" s="1">
        <v>1.1469E-11</v>
      </c>
      <c r="F16" s="1">
        <v>2.5733E-12</v>
      </c>
      <c r="G16" s="1">
        <v>1.0698E-16</v>
      </c>
      <c r="H16" s="1">
        <v>3.5440999999999998E-12</v>
      </c>
      <c r="I16" s="1">
        <v>8.4197E-13</v>
      </c>
      <c r="J16" s="1">
        <v>1.6823000000000001E-13</v>
      </c>
      <c r="K16" s="1"/>
      <c r="L16" s="1"/>
      <c r="N16" s="7"/>
      <c r="O16">
        <f t="shared" si="4"/>
        <v>1.3962333333333334</v>
      </c>
      <c r="P16" s="6">
        <f t="shared" si="5"/>
        <v>99.909098546708023</v>
      </c>
      <c r="Q16" s="6">
        <f t="shared" si="0"/>
        <v>4.8033904871338988</v>
      </c>
      <c r="R16" s="6">
        <f t="shared" si="1"/>
        <v>0.66119994690006256</v>
      </c>
      <c r="S16" s="10">
        <f t="shared" si="2"/>
        <v>0.1320944161981456</v>
      </c>
      <c r="T16" s="6">
        <f t="shared" si="3"/>
        <v>94.312413696475915</v>
      </c>
      <c r="U16" s="6">
        <f t="shared" si="3"/>
        <v>85.306939884572373</v>
      </c>
      <c r="V16" s="6">
        <f t="shared" si="3"/>
        <v>9.0054738119035367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98.519000000000005</v>
      </c>
      <c r="C17" s="8">
        <v>1.1910780000000001E-10</v>
      </c>
      <c r="D17" s="1">
        <v>1.077408E-10</v>
      </c>
      <c r="E17" s="1">
        <v>1.1367E-11</v>
      </c>
      <c r="F17" s="1">
        <v>2.5650000000000001E-12</v>
      </c>
      <c r="G17" s="1">
        <v>1.1208999999999999E-16</v>
      </c>
      <c r="H17" s="1">
        <v>4.2678000000000001E-12</v>
      </c>
      <c r="I17" s="1">
        <v>1.0895999999999999E-12</v>
      </c>
      <c r="J17" s="1">
        <v>1.968E-13</v>
      </c>
      <c r="K17" s="1"/>
      <c r="L17" s="1"/>
      <c r="N17" s="7"/>
      <c r="O17">
        <f t="shared" si="4"/>
        <v>1.6419833333333334</v>
      </c>
      <c r="P17" s="6">
        <f t="shared" si="5"/>
        <v>99.898894942070882</v>
      </c>
      <c r="Q17" s="6">
        <f t="shared" si="0"/>
        <v>5.3651235035290332</v>
      </c>
      <c r="R17" s="6">
        <f t="shared" si="1"/>
        <v>0.8556433594044528</v>
      </c>
      <c r="S17" s="10">
        <f t="shared" si="2"/>
        <v>0.15452761759374103</v>
      </c>
      <c r="T17" s="6">
        <f t="shared" si="3"/>
        <v>93.523600461543651</v>
      </c>
      <c r="U17" s="6">
        <f t="shared" si="3"/>
        <v>84.59821718314906</v>
      </c>
      <c r="V17" s="6">
        <f t="shared" si="3"/>
        <v>8.9253832783945857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113.26</v>
      </c>
      <c r="C18" s="8">
        <v>1.1810909999999999E-10</v>
      </c>
      <c r="D18" s="1">
        <v>1.068411E-10</v>
      </c>
      <c r="E18" s="1">
        <v>1.1267999999999999E-11</v>
      </c>
      <c r="F18" s="1">
        <v>2.5486999999999998E-12</v>
      </c>
      <c r="G18" s="1">
        <v>1.1473999999999999E-16</v>
      </c>
      <c r="H18" s="1">
        <v>4.9885000000000004E-12</v>
      </c>
      <c r="I18" s="1">
        <v>1.3441000000000001E-12</v>
      </c>
      <c r="J18" s="1">
        <v>2.2511000000000001E-13</v>
      </c>
      <c r="K18" s="1"/>
      <c r="L18" s="1"/>
      <c r="N18" s="7"/>
      <c r="O18">
        <f t="shared" si="4"/>
        <v>1.8876666666666668</v>
      </c>
      <c r="P18" s="6">
        <f t="shared" si="5"/>
        <v>99.889875059814955</v>
      </c>
      <c r="Q18" s="6">
        <f t="shared" si="0"/>
        <v>5.9182193055261427</v>
      </c>
      <c r="R18" s="6">
        <f t="shared" si="1"/>
        <v>1.0554791733058435</v>
      </c>
      <c r="S18" s="10">
        <f t="shared" si="2"/>
        <v>0.17675666664901954</v>
      </c>
      <c r="T18" s="6">
        <f t="shared" ref="T18:V36" si="6">C18/$A$1*100</f>
        <v>92.739419914333936</v>
      </c>
      <c r="U18" s="6">
        <f t="shared" si="6"/>
        <v>83.89177156552158</v>
      </c>
      <c r="V18" s="6">
        <f t="shared" si="6"/>
        <v>8.8476483488123669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128.01</v>
      </c>
      <c r="C19" s="8">
        <v>1.171157E-10</v>
      </c>
      <c r="D19" s="1">
        <v>1.059447E-10</v>
      </c>
      <c r="E19" s="1">
        <v>1.1171000000000001E-11</v>
      </c>
      <c r="F19" s="1">
        <v>2.5288999999999999E-12</v>
      </c>
      <c r="G19" s="1">
        <v>1.1567999999999999E-16</v>
      </c>
      <c r="H19" s="1">
        <v>5.7043999999999998E-12</v>
      </c>
      <c r="I19" s="1">
        <v>1.6016999999999999E-12</v>
      </c>
      <c r="J19" s="1">
        <v>2.5317999999999999E-13</v>
      </c>
      <c r="K19" s="1"/>
      <c r="L19" s="1"/>
      <c r="N19" s="7"/>
      <c r="O19">
        <f t="shared" si="4"/>
        <v>2.1334999999999997</v>
      </c>
      <c r="P19" s="6">
        <f t="shared" si="5"/>
        <v>99.880743906681531</v>
      </c>
      <c r="Q19" s="6">
        <f t="shared" si="0"/>
        <v>6.4647979366592878</v>
      </c>
      <c r="R19" s="6">
        <f t="shared" si="1"/>
        <v>1.2577477685706213</v>
      </c>
      <c r="S19" s="10">
        <f t="shared" si="2"/>
        <v>0.19879726739015932</v>
      </c>
      <c r="T19" s="6">
        <f t="shared" si="6"/>
        <v>91.959400934061478</v>
      </c>
      <c r="U19" s="6">
        <f t="shared" si="6"/>
        <v>83.187917112213498</v>
      </c>
      <c r="V19" s="6">
        <f t="shared" si="6"/>
        <v>8.7714838218479745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142.76</v>
      </c>
      <c r="C20" s="8">
        <v>1.1612779999999999E-10</v>
      </c>
      <c r="D20" s="1">
        <v>1.0505179999999999E-10</v>
      </c>
      <c r="E20" s="1">
        <v>1.1076E-11</v>
      </c>
      <c r="F20" s="1">
        <v>2.5077999999999999E-12</v>
      </c>
      <c r="G20" s="1">
        <v>1.1542000000000001E-16</v>
      </c>
      <c r="H20" s="1">
        <v>6.4147000000000001E-12</v>
      </c>
      <c r="I20" s="1">
        <v>1.8602000000000001E-12</v>
      </c>
      <c r="J20" s="1">
        <v>2.8100000000000001E-13</v>
      </c>
      <c r="K20" s="1"/>
      <c r="L20" s="1"/>
      <c r="N20" s="7"/>
      <c r="O20">
        <f t="shared" si="4"/>
        <v>2.3793333333333333</v>
      </c>
      <c r="P20" s="6">
        <f t="shared" si="5"/>
        <v>99.871022910324854</v>
      </c>
      <c r="Q20" s="6">
        <f t="shared" si="0"/>
        <v>7.0059586787609467</v>
      </c>
      <c r="R20" s="6">
        <f t="shared" si="1"/>
        <v>1.4607221027718487</v>
      </c>
      <c r="S20" s="10">
        <f t="shared" si="2"/>
        <v>0.22064156780407132</v>
      </c>
      <c r="T20" s="6">
        <f t="shared" si="6"/>
        <v>91.183700560988001</v>
      </c>
      <c r="U20" s="6">
        <f t="shared" si="6"/>
        <v>82.48681086348661</v>
      </c>
      <c r="V20" s="6">
        <f t="shared" si="6"/>
        <v>8.6968896975014012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172.25</v>
      </c>
      <c r="C21" s="8">
        <v>1.141736E-10</v>
      </c>
      <c r="D21" s="1">
        <v>1.0328560000000001E-10</v>
      </c>
      <c r="E21" s="1">
        <v>1.0888E-11</v>
      </c>
      <c r="F21" s="1">
        <v>2.4654999999999999E-12</v>
      </c>
      <c r="G21" s="1">
        <v>1.1170999999999999E-16</v>
      </c>
      <c r="H21" s="1">
        <v>7.8173000000000006E-12</v>
      </c>
      <c r="I21" s="1">
        <v>2.3748999999999999E-12</v>
      </c>
      <c r="J21" s="1">
        <v>3.3595E-13</v>
      </c>
      <c r="K21" s="1"/>
      <c r="L21" s="1"/>
      <c r="N21" s="7"/>
      <c r="O21">
        <f t="shared" si="4"/>
        <v>2.8708333333333331</v>
      </c>
      <c r="P21" s="6">
        <f t="shared" si="5"/>
        <v>99.851978865486913</v>
      </c>
      <c r="Q21" s="6">
        <f t="shared" si="0"/>
        <v>8.0740680192729695</v>
      </c>
      <c r="R21" s="6">
        <f t="shared" si="1"/>
        <v>1.8648623033716307</v>
      </c>
      <c r="S21" s="10">
        <f t="shared" si="2"/>
        <v>0.26378837972874647</v>
      </c>
      <c r="T21" s="6">
        <f t="shared" si="6"/>
        <v>89.649260163113581</v>
      </c>
      <c r="U21" s="6">
        <f t="shared" si="6"/>
        <v>81.099988311687497</v>
      </c>
      <c r="V21" s="6">
        <f t="shared" si="6"/>
        <v>8.549271851426079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201.74</v>
      </c>
      <c r="C22" s="8">
        <v>1.1225009999999999E-10</v>
      </c>
      <c r="D22" s="1">
        <v>1.0154509999999999E-10</v>
      </c>
      <c r="E22" s="1">
        <v>1.0705E-11</v>
      </c>
      <c r="F22" s="1">
        <v>2.4234999999999999E-12</v>
      </c>
      <c r="G22" s="1">
        <v>1.0991999999999999E-16</v>
      </c>
      <c r="H22" s="1">
        <v>9.1961999999999999E-12</v>
      </c>
      <c r="I22" s="1">
        <v>2.8843000000000001E-12</v>
      </c>
      <c r="J22" s="1">
        <v>3.8997E-13</v>
      </c>
      <c r="K22" s="1"/>
      <c r="L22" s="1"/>
      <c r="N22" s="7"/>
      <c r="O22">
        <f t="shared" si="4"/>
        <v>3.3623333333333334</v>
      </c>
      <c r="P22" s="6">
        <f t="shared" si="5"/>
        <v>99.833776493636023</v>
      </c>
      <c r="Q22" s="6">
        <f t="shared" si="0"/>
        <v>9.123803649156466</v>
      </c>
      <c r="R22" s="6">
        <f t="shared" si="1"/>
        <v>2.2648424446206969</v>
      </c>
      <c r="S22" s="10">
        <f t="shared" si="2"/>
        <v>0.3062049544361341</v>
      </c>
      <c r="T22" s="6">
        <f t="shared" si="6"/>
        <v>88.138925445422714</v>
      </c>
      <c r="U22" s="6">
        <f t="shared" si="6"/>
        <v>79.73334543352739</v>
      </c>
      <c r="V22" s="6">
        <f t="shared" si="6"/>
        <v>8.4055800118953137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260.72000000000003</v>
      </c>
      <c r="C23" s="8">
        <v>1.084932E-10</v>
      </c>
      <c r="D23" s="1">
        <v>9.8147200000000004E-11</v>
      </c>
      <c r="E23" s="1">
        <v>1.0346E-11</v>
      </c>
      <c r="F23" s="1">
        <v>2.3419999999999999E-12</v>
      </c>
      <c r="G23" s="1">
        <v>1.0711E-16</v>
      </c>
      <c r="H23" s="1">
        <v>1.1884000000000001E-11</v>
      </c>
      <c r="I23" s="1">
        <v>3.8799999999999996E-12</v>
      </c>
      <c r="J23" s="1">
        <v>4.9529E-13</v>
      </c>
      <c r="K23" s="1"/>
      <c r="L23" s="1"/>
      <c r="N23" s="7"/>
      <c r="O23">
        <f t="shared" si="4"/>
        <v>4.3453333333333335</v>
      </c>
      <c r="P23" s="6">
        <f t="shared" si="5"/>
        <v>99.794844006324524</v>
      </c>
      <c r="Q23" s="6">
        <f t="shared" si="0"/>
        <v>11.17027382057195</v>
      </c>
      <c r="R23" s="6">
        <f t="shared" si="1"/>
        <v>3.0466651814879859</v>
      </c>
      <c r="S23" s="10">
        <f t="shared" si="2"/>
        <v>0.38890235629067071</v>
      </c>
      <c r="T23" s="6">
        <f t="shared" si="6"/>
        <v>85.189002647973908</v>
      </c>
      <c r="U23" s="6">
        <f t="shared" si="6"/>
        <v>77.065309905977756</v>
      </c>
      <c r="V23" s="6">
        <f t="shared" si="6"/>
        <v>8.1236927419961624</v>
      </c>
      <c r="X23" s="68" t="s">
        <v>135</v>
      </c>
      <c r="Y23" s="69"/>
      <c r="Z23" s="70"/>
      <c r="AA23" s="71"/>
      <c r="AB23" s="5"/>
      <c r="AC23" s="1"/>
      <c r="AD23" s="5"/>
      <c r="AE23" s="5"/>
      <c r="AF23" s="36" t="s">
        <v>164</v>
      </c>
      <c r="AG23" s="1" t="s">
        <v>165</v>
      </c>
      <c r="AH23" s="1" t="s">
        <v>167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378.69</v>
      </c>
      <c r="C24" s="8">
        <v>1.015742E-10</v>
      </c>
      <c r="D24" s="1">
        <v>9.1887699999999996E-11</v>
      </c>
      <c r="E24" s="1">
        <v>9.6865E-12</v>
      </c>
      <c r="F24" s="1">
        <v>2.1926000000000002E-12</v>
      </c>
      <c r="G24" s="1">
        <v>1.0148E-16</v>
      </c>
      <c r="H24" s="1">
        <v>1.6999000000000001E-11</v>
      </c>
      <c r="I24" s="1">
        <v>5.7764999999999999E-12</v>
      </c>
      <c r="J24" s="1">
        <v>6.9574000000000002E-13</v>
      </c>
      <c r="K24" s="1"/>
      <c r="L24" s="1"/>
      <c r="N24" s="7"/>
      <c r="O24">
        <f t="shared" si="4"/>
        <v>6.3114999999999997</v>
      </c>
      <c r="P24" s="6">
        <f t="shared" si="5"/>
        <v>99.907555233535376</v>
      </c>
      <c r="Q24" s="6">
        <f t="shared" si="0"/>
        <v>15.069269440101833</v>
      </c>
      <c r="R24" s="6">
        <f t="shared" si="1"/>
        <v>4.535795043154871</v>
      </c>
      <c r="S24" s="10">
        <f t="shared" si="2"/>
        <v>0.54629595866193792</v>
      </c>
      <c r="T24" s="6">
        <f t="shared" si="6"/>
        <v>79.756194791616721</v>
      </c>
      <c r="U24" s="6">
        <f t="shared" si="6"/>
        <v>72.150342312847542</v>
      </c>
      <c r="V24" s="6">
        <f t="shared" si="6"/>
        <v>7.6058524787691688</v>
      </c>
      <c r="X24" s="72"/>
      <c r="Y24" s="73"/>
      <c r="Z24" s="74"/>
      <c r="AA24" s="75"/>
      <c r="AB24" s="5"/>
      <c r="AC24" s="1"/>
      <c r="AD24" s="5"/>
      <c r="AE24" s="5"/>
      <c r="AF24" s="36"/>
      <c r="AG24" s="36"/>
      <c r="AH24" s="7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496.65</v>
      </c>
      <c r="C25" s="8">
        <v>9.5097500000000004E-11</v>
      </c>
      <c r="D25" s="1">
        <v>8.6028600000000005E-11</v>
      </c>
      <c r="E25" s="1">
        <v>9.0689000000000007E-12</v>
      </c>
      <c r="F25" s="1">
        <v>2.0527999999999999E-12</v>
      </c>
      <c r="G25" s="1">
        <v>9.6093000000000002E-17</v>
      </c>
      <c r="H25" s="1">
        <v>2.1787999999999999E-11</v>
      </c>
      <c r="I25" s="1">
        <v>7.5512999999999999E-12</v>
      </c>
      <c r="J25" s="1">
        <v>8.8341999999999999E-13</v>
      </c>
      <c r="K25" s="1"/>
      <c r="L25" s="1"/>
      <c r="N25" s="7"/>
      <c r="O25">
        <f t="shared" si="4"/>
        <v>8.2774999999999999</v>
      </c>
      <c r="P25" s="6">
        <f t="shared" si="5"/>
        <v>100.01353747633274</v>
      </c>
      <c r="Q25" s="6">
        <f t="shared" si="0"/>
        <v>18.719827365492179</v>
      </c>
      <c r="R25" s="6">
        <f t="shared" si="1"/>
        <v>5.9293660963311696</v>
      </c>
      <c r="S25" s="10">
        <f t="shared" si="2"/>
        <v>0.69366254031840813</v>
      </c>
      <c r="T25" s="6">
        <f t="shared" si="6"/>
        <v>74.670681474190999</v>
      </c>
      <c r="U25" s="6">
        <f t="shared" si="6"/>
        <v>67.549769323805435</v>
      </c>
      <c r="V25" s="6">
        <f t="shared" si="6"/>
        <v>7.1209121503855597</v>
      </c>
      <c r="X25" s="76" t="s">
        <v>143</v>
      </c>
      <c r="Y25" s="73"/>
      <c r="Z25" s="74"/>
      <c r="AA25" s="75"/>
      <c r="AB25" s="5"/>
      <c r="AC25" s="1"/>
      <c r="AD25" s="5"/>
      <c r="AE25" s="5"/>
      <c r="AF25" s="36"/>
      <c r="AG25" s="36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614.62</v>
      </c>
      <c r="C26" s="8">
        <v>8.9033499999999993E-11</v>
      </c>
      <c r="D26" s="1">
        <v>8.0542899999999994E-11</v>
      </c>
      <c r="E26" s="1">
        <v>8.4906000000000002E-12</v>
      </c>
      <c r="F26" s="1">
        <v>1.9219000000000001E-12</v>
      </c>
      <c r="G26" s="1">
        <v>9.0238999999999996E-17</v>
      </c>
      <c r="H26" s="1">
        <v>2.6270999999999999E-11</v>
      </c>
      <c r="I26" s="1">
        <v>9.2125999999999997E-12</v>
      </c>
      <c r="J26" s="1">
        <v>1.0591E-12</v>
      </c>
      <c r="K26" s="1"/>
      <c r="L26" s="1"/>
      <c r="N26" s="7"/>
      <c r="O26">
        <f t="shared" si="4"/>
        <v>10.243666666666666</v>
      </c>
      <c r="P26" s="6">
        <f t="shared" si="5"/>
        <v>100.11174585948291</v>
      </c>
      <c r="Q26" s="6">
        <f t="shared" si="0"/>
        <v>22.137101982004985</v>
      </c>
      <c r="R26" s="6">
        <f t="shared" si="1"/>
        <v>7.2338164342570259</v>
      </c>
      <c r="S26" s="10">
        <f t="shared" si="2"/>
        <v>0.83160670626794275</v>
      </c>
      <c r="T26" s="6">
        <f t="shared" si="6"/>
        <v>69.90922073695296</v>
      </c>
      <c r="U26" s="6">
        <f t="shared" si="6"/>
        <v>63.242390503510791</v>
      </c>
      <c r="V26" s="6">
        <f t="shared" si="6"/>
        <v>6.6668302334421625</v>
      </c>
      <c r="X26" s="76" t="s">
        <v>144</v>
      </c>
      <c r="Y26" s="73"/>
      <c r="Z26" s="74"/>
      <c r="AA26" s="75"/>
      <c r="AB26" s="5"/>
      <c r="AC26" s="1"/>
      <c r="AD26" s="5"/>
      <c r="AE26" s="5"/>
      <c r="AF26" s="37"/>
      <c r="AG26" s="37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850.54</v>
      </c>
      <c r="C27" s="8">
        <v>7.7797199999999992E-11</v>
      </c>
      <c r="D27" s="1">
        <v>7.0378099999999996E-11</v>
      </c>
      <c r="E27" s="1">
        <v>7.4190999999999994E-12</v>
      </c>
      <c r="F27" s="1">
        <v>1.6792999999999999E-12</v>
      </c>
      <c r="G27" s="1">
        <v>7.6519999999999997E-17</v>
      </c>
      <c r="H27" s="1">
        <v>3.4395999999999997E-11</v>
      </c>
      <c r="I27" s="1">
        <v>1.2221E-11</v>
      </c>
      <c r="J27" s="1">
        <v>1.3774999999999999E-12</v>
      </c>
      <c r="K27" s="1"/>
      <c r="L27" s="1"/>
      <c r="N27" s="7"/>
      <c r="O27">
        <f t="shared" si="4"/>
        <v>14.175666666666666</v>
      </c>
      <c r="P27" s="6">
        <f t="shared" si="5"/>
        <v>100.09045613183464</v>
      </c>
      <c r="Q27" s="6">
        <f t="shared" si="0"/>
        <v>28.326372779367304</v>
      </c>
      <c r="R27" s="6">
        <f t="shared" si="1"/>
        <v>9.5960052798089812</v>
      </c>
      <c r="S27" s="10">
        <f t="shared" si="2"/>
        <v>1.0816148030252961</v>
      </c>
      <c r="T27" s="6">
        <f t="shared" si="6"/>
        <v>61.086463269633072</v>
      </c>
      <c r="U27" s="6">
        <f t="shared" si="6"/>
        <v>55.260976238689352</v>
      </c>
      <c r="V27" s="6">
        <f t="shared" si="6"/>
        <v>5.8254870309437194</v>
      </c>
      <c r="X27" s="76" t="s">
        <v>145</v>
      </c>
      <c r="Y27" s="73"/>
      <c r="Z27" s="74"/>
      <c r="AA27" s="75"/>
      <c r="AB27" s="5"/>
      <c r="AC27" s="1"/>
      <c r="AD27" s="5"/>
      <c r="AE27" s="5"/>
      <c r="AF27" s="36"/>
      <c r="AG27" s="36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1086.5</v>
      </c>
      <c r="C28" s="8">
        <v>6.7890000000000011E-11</v>
      </c>
      <c r="D28" s="1">
        <v>6.1415700000000005E-11</v>
      </c>
      <c r="E28" s="1">
        <v>6.4743000000000004E-12</v>
      </c>
      <c r="F28" s="1">
        <v>1.4655E-12</v>
      </c>
      <c r="G28" s="1">
        <v>6.5873000000000001E-17</v>
      </c>
      <c r="H28" s="1">
        <v>4.1489999999999997E-11</v>
      </c>
      <c r="I28" s="1">
        <v>1.4846E-11</v>
      </c>
      <c r="J28" s="1">
        <v>1.6555999999999999E-12</v>
      </c>
      <c r="K28" s="1"/>
      <c r="L28" s="1"/>
      <c r="N28" s="7"/>
      <c r="O28">
        <f t="shared" si="4"/>
        <v>18.108333333333334</v>
      </c>
      <c r="P28" s="6">
        <f t="shared" si="5"/>
        <v>99.993161329622239</v>
      </c>
      <c r="Q28" s="6">
        <f t="shared" si="0"/>
        <v>33.728714824938734</v>
      </c>
      <c r="R28" s="6">
        <f t="shared" si="1"/>
        <v>11.657150355662772</v>
      </c>
      <c r="S28" s="10">
        <f t="shared" si="2"/>
        <v>1.2999792870335247</v>
      </c>
      <c r="T28" s="6">
        <f t="shared" si="6"/>
        <v>53.307316861987196</v>
      </c>
      <c r="U28" s="6">
        <f t="shared" si="6"/>
        <v>48.223688027702856</v>
      </c>
      <c r="V28" s="6">
        <f t="shared" si="6"/>
        <v>5.0836288342843376</v>
      </c>
      <c r="X28" s="76" t="s">
        <v>146</v>
      </c>
      <c r="Y28" s="73"/>
      <c r="Z28" s="74"/>
      <c r="AA28" s="75"/>
      <c r="AB28" s="5"/>
      <c r="AC28" s="1"/>
      <c r="AD28" s="5"/>
      <c r="AE28" s="5"/>
      <c r="AF28" s="36"/>
      <c r="AG28" s="36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1518.5</v>
      </c>
      <c r="C29" s="8">
        <v>5.2748000000000001E-11</v>
      </c>
      <c r="D29" s="1">
        <v>4.7717700000000001E-11</v>
      </c>
      <c r="E29" s="1">
        <v>5.0302999999999997E-12</v>
      </c>
      <c r="F29" s="1">
        <v>1.1386E-12</v>
      </c>
      <c r="G29" s="1">
        <v>5.1692999999999998E-17</v>
      </c>
      <c r="H29" s="1">
        <v>5.2247000000000001E-11</v>
      </c>
      <c r="I29" s="1">
        <v>1.8825999999999999E-11</v>
      </c>
      <c r="J29" s="1">
        <v>2.0771000000000001E-12</v>
      </c>
      <c r="K29" s="1"/>
      <c r="L29" s="1"/>
      <c r="N29" s="7"/>
      <c r="O29">
        <f t="shared" si="4"/>
        <v>25.308333333333334</v>
      </c>
      <c r="P29" s="6">
        <f t="shared" si="5"/>
        <v>99.749423709181599</v>
      </c>
      <c r="Q29" s="6">
        <f t="shared" si="0"/>
        <v>41.918442997014338</v>
      </c>
      <c r="R29" s="6">
        <f t="shared" si="1"/>
        <v>14.782240430975127</v>
      </c>
      <c r="S29" s="10">
        <f t="shared" si="2"/>
        <v>1.6309416387396316</v>
      </c>
      <c r="T29" s="6">
        <f t="shared" si="6"/>
        <v>41.417798642452503</v>
      </c>
      <c r="U29" s="6">
        <f t="shared" si="6"/>
        <v>37.468000498236059</v>
      </c>
      <c r="V29" s="6">
        <f t="shared" si="6"/>
        <v>3.9497981442164405</v>
      </c>
      <c r="X29" s="72"/>
      <c r="Y29" s="73"/>
      <c r="Z29" s="74"/>
      <c r="AA29" s="89"/>
      <c r="AB29" s="5"/>
      <c r="AC29" s="1"/>
      <c r="AD29" s="5"/>
      <c r="AE29" s="5"/>
      <c r="AF29" s="37"/>
      <c r="AG29" s="37"/>
      <c r="AH29" s="37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1950.5</v>
      </c>
      <c r="C30" s="8">
        <v>4.0909999999999998E-11</v>
      </c>
      <c r="D30" s="1">
        <v>3.7008699999999996E-11</v>
      </c>
      <c r="E30" s="1">
        <v>3.9012999999999999E-12</v>
      </c>
      <c r="F30" s="1">
        <v>8.8305999999999998E-13</v>
      </c>
      <c r="G30" s="1">
        <v>4.0757999999999998E-17</v>
      </c>
      <c r="H30" s="1">
        <v>6.0597999999999998E-11</v>
      </c>
      <c r="I30" s="1">
        <v>2.1917999999999999E-11</v>
      </c>
      <c r="J30" s="1">
        <v>2.4044000000000001E-12</v>
      </c>
      <c r="K30" s="1"/>
      <c r="L30" s="1"/>
      <c r="N30" s="7"/>
      <c r="O30">
        <f t="shared" si="4"/>
        <v>32.508333333333333</v>
      </c>
      <c r="P30" s="6">
        <f t="shared" si="5"/>
        <v>99.495606651912809</v>
      </c>
      <c r="Q30" s="6">
        <f t="shared" si="0"/>
        <v>48.275008785253284</v>
      </c>
      <c r="R30" s="6">
        <f t="shared" si="1"/>
        <v>17.210074291952509</v>
      </c>
      <c r="S30" s="10">
        <f t="shared" si="2"/>
        <v>1.8879380271462953</v>
      </c>
      <c r="T30" s="6">
        <f t="shared" si="6"/>
        <v>32.122585547560703</v>
      </c>
      <c r="U30" s="6">
        <f t="shared" si="6"/>
        <v>29.0592796811051</v>
      </c>
      <c r="V30" s="6">
        <f t="shared" si="6"/>
        <v>3.063305866455599</v>
      </c>
      <c r="X30" s="72"/>
      <c r="Y30" s="73"/>
      <c r="Z30" s="74"/>
      <c r="AA30" s="89"/>
      <c r="AB30" s="5"/>
      <c r="AC30" s="1"/>
      <c r="AD30" s="5"/>
      <c r="AE30" s="5"/>
      <c r="AF30" s="37"/>
      <c r="AG30" s="37"/>
      <c r="AH30" s="37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ht="18.75" x14ac:dyDescent="0.3">
      <c r="B31" s="7">
        <v>2382.5</v>
      </c>
      <c r="C31" s="8">
        <v>3.17039E-11</v>
      </c>
      <c r="D31" s="1">
        <v>2.8680500000000002E-11</v>
      </c>
      <c r="E31" s="1">
        <v>3.0233999999999998E-12</v>
      </c>
      <c r="F31" s="1">
        <v>6.8435000000000001E-13</v>
      </c>
      <c r="G31" s="1">
        <v>3.1341999999999999E-17</v>
      </c>
      <c r="H31" s="1">
        <v>6.7072999999999994E-11</v>
      </c>
      <c r="I31" s="1">
        <v>2.4314999999999999E-11</v>
      </c>
      <c r="J31" s="1">
        <v>2.6582000000000001E-12</v>
      </c>
      <c r="K31" s="1"/>
      <c r="L31" s="1"/>
      <c r="N31" s="7"/>
      <c r="O31">
        <f t="shared" si="4"/>
        <v>39.708333333333336</v>
      </c>
      <c r="P31" s="6">
        <f t="shared" si="5"/>
        <v>99.276520241257927</v>
      </c>
      <c r="Q31" s="6">
        <f t="shared" si="0"/>
        <v>53.203159908360099</v>
      </c>
      <c r="R31" s="6">
        <f t="shared" si="1"/>
        <v>19.092194435957335</v>
      </c>
      <c r="S31" s="10">
        <f t="shared" si="2"/>
        <v>2.0872221193479796</v>
      </c>
      <c r="T31" s="6">
        <f t="shared" si="6"/>
        <v>24.893943777592511</v>
      </c>
      <c r="U31" s="6">
        <f t="shared" si="6"/>
        <v>22.519966140230132</v>
      </c>
      <c r="V31" s="6">
        <f t="shared" si="6"/>
        <v>2.3739776373623811</v>
      </c>
      <c r="X31" s="77" t="s">
        <v>141</v>
      </c>
      <c r="Y31" s="78" t="s">
        <v>136</v>
      </c>
      <c r="Z31" s="79"/>
      <c r="AA31" s="90">
        <v>0.33240892589169901</v>
      </c>
      <c r="AB31" s="5"/>
      <c r="AC31" s="1"/>
      <c r="AD31" s="5"/>
      <c r="AE31" s="5"/>
      <c r="AF31" s="37"/>
      <c r="AG31" s="37"/>
      <c r="AH31" s="37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ht="18.75" x14ac:dyDescent="0.3">
      <c r="B32" s="7">
        <v>2814.5</v>
      </c>
      <c r="C32" s="8">
        <v>2.4561399999999998E-11</v>
      </c>
      <c r="D32" s="1">
        <v>2.2219099999999999E-11</v>
      </c>
      <c r="E32" s="1">
        <v>2.3422999999999998E-12</v>
      </c>
      <c r="F32" s="1">
        <v>5.3016999999999995E-13</v>
      </c>
      <c r="G32" s="1">
        <v>2.3947000000000001E-17</v>
      </c>
      <c r="H32" s="1">
        <v>7.2090000000000006E-11</v>
      </c>
      <c r="I32" s="1">
        <v>2.6172E-11</v>
      </c>
      <c r="J32" s="1">
        <v>2.8547999999999999E-12</v>
      </c>
      <c r="K32" s="1"/>
      <c r="L32" s="1"/>
      <c r="N32" s="7"/>
      <c r="O32">
        <f t="shared" si="4"/>
        <v>46.908333333333331</v>
      </c>
      <c r="P32" s="6">
        <f t="shared" si="5"/>
        <v>99.098996122775603</v>
      </c>
      <c r="Q32" s="6">
        <f t="shared" si="0"/>
        <v>57.021452537360098</v>
      </c>
      <c r="R32" s="6">
        <f t="shared" si="1"/>
        <v>20.550307460041914</v>
      </c>
      <c r="S32" s="10">
        <f t="shared" si="2"/>
        <v>2.2415926966799384</v>
      </c>
      <c r="T32" s="6">
        <f t="shared" si="6"/>
        <v>19.285643428693653</v>
      </c>
      <c r="U32" s="6">
        <f t="shared" si="6"/>
        <v>17.446466402830747</v>
      </c>
      <c r="V32" s="6">
        <f t="shared" si="6"/>
        <v>1.8391770258629043</v>
      </c>
      <c r="X32" s="81"/>
      <c r="Y32" s="82" t="s">
        <v>137</v>
      </c>
      <c r="Z32" s="79"/>
      <c r="AA32" s="90">
        <v>70.366801054329002</v>
      </c>
      <c r="AB32" s="5"/>
      <c r="AC32" s="1"/>
      <c r="AD32" s="5"/>
      <c r="AE32" s="5"/>
      <c r="AF32" s="36"/>
      <c r="AG32" s="36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ht="18.75" x14ac:dyDescent="0.3">
      <c r="B33" s="7">
        <v>3203.3</v>
      </c>
      <c r="C33" s="8">
        <v>1.9532799999999997E-11</v>
      </c>
      <c r="D33" s="1">
        <v>1.7670099999999998E-11</v>
      </c>
      <c r="E33" s="1">
        <v>1.8627000000000001E-12</v>
      </c>
      <c r="F33" s="1">
        <v>4.2162999999999999E-13</v>
      </c>
      <c r="G33" s="1">
        <v>1.9181E-17</v>
      </c>
      <c r="H33" s="1">
        <v>7.5627999999999997E-11</v>
      </c>
      <c r="I33" s="1">
        <v>2.7481000000000001E-11</v>
      </c>
      <c r="J33" s="1">
        <v>2.9935000000000001E-12</v>
      </c>
      <c r="K33" s="1"/>
      <c r="L33" s="1"/>
      <c r="N33" s="7"/>
      <c r="O33">
        <f t="shared" si="4"/>
        <v>53.388333333333335</v>
      </c>
      <c r="P33" s="6">
        <f t="shared" si="5"/>
        <v>98.980081494284619</v>
      </c>
      <c r="Q33" s="6">
        <f t="shared" si="0"/>
        <v>59.714269018218978</v>
      </c>
      <c r="R33" s="6">
        <f t="shared" si="1"/>
        <v>21.578132231137349</v>
      </c>
      <c r="S33" s="10">
        <f t="shared" si="2"/>
        <v>2.3505001182259342</v>
      </c>
      <c r="T33" s="6">
        <f t="shared" si="6"/>
        <v>15.337180126702361</v>
      </c>
      <c r="U33" s="6">
        <f t="shared" si="6"/>
        <v>13.87458564859331</v>
      </c>
      <c r="V33" s="6">
        <f t="shared" si="6"/>
        <v>1.4625944781090521</v>
      </c>
      <c r="X33" s="81"/>
      <c r="Y33" s="82" t="s">
        <v>138</v>
      </c>
      <c r="Z33" s="79"/>
      <c r="AA33" s="90">
        <v>1.61329152894556E-2</v>
      </c>
      <c r="AB33" s="5"/>
      <c r="AC33" s="1"/>
      <c r="AD33" s="5"/>
      <c r="AE33" s="5"/>
      <c r="AF33" s="37"/>
      <c r="AG33" s="37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ht="18.75" x14ac:dyDescent="0.3">
      <c r="B34" s="7">
        <v>3592.1</v>
      </c>
      <c r="C34" s="8">
        <v>1.5536199999999999E-11</v>
      </c>
      <c r="D34" s="1">
        <v>1.40546E-11</v>
      </c>
      <c r="E34" s="1">
        <v>1.4816000000000001E-12</v>
      </c>
      <c r="F34" s="1">
        <v>3.3537000000000001E-13</v>
      </c>
      <c r="G34" s="1">
        <v>1.545E-17</v>
      </c>
      <c r="H34" s="1">
        <v>7.8443000000000003E-11</v>
      </c>
      <c r="I34" s="1">
        <v>2.8522999999999999E-11</v>
      </c>
      <c r="J34" s="1">
        <v>3.1038000000000002E-12</v>
      </c>
      <c r="K34" s="1"/>
      <c r="L34" s="1"/>
      <c r="N34" s="7"/>
      <c r="O34">
        <f t="shared" si="4"/>
        <v>59.868333333333332</v>
      </c>
      <c r="P34" s="6">
        <f t="shared" si="5"/>
        <v>98.889340701440759</v>
      </c>
      <c r="Q34" s="6">
        <f t="shared" si="0"/>
        <v>61.856879237897566</v>
      </c>
      <c r="R34" s="6">
        <f t="shared" si="1"/>
        <v>22.396309065436824</v>
      </c>
      <c r="S34" s="10">
        <f t="shared" si="2"/>
        <v>2.4371078225988487</v>
      </c>
      <c r="T34" s="6">
        <f t="shared" si="6"/>
        <v>12.199044575507518</v>
      </c>
      <c r="U34" s="6">
        <f t="shared" si="6"/>
        <v>11.035690316224557</v>
      </c>
      <c r="V34" s="6">
        <f t="shared" si="6"/>
        <v>1.1633542592829611</v>
      </c>
      <c r="X34" s="81"/>
      <c r="Y34" s="82" t="s">
        <v>139</v>
      </c>
      <c r="Z34" s="79"/>
      <c r="AA34" s="90">
        <v>8.8682074816499394</v>
      </c>
      <c r="AB34" s="5"/>
      <c r="AC34" s="1"/>
      <c r="AD34" s="5"/>
      <c r="AE34" s="5"/>
      <c r="AF34" s="37"/>
      <c r="AG34" s="37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3980.9</v>
      </c>
      <c r="C35" s="8">
        <v>1.235916E-11</v>
      </c>
      <c r="D35" s="1">
        <v>1.1180559999999999E-11</v>
      </c>
      <c r="E35" s="1">
        <v>1.1786E-12</v>
      </c>
      <c r="F35" s="1">
        <v>2.6678E-13</v>
      </c>
      <c r="G35" s="1">
        <v>1.2204000000000001E-17</v>
      </c>
      <c r="H35" s="1">
        <v>8.0680999999999995E-11</v>
      </c>
      <c r="I35" s="1">
        <v>2.9351999999999999E-11</v>
      </c>
      <c r="J35" s="1">
        <v>3.1914999999999999E-12</v>
      </c>
      <c r="K35" s="1"/>
      <c r="L35" s="1"/>
      <c r="N35" s="7"/>
      <c r="O35">
        <f t="shared" si="4"/>
        <v>66.348333333333329</v>
      </c>
      <c r="P35" s="6">
        <f t="shared" si="5"/>
        <v>98.817939797657999</v>
      </c>
      <c r="Q35" s="6">
        <f t="shared" si="0"/>
        <v>63.560302809462797</v>
      </c>
      <c r="R35" s="6">
        <f t="shared" si="1"/>
        <v>23.047238401760833</v>
      </c>
      <c r="S35" s="10">
        <f t="shared" si="2"/>
        <v>2.5059699773903681</v>
      </c>
      <c r="T35" s="6">
        <f t="shared" si="6"/>
        <v>9.7044286090440064</v>
      </c>
      <c r="U35" s="6">
        <f t="shared" si="6"/>
        <v>8.778990346361164</v>
      </c>
      <c r="V35" s="6">
        <f t="shared" si="6"/>
        <v>0.92543826268284146</v>
      </c>
      <c r="X35" s="81"/>
      <c r="Y35" s="82" t="s">
        <v>140</v>
      </c>
      <c r="Z35" s="79"/>
      <c r="AA35" s="90">
        <v>3.4938883358753198E-2</v>
      </c>
      <c r="AB35" s="5"/>
      <c r="AC35" s="1"/>
      <c r="AD35" s="5"/>
      <c r="AE35" s="5"/>
      <c r="AF35" s="37"/>
      <c r="AG35" s="37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4320</v>
      </c>
      <c r="C36" s="8">
        <v>1.011819E-11</v>
      </c>
      <c r="D36" s="1">
        <v>9.1532699999999994E-12</v>
      </c>
      <c r="E36" s="1">
        <v>9.6492000000000009E-13</v>
      </c>
      <c r="F36" s="1">
        <v>2.1841E-13</v>
      </c>
      <c r="G36" s="1">
        <v>9.9180999999999996E-18</v>
      </c>
      <c r="H36" s="1">
        <v>8.2255000000000004E-11</v>
      </c>
      <c r="I36" s="1">
        <v>2.9934000000000002E-11</v>
      </c>
      <c r="J36" s="1">
        <v>3.2531999999999999E-12</v>
      </c>
      <c r="K36" s="1"/>
      <c r="L36" s="1"/>
      <c r="N36" s="7"/>
      <c r="O36" s="61">
        <f t="shared" si="4"/>
        <v>72</v>
      </c>
      <c r="P36" s="62">
        <f t="shared" si="5"/>
        <v>98.761686180995923</v>
      </c>
      <c r="Q36" s="62">
        <f t="shared" si="0"/>
        <v>64.758229482377132</v>
      </c>
      <c r="R36" s="62">
        <f t="shared" si="1"/>
        <v>23.504223768655532</v>
      </c>
      <c r="S36" s="63">
        <f t="shared" si="2"/>
        <v>2.5544168981501949</v>
      </c>
      <c r="T36" s="62">
        <f t="shared" si="6"/>
        <v>7.9448160318130832</v>
      </c>
      <c r="U36" s="62">
        <f t="shared" si="6"/>
        <v>7.1871595848184047</v>
      </c>
      <c r="V36" s="6">
        <f t="shared" si="6"/>
        <v>0.75765644699467793</v>
      </c>
      <c r="X36" s="81"/>
      <c r="Y36" s="103" t="s">
        <v>151</v>
      </c>
      <c r="Z36" s="85"/>
      <c r="AA36" s="91">
        <v>10.019823288147901</v>
      </c>
      <c r="AB36" s="5"/>
      <c r="AC36" s="1"/>
      <c r="AD36" s="5"/>
      <c r="AE36" s="5"/>
      <c r="AF36" s="37"/>
      <c r="AG36" s="37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3220.9</v>
      </c>
      <c r="C37" s="8">
        <v>1.034592E-11</v>
      </c>
      <c r="D37" s="1">
        <v>9.3595600000000002E-12</v>
      </c>
      <c r="E37" s="1">
        <v>9.8636000000000005E-13</v>
      </c>
      <c r="F37" s="1">
        <v>2.1790000000000001E-13</v>
      </c>
      <c r="G37" s="1">
        <v>2.4795000000000001E-17</v>
      </c>
      <c r="H37" s="1">
        <v>6.0240000000000003E-11</v>
      </c>
      <c r="I37" s="1">
        <v>5.4308E-11</v>
      </c>
      <c r="J37" s="1">
        <v>2.4411000000000002E-12</v>
      </c>
      <c r="K37" s="1"/>
      <c r="L37" s="1"/>
      <c r="N37" s="7"/>
      <c r="P37" s="6"/>
      <c r="Q37" s="6"/>
      <c r="R37" s="6"/>
      <c r="S37" s="10"/>
      <c r="T37" s="6"/>
      <c r="U37" s="6"/>
      <c r="V37" s="6"/>
      <c r="X37" s="81"/>
      <c r="Y37" s="103" t="s">
        <v>152</v>
      </c>
      <c r="Z37" s="85"/>
      <c r="AA37" s="91">
        <v>-8.8682074816499394</v>
      </c>
      <c r="AB37" s="5"/>
      <c r="AC37" s="1"/>
      <c r="AD37" s="5"/>
      <c r="AE37" s="5"/>
      <c r="AF37" s="37"/>
      <c r="AG37" s="37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3456.8</v>
      </c>
      <c r="C38" s="8">
        <v>8.5969299999999998E-12</v>
      </c>
      <c r="D38" s="1">
        <v>7.7773200000000002E-12</v>
      </c>
      <c r="E38" s="1">
        <v>8.1960999999999998E-13</v>
      </c>
      <c r="F38" s="1">
        <v>1.8107E-13</v>
      </c>
      <c r="G38" s="1">
        <v>2.0556999999999999E-17</v>
      </c>
      <c r="H38" s="1">
        <v>6.1142999999999995E-11</v>
      </c>
      <c r="I38" s="1">
        <v>5.5124999999999997E-11</v>
      </c>
      <c r="J38" s="1">
        <v>2.4772E-12</v>
      </c>
      <c r="K38" s="1"/>
      <c r="L38" s="1"/>
      <c r="N38" s="7"/>
      <c r="P38" s="6"/>
      <c r="Q38" s="6"/>
      <c r="R38" s="6"/>
      <c r="S38" s="10"/>
      <c r="T38" s="6"/>
      <c r="U38" s="6"/>
      <c r="V38" s="6"/>
      <c r="X38" s="81"/>
      <c r="Y38" s="103" t="s">
        <v>153</v>
      </c>
      <c r="Z38" s="85"/>
      <c r="AA38" s="91">
        <v>2.4074474488141799</v>
      </c>
      <c r="AB38" s="5"/>
      <c r="AC38" s="1"/>
      <c r="AD38" s="5"/>
      <c r="AE38" s="5"/>
      <c r="AF38" s="37"/>
      <c r="AG38" s="37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3692.8</v>
      </c>
      <c r="C39" s="8">
        <v>7.1434700000000005E-12</v>
      </c>
      <c r="D39" s="1">
        <v>6.4624200000000006E-12</v>
      </c>
      <c r="E39" s="1">
        <v>6.8105000000000001E-13</v>
      </c>
      <c r="F39" s="1">
        <v>1.5045000000000001E-13</v>
      </c>
      <c r="G39" s="1">
        <v>1.7107E-17</v>
      </c>
      <c r="H39" s="1">
        <v>6.1893000000000005E-11</v>
      </c>
      <c r="I39" s="1">
        <v>5.5803999999999999E-11</v>
      </c>
      <c r="J39" s="1">
        <v>2.5072000000000001E-12</v>
      </c>
      <c r="K39" s="1"/>
      <c r="L39" s="1"/>
      <c r="N39" s="7"/>
      <c r="P39" s="6"/>
      <c r="Q39" s="6"/>
      <c r="R39" s="6"/>
      <c r="S39" s="57"/>
      <c r="T39" s="6"/>
      <c r="U39" s="6"/>
      <c r="V39" s="6"/>
      <c r="X39" s="81"/>
      <c r="Y39" s="103" t="s">
        <v>154</v>
      </c>
      <c r="Z39" s="85"/>
      <c r="AA39" s="91">
        <v>-3.4938883358753198E-2</v>
      </c>
      <c r="AB39" s="5"/>
      <c r="AC39" s="1"/>
      <c r="AD39" s="5"/>
      <c r="AE39" s="5"/>
      <c r="AF39" s="36"/>
      <c r="AG39" s="37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x14ac:dyDescent="0.3">
      <c r="B40" s="7">
        <v>3928.7</v>
      </c>
      <c r="C40" s="8">
        <v>5.9358400000000003E-12</v>
      </c>
      <c r="D40" s="1">
        <v>5.3699300000000007E-12</v>
      </c>
      <c r="E40" s="1">
        <v>5.6590999999999996E-13</v>
      </c>
      <c r="F40" s="1">
        <v>1.2502000000000001E-13</v>
      </c>
      <c r="G40" s="1">
        <v>1.4226000000000001E-17</v>
      </c>
      <c r="H40" s="1">
        <v>6.2515999999999999E-11</v>
      </c>
      <c r="I40" s="1">
        <v>5.6367999999999997E-11</v>
      </c>
      <c r="J40" s="1">
        <v>2.5322000000000001E-12</v>
      </c>
      <c r="K40" s="1"/>
      <c r="L40" s="1"/>
      <c r="N40" s="7"/>
      <c r="P40" s="6"/>
      <c r="Q40" s="6"/>
      <c r="R40" s="6"/>
      <c r="S40" s="57"/>
      <c r="T40" s="6"/>
      <c r="U40" s="6"/>
      <c r="V40" s="6"/>
      <c r="X40" s="81"/>
      <c r="Y40" s="101"/>
      <c r="Z40" s="83"/>
      <c r="AA40" s="89"/>
      <c r="AB40" s="5"/>
      <c r="AC40" s="1"/>
      <c r="AD40" s="5"/>
      <c r="AE40" s="5"/>
      <c r="AF40" s="36"/>
      <c r="AG40" s="37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4164.6000000000004</v>
      </c>
      <c r="C41" s="8">
        <v>4.9323599999999998E-12</v>
      </c>
      <c r="D41" s="1">
        <v>4.46212E-12</v>
      </c>
      <c r="E41" s="1">
        <v>4.7024000000000002E-13</v>
      </c>
      <c r="F41" s="1">
        <v>1.0388E-13</v>
      </c>
      <c r="G41" s="1">
        <v>1.1781999999999999E-17</v>
      </c>
      <c r="H41" s="1">
        <v>6.3033999999999997E-11</v>
      </c>
      <c r="I41" s="1">
        <v>5.6837000000000001E-11</v>
      </c>
      <c r="J41" s="1">
        <v>2.5529000000000002E-12</v>
      </c>
      <c r="K41" s="1"/>
      <c r="L41" s="1"/>
      <c r="N41" s="7"/>
      <c r="P41" s="6"/>
      <c r="Q41" s="6"/>
      <c r="R41" s="6"/>
      <c r="S41" s="57"/>
      <c r="T41" s="6"/>
      <c r="U41" s="6"/>
      <c r="V41" s="6"/>
      <c r="X41" s="77" t="s">
        <v>142</v>
      </c>
      <c r="Y41" s="102" t="s">
        <v>136</v>
      </c>
      <c r="Z41" s="83"/>
      <c r="AA41" s="90">
        <v>9.5120544225796994E-3</v>
      </c>
      <c r="AB41" s="5"/>
      <c r="AC41" s="1"/>
      <c r="AD41" s="5"/>
      <c r="AE41" s="5"/>
      <c r="AF41" s="36"/>
      <c r="AG41" s="37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4320</v>
      </c>
      <c r="C42" s="8">
        <v>4.3640500000000002E-12</v>
      </c>
      <c r="D42" s="1">
        <v>3.9479900000000004E-12</v>
      </c>
      <c r="E42" s="1">
        <v>4.1606E-13</v>
      </c>
      <c r="F42" s="1">
        <v>9.1915000000000005E-14</v>
      </c>
      <c r="G42" s="1">
        <v>1.0411E-17</v>
      </c>
      <c r="H42" s="1">
        <v>6.3324999999999998E-11</v>
      </c>
      <c r="I42" s="1">
        <v>5.7100999999999998E-11</v>
      </c>
      <c r="J42" s="1">
        <v>2.5646000000000002E-12</v>
      </c>
      <c r="K42" s="1"/>
      <c r="L42" s="1"/>
      <c r="N42" s="7"/>
      <c r="P42" s="6"/>
      <c r="Q42" s="6"/>
      <c r="R42" s="6"/>
      <c r="S42" s="57"/>
      <c r="T42" s="6"/>
      <c r="U42" s="6"/>
      <c r="V42" s="6"/>
      <c r="X42" s="81"/>
      <c r="Y42" s="102" t="s">
        <v>137</v>
      </c>
      <c r="Z42" s="83"/>
      <c r="AA42" s="90">
        <v>25.648710151111501</v>
      </c>
      <c r="AB42" s="5"/>
      <c r="AC42" s="1"/>
      <c r="AD42" s="5"/>
      <c r="AE42" s="5"/>
      <c r="AF42" s="36"/>
      <c r="AG42" s="37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4277</v>
      </c>
      <c r="C43" s="8">
        <v>1.64767E-12</v>
      </c>
      <c r="D43" s="8">
        <v>1.5671199999999999E-12</v>
      </c>
      <c r="E43" s="8">
        <v>8.0549999999999995E-14</v>
      </c>
      <c r="F43" s="1">
        <v>3.8121000000000002E-14</v>
      </c>
      <c r="G43" s="1">
        <v>6.2706000000000004E-18</v>
      </c>
      <c r="H43" s="1">
        <v>5.4662E-11</v>
      </c>
      <c r="I43" s="1">
        <v>7.4643E-11</v>
      </c>
      <c r="J43">
        <v>0</v>
      </c>
      <c r="K43" s="1"/>
      <c r="L43" s="1"/>
      <c r="N43" s="7"/>
      <c r="P43" s="6"/>
      <c r="Q43" s="6"/>
      <c r="R43" s="6"/>
      <c r="S43" s="57"/>
      <c r="T43" s="6"/>
      <c r="U43" s="6"/>
      <c r="V43" s="6"/>
      <c r="X43" s="81"/>
      <c r="Y43" s="102" t="s">
        <v>138</v>
      </c>
      <c r="Z43" s="83"/>
      <c r="AA43" s="90">
        <v>1.0262506142907299</v>
      </c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4320</v>
      </c>
      <c r="C44" s="8">
        <v>1.5765109999999999E-12</v>
      </c>
      <c r="D44" s="8">
        <v>1.4994399999999999E-12</v>
      </c>
      <c r="E44" s="8">
        <v>7.7071000000000003E-14</v>
      </c>
      <c r="F44" s="1">
        <v>3.6474999999999997E-14</v>
      </c>
      <c r="G44" s="1">
        <v>6.0001000000000001E-18</v>
      </c>
      <c r="H44" s="1">
        <v>5.4693000000000001E-11</v>
      </c>
      <c r="I44" s="1">
        <v>7.4684999999999999E-11</v>
      </c>
      <c r="J44">
        <v>0</v>
      </c>
      <c r="K44" s="1"/>
      <c r="L44" s="1"/>
      <c r="N44" s="7"/>
      <c r="P44" s="6"/>
      <c r="Q44" s="6"/>
      <c r="R44" s="6"/>
      <c r="S44" s="57"/>
      <c r="T44" s="6"/>
      <c r="U44" s="6"/>
      <c r="V44" s="6"/>
      <c r="X44" s="81"/>
      <c r="Y44" s="102" t="s">
        <v>139</v>
      </c>
      <c r="Z44" s="83"/>
      <c r="AA44" s="90">
        <v>3.4927690972493403E-2</v>
      </c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/>
      <c r="C45" s="8"/>
      <c r="D45" s="8"/>
      <c r="E45" s="8"/>
      <c r="F45" s="1"/>
      <c r="G45" s="1"/>
      <c r="H45" s="1"/>
      <c r="I45" s="1"/>
      <c r="J45" s="8"/>
      <c r="K45" s="1"/>
      <c r="L45" s="1"/>
      <c r="N45" s="7"/>
      <c r="P45" s="6"/>
      <c r="Q45" s="6"/>
      <c r="R45" s="6"/>
      <c r="S45" s="5"/>
      <c r="T45" s="6"/>
      <c r="U45" s="1"/>
      <c r="V45" s="1"/>
      <c r="X45" s="81"/>
      <c r="Y45" s="102" t="s">
        <v>140</v>
      </c>
      <c r="Z45" s="83"/>
      <c r="AA45" s="90">
        <v>1.57603534834231</v>
      </c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/>
      <c r="C46" s="8"/>
      <c r="D46" s="8"/>
      <c r="E46" s="8"/>
      <c r="F46" s="1"/>
      <c r="G46" s="1"/>
      <c r="H46" s="1"/>
      <c r="I46" s="1"/>
      <c r="J46" s="8"/>
      <c r="K46" s="1"/>
      <c r="L46" s="1"/>
      <c r="N46" s="7"/>
      <c r="P46" s="6"/>
      <c r="Q46" s="6"/>
      <c r="R46" s="6"/>
      <c r="S46" s="5"/>
      <c r="T46" s="6"/>
      <c r="U46" s="1"/>
      <c r="V46" s="1"/>
      <c r="X46" s="81"/>
      <c r="Y46" s="103" t="s">
        <v>151</v>
      </c>
      <c r="Z46" s="86"/>
      <c r="AA46" s="91">
        <v>0.91902588519456097</v>
      </c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/>
      <c r="C47" s="8"/>
      <c r="D47" s="8"/>
      <c r="E47" s="8"/>
      <c r="F47" s="1"/>
      <c r="G47" s="1"/>
      <c r="H47" s="1"/>
      <c r="I47" s="1"/>
      <c r="J47" s="8"/>
      <c r="K47" s="1"/>
      <c r="L47" s="1"/>
      <c r="N47" s="7"/>
      <c r="P47" s="6"/>
      <c r="Q47" s="6"/>
      <c r="R47" s="6"/>
      <c r="S47" s="5"/>
      <c r="T47" s="6"/>
      <c r="U47" s="1"/>
      <c r="V47" s="1"/>
      <c r="X47" s="81"/>
      <c r="Y47" s="103" t="s">
        <v>152</v>
      </c>
      <c r="Z47" s="86"/>
      <c r="AA47" s="91">
        <v>-3.4927690972493403E-2</v>
      </c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9.5" thickBot="1" x14ac:dyDescent="0.35">
      <c r="B48" s="7"/>
      <c r="C48" s="8"/>
      <c r="D48" s="8"/>
      <c r="E48" s="8"/>
      <c r="F48" s="1"/>
      <c r="G48" s="1"/>
      <c r="H48" s="1"/>
      <c r="I48" s="1"/>
      <c r="J48" s="8"/>
      <c r="K48" s="1"/>
      <c r="L48" s="1"/>
      <c r="N48" s="7"/>
      <c r="P48" s="6"/>
      <c r="Q48" s="6"/>
      <c r="R48" s="6"/>
      <c r="S48" s="5"/>
      <c r="T48" s="6"/>
      <c r="U48" s="1"/>
      <c r="V48" s="1"/>
      <c r="X48" s="81"/>
      <c r="Y48" s="103" t="s">
        <v>153</v>
      </c>
      <c r="Z48" s="86"/>
      <c r="AA48" s="91">
        <v>-1.0607422381510501</v>
      </c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A49" s="7"/>
      <c r="B49" s="8" t="s">
        <v>18</v>
      </c>
      <c r="C49" s="8" t="s">
        <v>18</v>
      </c>
      <c r="D49" s="8" t="s">
        <v>18</v>
      </c>
      <c r="E49" s="1" t="s">
        <v>74</v>
      </c>
      <c r="F49" s="40"/>
      <c r="G49" s="41" t="s">
        <v>75</v>
      </c>
      <c r="H49" s="41" t="s">
        <v>75</v>
      </c>
      <c r="I49" s="42" t="s">
        <v>75</v>
      </c>
      <c r="N49" s="7"/>
      <c r="P49" s="6"/>
      <c r="Q49" s="6"/>
      <c r="R49" s="6"/>
      <c r="S49" s="5"/>
      <c r="T49" s="6"/>
      <c r="U49" s="1"/>
      <c r="V49" s="1"/>
      <c r="X49" s="84"/>
      <c r="Y49" s="104" t="s">
        <v>154</v>
      </c>
      <c r="Z49" s="87"/>
      <c r="AA49" s="92">
        <v>-1.57603534834231</v>
      </c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3">
      <c r="A50" s="7"/>
      <c r="B50" s="8" t="s">
        <v>73</v>
      </c>
      <c r="C50" s="8" t="s">
        <v>71</v>
      </c>
      <c r="D50" s="8" t="s">
        <v>72</v>
      </c>
      <c r="E50" s="1" t="s">
        <v>71</v>
      </c>
      <c r="F50" s="43"/>
      <c r="G50" s="8" t="s">
        <v>73</v>
      </c>
      <c r="H50" s="8" t="s">
        <v>71</v>
      </c>
      <c r="I50" s="44" t="s">
        <v>72</v>
      </c>
      <c r="Q50" s="6"/>
      <c r="R50" s="6"/>
      <c r="S50" s="5"/>
      <c r="T50" s="6"/>
      <c r="U50" s="1"/>
      <c r="V50" s="1"/>
      <c r="X50" s="5"/>
      <c r="Y50" s="5"/>
      <c r="Z50" s="5"/>
      <c r="AA50" s="93"/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3">
      <c r="A51" s="7" t="s">
        <v>0</v>
      </c>
      <c r="B51" s="8" t="s">
        <v>90</v>
      </c>
      <c r="C51" s="8" t="s">
        <v>91</v>
      </c>
      <c r="D51" s="8" t="s">
        <v>91</v>
      </c>
      <c r="E51" s="1" t="s">
        <v>91</v>
      </c>
      <c r="F51" s="45" t="str">
        <f>A51</f>
        <v>Time (min)</v>
      </c>
      <c r="G51" s="8" t="str">
        <f>B51</f>
        <v>MW=150, sigma_ve=0.9, sigma_le=0.1, p_ve=1E-9, p_le=1E-8, D_gel=4.5E-11, kf_m=0.48, kr_m=4.2, k_decay=2.9E-7, cA+cMA (mol)</v>
      </c>
      <c r="H51" s="8" t="str">
        <f>C51</f>
        <v>MW=150, sigma_ve=0.9, sigma_le=0.1, p_ve=1E-9, p_le=1E-8, D_gel=4.5E-11, kf_m=0.48, kr_m=4.2, k_decay=2.9E-7, Concentration (mol)</v>
      </c>
      <c r="I51" s="44" t="str">
        <f>D51</f>
        <v>MW=150, sigma_ve=0.9, sigma_le=0.1, p_ve=1E-9, p_le=1E-8, D_gel=4.5E-11, kf_m=0.48, kr_m=4.2, k_decay=2.9E-7, Concentration (mol)</v>
      </c>
      <c r="Q51" s="6"/>
      <c r="R51" s="6"/>
      <c r="S51" s="5"/>
      <c r="T51" s="6"/>
      <c r="U51" s="1"/>
      <c r="V51" s="1"/>
      <c r="X51" s="5"/>
      <c r="Y51" s="67" t="s">
        <v>148</v>
      </c>
      <c r="Z51" s="95">
        <v>8973.7743828574494</v>
      </c>
      <c r="AA51" s="93"/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7">
        <v>0</v>
      </c>
      <c r="B52" s="8">
        <v>1.2102999999999999E-10</v>
      </c>
      <c r="C52" s="8">
        <v>1.2102000000000001E-10</v>
      </c>
      <c r="D52" s="8">
        <v>6.5851999999999998E-15</v>
      </c>
      <c r="E52" s="1">
        <v>6.0721999999999999E-12</v>
      </c>
      <c r="F52" s="45">
        <f t="shared" ref="F52:F94" si="7">A52</f>
        <v>0</v>
      </c>
      <c r="G52" s="8">
        <f>H52+I52</f>
        <v>1.2709878519999999E-10</v>
      </c>
      <c r="H52" s="1">
        <f t="shared" ref="H52:H94" si="8">C52+E52</f>
        <v>1.270922E-10</v>
      </c>
      <c r="I52" s="46">
        <f t="shared" ref="I52:I94" si="9">D52</f>
        <v>6.5851999999999998E-15</v>
      </c>
      <c r="Q52" s="6"/>
      <c r="R52" s="6"/>
      <c r="S52" s="5"/>
      <c r="T52" s="6"/>
      <c r="U52" s="1"/>
      <c r="V52" s="1"/>
      <c r="X52" s="5"/>
      <c r="Y52" s="67" t="s">
        <v>149</v>
      </c>
      <c r="Z52" s="95">
        <v>8682.9419295151401</v>
      </c>
      <c r="AA52" s="93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8.75" x14ac:dyDescent="0.3">
      <c r="A53" s="7">
        <v>2.468</v>
      </c>
      <c r="B53" s="8">
        <v>1.1998000000000001E-10</v>
      </c>
      <c r="C53" s="8">
        <v>1.0768E-10</v>
      </c>
      <c r="D53" s="8">
        <v>1.2306E-11</v>
      </c>
      <c r="E53" s="1">
        <v>6.1439999999999997E-12</v>
      </c>
      <c r="F53" s="45">
        <f t="shared" si="7"/>
        <v>2.468</v>
      </c>
      <c r="G53" s="8">
        <f t="shared" ref="G53:G94" si="10">H53+I53</f>
        <v>1.2613000000000001E-10</v>
      </c>
      <c r="H53" s="1">
        <f t="shared" si="8"/>
        <v>1.13824E-10</v>
      </c>
      <c r="I53" s="46">
        <f t="shared" si="9"/>
        <v>1.2306E-11</v>
      </c>
      <c r="Q53" s="6"/>
      <c r="R53" s="6"/>
      <c r="S53" s="5"/>
      <c r="T53" s="6"/>
      <c r="U53" s="1"/>
      <c r="V53" s="1"/>
      <c r="X53" s="5"/>
      <c r="Y53" s="66" t="s">
        <v>150</v>
      </c>
      <c r="Z53" s="96">
        <f>Z52/Z51*100</f>
        <v>96.759084406023348</v>
      </c>
      <c r="AA53" s="93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7">
        <v>4.516</v>
      </c>
      <c r="B54" s="8">
        <v>1.1967000000000001E-10</v>
      </c>
      <c r="C54" s="8">
        <v>1.0739E-10</v>
      </c>
      <c r="D54" s="8">
        <v>1.2274E-11</v>
      </c>
      <c r="E54" s="1">
        <v>6.1721999999999999E-12</v>
      </c>
      <c r="F54" s="45">
        <f t="shared" si="7"/>
        <v>4.516</v>
      </c>
      <c r="G54" s="8">
        <f t="shared" si="10"/>
        <v>1.2583620000000001E-10</v>
      </c>
      <c r="H54" s="1">
        <f t="shared" si="8"/>
        <v>1.135622E-10</v>
      </c>
      <c r="I54" s="46">
        <f t="shared" si="9"/>
        <v>1.2274E-11</v>
      </c>
      <c r="Q54" s="6"/>
      <c r="R54" s="6"/>
      <c r="S54" s="5"/>
      <c r="T54" s="6"/>
      <c r="U54" s="1"/>
      <c r="V54" s="1"/>
      <c r="X54" s="5"/>
      <c r="Y54" s="5"/>
      <c r="Z54" s="5"/>
      <c r="AA54" s="93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7">
        <v>7.5880000000000001</v>
      </c>
      <c r="B55" s="8">
        <v>1.1918E-10</v>
      </c>
      <c r="C55" s="8">
        <v>1.0695E-10</v>
      </c>
      <c r="D55" s="8">
        <v>1.2223000000000001E-11</v>
      </c>
      <c r="E55" s="1">
        <v>6.3305999999999997E-12</v>
      </c>
      <c r="F55" s="45">
        <f t="shared" si="7"/>
        <v>7.5880000000000001</v>
      </c>
      <c r="G55" s="8">
        <f t="shared" si="10"/>
        <v>1.2550360000000002E-10</v>
      </c>
      <c r="H55" s="1">
        <f t="shared" si="8"/>
        <v>1.1328060000000001E-10</v>
      </c>
      <c r="I55" s="46">
        <f t="shared" si="9"/>
        <v>1.2223000000000001E-11</v>
      </c>
      <c r="Q55" s="6"/>
      <c r="R55" s="6"/>
      <c r="S55" s="5"/>
      <c r="T55" s="6"/>
      <c r="U55" s="1"/>
      <c r="V55" s="1"/>
      <c r="X55" s="5"/>
      <c r="Y55" s="5"/>
      <c r="Z55" s="5"/>
      <c r="AA55" s="93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7">
        <v>9.6359999999999992</v>
      </c>
      <c r="B56" s="8">
        <v>1.1885000000000001E-10</v>
      </c>
      <c r="C56" s="8">
        <v>1.0666E-10</v>
      </c>
      <c r="D56" s="8">
        <v>1.219E-11</v>
      </c>
      <c r="E56" s="1">
        <v>6.4693999999999999E-12</v>
      </c>
      <c r="F56" s="45">
        <f t="shared" si="7"/>
        <v>9.6359999999999992</v>
      </c>
      <c r="G56" s="8">
        <f t="shared" si="10"/>
        <v>1.253194E-10</v>
      </c>
      <c r="H56" s="1">
        <f t="shared" si="8"/>
        <v>1.1312939999999999E-10</v>
      </c>
      <c r="I56" s="46">
        <f t="shared" si="9"/>
        <v>1.219E-11</v>
      </c>
      <c r="Q56" s="6"/>
      <c r="R56" s="6"/>
      <c r="S56" s="5"/>
      <c r="T56" s="6"/>
      <c r="U56" s="1"/>
      <c r="V56" s="1"/>
      <c r="X56" s="5"/>
      <c r="Y56" s="5"/>
      <c r="Z56" s="5"/>
      <c r="AA56" s="93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7">
        <v>13.731999999999999</v>
      </c>
      <c r="B57" s="8">
        <v>1.1822999999999999E-10</v>
      </c>
      <c r="C57" s="8">
        <v>1.061E-10</v>
      </c>
      <c r="D57" s="8">
        <v>1.2126000000000001E-11</v>
      </c>
      <c r="E57" s="1">
        <v>6.7526000000000001E-12</v>
      </c>
      <c r="F57" s="45">
        <f t="shared" si="7"/>
        <v>13.731999999999999</v>
      </c>
      <c r="G57" s="8">
        <f t="shared" si="10"/>
        <v>1.2497860000000001E-10</v>
      </c>
      <c r="H57" s="1">
        <f t="shared" si="8"/>
        <v>1.128526E-10</v>
      </c>
      <c r="I57" s="46">
        <f t="shared" si="9"/>
        <v>1.2126000000000001E-11</v>
      </c>
      <c r="Q57" s="6"/>
      <c r="R57" s="6"/>
      <c r="S57" s="5"/>
      <c r="T57" s="6"/>
      <c r="U57" s="1"/>
      <c r="V57" s="1"/>
      <c r="X57" s="5"/>
      <c r="Y57" s="5"/>
      <c r="Z57" s="5"/>
      <c r="AA57" s="93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7">
        <v>17.417999999999999</v>
      </c>
      <c r="B58" s="8">
        <v>1.1771E-10</v>
      </c>
      <c r="C58" s="8">
        <v>1.0564E-10</v>
      </c>
      <c r="D58" s="8">
        <v>1.2073E-11</v>
      </c>
      <c r="E58" s="1">
        <v>6.9907999999999997E-12</v>
      </c>
      <c r="F58" s="45">
        <f t="shared" si="7"/>
        <v>17.417999999999999</v>
      </c>
      <c r="G58" s="8">
        <f t="shared" si="10"/>
        <v>1.2470379999999999E-10</v>
      </c>
      <c r="H58" s="1">
        <f t="shared" si="8"/>
        <v>1.126308E-10</v>
      </c>
      <c r="I58" s="46">
        <f t="shared" si="9"/>
        <v>1.2073E-11</v>
      </c>
      <c r="Q58" s="6"/>
      <c r="R58" s="6"/>
      <c r="S58" s="5"/>
      <c r="T58" s="6"/>
      <c r="U58" s="1"/>
      <c r="V58" s="1"/>
      <c r="X58" s="5"/>
      <c r="Y58" s="5"/>
      <c r="Z58" s="5"/>
      <c r="AA58" s="93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7">
        <v>21.105</v>
      </c>
      <c r="B59" s="8">
        <v>1.1724E-10</v>
      </c>
      <c r="C59" s="8">
        <v>1.0521E-10</v>
      </c>
      <c r="D59" s="8">
        <v>1.2024E-11</v>
      </c>
      <c r="E59" s="1">
        <v>7.1985000000000001E-12</v>
      </c>
      <c r="F59" s="45">
        <f t="shared" si="7"/>
        <v>21.105</v>
      </c>
      <c r="G59" s="8">
        <f t="shared" si="10"/>
        <v>1.244325E-10</v>
      </c>
      <c r="H59" s="1">
        <f t="shared" si="8"/>
        <v>1.124085E-10</v>
      </c>
      <c r="I59" s="46">
        <f t="shared" si="9"/>
        <v>1.2024E-11</v>
      </c>
      <c r="Q59" s="6"/>
      <c r="R59" s="6"/>
      <c r="S59" s="5"/>
      <c r="T59" s="6"/>
      <c r="U59" s="1"/>
      <c r="V59" s="1"/>
      <c r="X59" s="5"/>
      <c r="Y59" s="5"/>
      <c r="Z59" s="5"/>
      <c r="AA59" s="93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>
        <v>24.791</v>
      </c>
      <c r="B60" s="8">
        <v>1.1678999999999999E-10</v>
      </c>
      <c r="C60" s="8">
        <v>1.0482000000000001E-10</v>
      </c>
      <c r="D60" s="8">
        <v>1.1979E-11</v>
      </c>
      <c r="E60" s="1">
        <v>7.3754999999999998E-12</v>
      </c>
      <c r="F60" s="45">
        <f t="shared" si="7"/>
        <v>24.791</v>
      </c>
      <c r="G60" s="8">
        <f t="shared" si="10"/>
        <v>1.2417450000000001E-10</v>
      </c>
      <c r="H60" s="1">
        <f t="shared" si="8"/>
        <v>1.1219550000000001E-10</v>
      </c>
      <c r="I60" s="46">
        <f t="shared" si="9"/>
        <v>1.1979E-11</v>
      </c>
      <c r="Q60" s="6"/>
      <c r="R60" s="6"/>
      <c r="S60" s="5"/>
      <c r="T60" s="6"/>
      <c r="U60" s="1"/>
      <c r="V60" s="1"/>
      <c r="X60" s="5"/>
      <c r="Y60" s="5"/>
      <c r="Z60" s="5"/>
      <c r="AA60" s="93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>
        <v>32.164000000000001</v>
      </c>
      <c r="B61" s="8">
        <v>1.1599E-10</v>
      </c>
      <c r="C61" s="8">
        <v>1.0409E-10</v>
      </c>
      <c r="D61" s="8">
        <v>1.1896E-11</v>
      </c>
      <c r="E61" s="1">
        <v>7.6580999999999994E-12</v>
      </c>
      <c r="F61" s="45">
        <f t="shared" si="7"/>
        <v>32.164000000000001</v>
      </c>
      <c r="G61" s="8">
        <f t="shared" si="10"/>
        <v>1.2364410000000001E-10</v>
      </c>
      <c r="H61" s="1">
        <f t="shared" si="8"/>
        <v>1.117481E-10</v>
      </c>
      <c r="I61" s="46">
        <f t="shared" si="9"/>
        <v>1.1896E-11</v>
      </c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>
        <v>39.536999999999999</v>
      </c>
      <c r="B62" s="8">
        <v>1.1527000000000001E-10</v>
      </c>
      <c r="C62" s="8">
        <v>1.0345E-10</v>
      </c>
      <c r="D62" s="8">
        <v>1.1822999999999999E-11</v>
      </c>
      <c r="E62" s="1">
        <v>7.8636999999999993E-12</v>
      </c>
      <c r="F62" s="45">
        <f t="shared" si="7"/>
        <v>39.536999999999999</v>
      </c>
      <c r="G62" s="8">
        <f t="shared" si="10"/>
        <v>1.2313670000000001E-10</v>
      </c>
      <c r="H62" s="1">
        <f t="shared" si="8"/>
        <v>1.113137E-10</v>
      </c>
      <c r="I62" s="46">
        <f t="shared" si="9"/>
        <v>1.1822999999999999E-11</v>
      </c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46.91</v>
      </c>
      <c r="B63" s="8">
        <v>1.1462E-10</v>
      </c>
      <c r="C63" s="8">
        <v>1.0285999999999999E-10</v>
      </c>
      <c r="D63" s="8">
        <v>1.1756E-11</v>
      </c>
      <c r="E63" s="1">
        <v>8.0114000000000004E-12</v>
      </c>
      <c r="F63" s="45">
        <f t="shared" si="7"/>
        <v>46.91</v>
      </c>
      <c r="G63" s="8">
        <f t="shared" si="10"/>
        <v>1.2262739999999999E-10</v>
      </c>
      <c r="H63" s="1">
        <f t="shared" si="8"/>
        <v>1.1087139999999999E-10</v>
      </c>
      <c r="I63" s="46">
        <f t="shared" si="9"/>
        <v>1.1756E-11</v>
      </c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54.281999999999996</v>
      </c>
      <c r="B64" s="8">
        <v>1.1401E-10</v>
      </c>
      <c r="C64" s="8">
        <v>1.0230999999999999E-10</v>
      </c>
      <c r="D64" s="8">
        <v>1.1693E-11</v>
      </c>
      <c r="E64" s="1">
        <v>8.1154000000000007E-12</v>
      </c>
      <c r="F64" s="45">
        <f t="shared" si="7"/>
        <v>54.281999999999996</v>
      </c>
      <c r="G64" s="8">
        <f t="shared" si="10"/>
        <v>1.2211839999999999E-10</v>
      </c>
      <c r="H64" s="1">
        <f t="shared" si="8"/>
        <v>1.1042539999999999E-10</v>
      </c>
      <c r="I64" s="46">
        <f t="shared" si="9"/>
        <v>1.1693E-11</v>
      </c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69.028000000000006</v>
      </c>
      <c r="B65" s="8">
        <v>1.1286999999999999E-10</v>
      </c>
      <c r="C65" s="8">
        <v>1.013E-10</v>
      </c>
      <c r="D65" s="8">
        <v>1.1577E-11</v>
      </c>
      <c r="E65" s="1">
        <v>8.2401E-12</v>
      </c>
      <c r="F65" s="45">
        <f t="shared" si="7"/>
        <v>69.028000000000006</v>
      </c>
      <c r="G65" s="8">
        <f t="shared" si="10"/>
        <v>1.211171E-10</v>
      </c>
      <c r="H65" s="1">
        <f t="shared" si="8"/>
        <v>1.095401E-10</v>
      </c>
      <c r="I65" s="46">
        <f t="shared" si="9"/>
        <v>1.1577E-11</v>
      </c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83.774000000000001</v>
      </c>
      <c r="B66" s="8">
        <v>1.1183E-10</v>
      </c>
      <c r="C66" s="8">
        <v>1.0036E-10</v>
      </c>
      <c r="D66" s="8">
        <v>1.1469E-11</v>
      </c>
      <c r="E66" s="1">
        <v>8.2833999999999992E-12</v>
      </c>
      <c r="F66" s="45">
        <f t="shared" si="7"/>
        <v>83.774000000000001</v>
      </c>
      <c r="G66" s="8">
        <f t="shared" si="10"/>
        <v>1.201124E-10</v>
      </c>
      <c r="H66" s="1">
        <f t="shared" si="8"/>
        <v>1.086434E-10</v>
      </c>
      <c r="I66" s="46">
        <f t="shared" si="9"/>
        <v>1.1469E-11</v>
      </c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98.519000000000005</v>
      </c>
      <c r="B67" s="8">
        <v>1.1082999999999999E-10</v>
      </c>
      <c r="C67" s="8">
        <v>9.9462999999999998E-11</v>
      </c>
      <c r="D67" s="8">
        <v>1.1367E-11</v>
      </c>
      <c r="E67" s="1">
        <v>8.2777999999999993E-12</v>
      </c>
      <c r="F67" s="45">
        <f t="shared" si="7"/>
        <v>98.519000000000005</v>
      </c>
      <c r="G67" s="8">
        <f t="shared" si="10"/>
        <v>1.1910780000000001E-10</v>
      </c>
      <c r="H67" s="1">
        <f t="shared" si="8"/>
        <v>1.077408E-10</v>
      </c>
      <c r="I67" s="46">
        <f t="shared" si="9"/>
        <v>1.1367E-11</v>
      </c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113.26</v>
      </c>
      <c r="B68" s="8">
        <v>1.0987E-10</v>
      </c>
      <c r="C68" s="8">
        <v>9.8597000000000001E-11</v>
      </c>
      <c r="D68" s="8">
        <v>1.1267999999999999E-11</v>
      </c>
      <c r="E68" s="1">
        <v>8.2441000000000004E-12</v>
      </c>
      <c r="F68" s="45">
        <f t="shared" si="7"/>
        <v>113.26</v>
      </c>
      <c r="G68" s="8">
        <f t="shared" si="10"/>
        <v>1.1810909999999999E-10</v>
      </c>
      <c r="H68" s="1">
        <f t="shared" si="8"/>
        <v>1.068411E-10</v>
      </c>
      <c r="I68" s="46">
        <f t="shared" si="9"/>
        <v>1.1267999999999999E-11</v>
      </c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128.01</v>
      </c>
      <c r="B69" s="8">
        <v>1.0892E-10</v>
      </c>
      <c r="C69" s="8">
        <v>9.7749999999999998E-11</v>
      </c>
      <c r="D69" s="8">
        <v>1.1171000000000001E-11</v>
      </c>
      <c r="E69" s="1">
        <v>8.1947000000000002E-12</v>
      </c>
      <c r="F69" s="45">
        <f t="shared" si="7"/>
        <v>128.01</v>
      </c>
      <c r="G69" s="8">
        <f t="shared" si="10"/>
        <v>1.171157E-10</v>
      </c>
      <c r="H69" s="1">
        <f t="shared" si="8"/>
        <v>1.059447E-10</v>
      </c>
      <c r="I69" s="46">
        <f t="shared" si="9"/>
        <v>1.1171000000000001E-11</v>
      </c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142.76</v>
      </c>
      <c r="B70" s="8">
        <v>1.0798999999999999E-10</v>
      </c>
      <c r="C70" s="8">
        <v>9.6914999999999996E-11</v>
      </c>
      <c r="D70" s="8">
        <v>1.1076E-11</v>
      </c>
      <c r="E70" s="1">
        <v>8.1367999999999998E-12</v>
      </c>
      <c r="F70" s="45">
        <f t="shared" si="7"/>
        <v>142.76</v>
      </c>
      <c r="G70" s="8">
        <f t="shared" si="10"/>
        <v>1.1612779999999999E-10</v>
      </c>
      <c r="H70" s="1">
        <f t="shared" si="8"/>
        <v>1.0505179999999999E-10</v>
      </c>
      <c r="I70" s="46">
        <f t="shared" si="9"/>
        <v>1.1076E-11</v>
      </c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172.25</v>
      </c>
      <c r="B71" s="8">
        <v>1.0616E-10</v>
      </c>
      <c r="C71" s="8">
        <v>9.5274000000000006E-11</v>
      </c>
      <c r="D71" s="8">
        <v>1.0888E-11</v>
      </c>
      <c r="E71" s="1">
        <v>8.0115999999999995E-12</v>
      </c>
      <c r="F71" s="45">
        <f t="shared" si="7"/>
        <v>172.25</v>
      </c>
      <c r="G71" s="8">
        <f t="shared" si="10"/>
        <v>1.141736E-10</v>
      </c>
      <c r="H71" s="1">
        <f t="shared" si="8"/>
        <v>1.0328560000000001E-10</v>
      </c>
      <c r="I71" s="46">
        <f t="shared" si="9"/>
        <v>1.0888E-11</v>
      </c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201.74</v>
      </c>
      <c r="B72" s="8">
        <v>1.0437E-10</v>
      </c>
      <c r="C72" s="8">
        <v>9.3664999999999994E-11</v>
      </c>
      <c r="D72" s="8">
        <v>1.0705E-11</v>
      </c>
      <c r="E72" s="1">
        <v>7.8801000000000007E-12</v>
      </c>
      <c r="F72" s="45">
        <f t="shared" si="7"/>
        <v>201.74</v>
      </c>
      <c r="G72" s="8">
        <f t="shared" si="10"/>
        <v>1.1225009999999999E-10</v>
      </c>
      <c r="H72" s="1">
        <f t="shared" si="8"/>
        <v>1.0154509999999999E-10</v>
      </c>
      <c r="I72" s="46">
        <f t="shared" si="9"/>
        <v>1.0705E-11</v>
      </c>
      <c r="Q72" s="6"/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260.72000000000003</v>
      </c>
      <c r="B73" s="8">
        <v>1.0088E-10</v>
      </c>
      <c r="C73" s="8">
        <v>9.0529000000000001E-11</v>
      </c>
      <c r="D73" s="8">
        <v>1.0346E-11</v>
      </c>
      <c r="E73" s="1">
        <v>7.6182E-12</v>
      </c>
      <c r="F73" s="45">
        <f t="shared" si="7"/>
        <v>260.72000000000003</v>
      </c>
      <c r="G73" s="8">
        <f t="shared" si="10"/>
        <v>1.084932E-10</v>
      </c>
      <c r="H73" s="1">
        <f t="shared" si="8"/>
        <v>9.8147200000000004E-11</v>
      </c>
      <c r="I73" s="46">
        <f t="shared" si="9"/>
        <v>1.0346E-11</v>
      </c>
      <c r="Q73" s="6"/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378.69</v>
      </c>
      <c r="B74" s="8">
        <v>9.4442999999999999E-11</v>
      </c>
      <c r="C74" s="8">
        <v>8.4757E-11</v>
      </c>
      <c r="D74" s="8">
        <v>9.6865E-12</v>
      </c>
      <c r="E74" s="1">
        <v>7.1306999999999999E-12</v>
      </c>
      <c r="F74" s="45">
        <f t="shared" si="7"/>
        <v>378.69</v>
      </c>
      <c r="G74" s="8">
        <f t="shared" si="10"/>
        <v>1.015742E-10</v>
      </c>
      <c r="H74" s="1">
        <f t="shared" si="8"/>
        <v>9.1887699999999996E-11</v>
      </c>
      <c r="I74" s="46">
        <f t="shared" si="9"/>
        <v>9.6865E-12</v>
      </c>
      <c r="Q74" s="6"/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496.65</v>
      </c>
      <c r="B75" s="8">
        <v>8.8420999999999999E-11</v>
      </c>
      <c r="C75" s="8">
        <v>7.9353000000000002E-11</v>
      </c>
      <c r="D75" s="8">
        <v>9.0689000000000007E-12</v>
      </c>
      <c r="E75" s="1">
        <v>6.6756000000000004E-12</v>
      </c>
      <c r="F75" s="45">
        <f t="shared" si="7"/>
        <v>496.65</v>
      </c>
      <c r="G75" s="8">
        <f t="shared" si="10"/>
        <v>9.5097500000000004E-11</v>
      </c>
      <c r="H75" s="1">
        <f t="shared" si="8"/>
        <v>8.6028600000000005E-11</v>
      </c>
      <c r="I75" s="46">
        <f t="shared" si="9"/>
        <v>9.0689000000000007E-12</v>
      </c>
      <c r="Q75" s="6"/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614.62</v>
      </c>
      <c r="B76" s="8">
        <v>8.2782999999999997E-11</v>
      </c>
      <c r="C76" s="8">
        <v>7.4292999999999996E-11</v>
      </c>
      <c r="D76" s="8">
        <v>8.4906000000000002E-12</v>
      </c>
      <c r="E76" s="1">
        <v>6.2498999999999999E-12</v>
      </c>
      <c r="F76" s="45">
        <f t="shared" si="7"/>
        <v>614.62</v>
      </c>
      <c r="G76" s="8">
        <f t="shared" si="10"/>
        <v>8.9033499999999993E-11</v>
      </c>
      <c r="H76" s="1">
        <f t="shared" si="8"/>
        <v>8.0542899999999994E-11</v>
      </c>
      <c r="I76" s="46">
        <f t="shared" si="9"/>
        <v>8.4906000000000002E-12</v>
      </c>
      <c r="Q76" s="6"/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850.54</v>
      </c>
      <c r="B77" s="8">
        <v>7.2335999999999997E-11</v>
      </c>
      <c r="C77" s="8">
        <v>6.4916999999999994E-11</v>
      </c>
      <c r="D77" s="8">
        <v>7.4190999999999994E-12</v>
      </c>
      <c r="E77" s="1">
        <v>5.4610999999999998E-12</v>
      </c>
      <c r="F77" s="45">
        <f t="shared" si="7"/>
        <v>850.54</v>
      </c>
      <c r="G77" s="8">
        <f t="shared" si="10"/>
        <v>7.7797199999999992E-11</v>
      </c>
      <c r="H77" s="1">
        <f t="shared" si="8"/>
        <v>7.0378099999999996E-11</v>
      </c>
      <c r="I77" s="46">
        <f t="shared" si="9"/>
        <v>7.4190999999999994E-12</v>
      </c>
      <c r="N77" s="7"/>
      <c r="O77" s="1"/>
      <c r="P77" s="6"/>
      <c r="Q77" s="6"/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1086.5</v>
      </c>
      <c r="B78" s="8">
        <v>6.3125000000000002E-11</v>
      </c>
      <c r="C78" s="8">
        <v>5.665E-11</v>
      </c>
      <c r="D78" s="8">
        <v>6.4743000000000004E-12</v>
      </c>
      <c r="E78" s="1">
        <v>4.7657000000000002E-12</v>
      </c>
      <c r="F78" s="45">
        <f t="shared" si="7"/>
        <v>1086.5</v>
      </c>
      <c r="G78" s="8">
        <f t="shared" si="10"/>
        <v>6.7890000000000011E-11</v>
      </c>
      <c r="H78" s="1">
        <f t="shared" si="8"/>
        <v>6.1415700000000005E-11</v>
      </c>
      <c r="I78" s="46">
        <f t="shared" si="9"/>
        <v>6.4743000000000004E-12</v>
      </c>
      <c r="N78" s="7"/>
      <c r="O78" s="1"/>
      <c r="P78" s="6"/>
      <c r="Q78" s="6"/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1518.5</v>
      </c>
      <c r="B79" s="8">
        <v>4.9044999999999997E-11</v>
      </c>
      <c r="C79" s="8">
        <v>4.4015000000000003E-11</v>
      </c>
      <c r="D79" s="8">
        <v>5.0302999999999997E-12</v>
      </c>
      <c r="E79" s="1">
        <v>3.7027000000000004E-12</v>
      </c>
      <c r="F79" s="45">
        <f t="shared" si="7"/>
        <v>1518.5</v>
      </c>
      <c r="G79" s="8">
        <f t="shared" si="10"/>
        <v>5.2748000000000001E-11</v>
      </c>
      <c r="H79" s="1">
        <f t="shared" si="8"/>
        <v>4.7717700000000001E-11</v>
      </c>
      <c r="I79" s="46">
        <f t="shared" si="9"/>
        <v>5.0302999999999997E-12</v>
      </c>
      <c r="N79" s="7"/>
      <c r="O79" s="1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1950.5</v>
      </c>
      <c r="B80" s="8">
        <v>3.8038000000000001E-11</v>
      </c>
      <c r="C80" s="8">
        <v>3.4136999999999998E-11</v>
      </c>
      <c r="D80" s="8">
        <v>3.9012999999999999E-12</v>
      </c>
      <c r="E80" s="1">
        <v>2.8717E-12</v>
      </c>
      <c r="F80" s="45">
        <f t="shared" si="7"/>
        <v>1950.5</v>
      </c>
      <c r="G80" s="8">
        <f t="shared" si="10"/>
        <v>4.0909999999999998E-11</v>
      </c>
      <c r="H80" s="1">
        <f t="shared" si="8"/>
        <v>3.7008699999999996E-11</v>
      </c>
      <c r="I80" s="46">
        <f t="shared" si="9"/>
        <v>3.9012999999999999E-12</v>
      </c>
      <c r="N80" s="7"/>
      <c r="O80" s="1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2382.5</v>
      </c>
      <c r="B81" s="8">
        <v>2.9478E-11</v>
      </c>
      <c r="C81" s="8">
        <v>2.6455000000000001E-11</v>
      </c>
      <c r="D81" s="8">
        <v>3.0233999999999998E-12</v>
      </c>
      <c r="E81" s="1">
        <v>2.2255000000000002E-12</v>
      </c>
      <c r="F81" s="45">
        <f t="shared" si="7"/>
        <v>2382.5</v>
      </c>
      <c r="G81" s="8">
        <f t="shared" si="10"/>
        <v>3.17039E-11</v>
      </c>
      <c r="H81" s="1">
        <f t="shared" si="8"/>
        <v>2.8680500000000002E-11</v>
      </c>
      <c r="I81" s="46">
        <f t="shared" si="9"/>
        <v>3.0233999999999998E-12</v>
      </c>
      <c r="N81" s="7"/>
      <c r="O81" s="1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2814.5</v>
      </c>
      <c r="B82" s="8">
        <v>2.2836999999999999E-11</v>
      </c>
      <c r="C82" s="8">
        <v>2.0494999999999999E-11</v>
      </c>
      <c r="D82" s="8">
        <v>2.3422999999999998E-12</v>
      </c>
      <c r="E82" s="1">
        <v>1.7241000000000001E-12</v>
      </c>
      <c r="F82" s="45">
        <f t="shared" si="7"/>
        <v>2814.5</v>
      </c>
      <c r="G82" s="8">
        <f t="shared" si="10"/>
        <v>2.4561399999999998E-11</v>
      </c>
      <c r="H82" s="1">
        <f t="shared" si="8"/>
        <v>2.2219099999999999E-11</v>
      </c>
      <c r="I82" s="46">
        <f t="shared" si="9"/>
        <v>2.3422999999999998E-12</v>
      </c>
      <c r="N82" s="7"/>
      <c r="O82" s="1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3203.3</v>
      </c>
      <c r="B83" s="8">
        <v>1.8162E-11</v>
      </c>
      <c r="C83" s="8">
        <v>1.6298999999999999E-11</v>
      </c>
      <c r="D83" s="8">
        <v>1.8627000000000001E-12</v>
      </c>
      <c r="E83" s="1">
        <v>1.3711000000000001E-12</v>
      </c>
      <c r="F83" s="45">
        <f t="shared" si="7"/>
        <v>3203.3</v>
      </c>
      <c r="G83" s="8">
        <f t="shared" si="10"/>
        <v>1.9532799999999997E-11</v>
      </c>
      <c r="H83" s="1">
        <f t="shared" si="8"/>
        <v>1.7670099999999998E-11</v>
      </c>
      <c r="I83" s="46">
        <f t="shared" si="9"/>
        <v>1.8627000000000001E-12</v>
      </c>
      <c r="N83" s="7"/>
      <c r="O83" s="1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3592.1</v>
      </c>
      <c r="B84" s="8">
        <v>1.4446E-11</v>
      </c>
      <c r="C84" s="8">
        <v>1.2964E-11</v>
      </c>
      <c r="D84" s="8">
        <v>1.4816000000000001E-12</v>
      </c>
      <c r="E84" s="1">
        <v>1.0906E-12</v>
      </c>
      <c r="F84" s="45">
        <f t="shared" si="7"/>
        <v>3592.1</v>
      </c>
      <c r="G84" s="8">
        <f t="shared" si="10"/>
        <v>1.5536199999999999E-11</v>
      </c>
      <c r="H84" s="1">
        <f t="shared" si="8"/>
        <v>1.40546E-11</v>
      </c>
      <c r="I84" s="46">
        <f t="shared" si="9"/>
        <v>1.4816000000000001E-12</v>
      </c>
      <c r="N84" s="7"/>
      <c r="O84" s="1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3980.9</v>
      </c>
      <c r="B85" s="8">
        <v>1.1490999999999999E-11</v>
      </c>
      <c r="C85" s="8">
        <v>1.0312999999999999E-11</v>
      </c>
      <c r="D85" s="8">
        <v>1.1786E-12</v>
      </c>
      <c r="E85" s="1">
        <v>8.6755999999999999E-13</v>
      </c>
      <c r="F85" s="45">
        <f t="shared" si="7"/>
        <v>3980.9</v>
      </c>
      <c r="G85" s="8">
        <f t="shared" si="10"/>
        <v>1.235916E-11</v>
      </c>
      <c r="H85" s="1">
        <f t="shared" si="8"/>
        <v>1.1180559999999999E-11</v>
      </c>
      <c r="I85" s="46">
        <f t="shared" si="9"/>
        <v>1.1786E-12</v>
      </c>
      <c r="N85" s="7"/>
      <c r="O85" s="1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4320</v>
      </c>
      <c r="B86" s="8">
        <v>9.4080000000000003E-12</v>
      </c>
      <c r="C86" s="8">
        <v>8.4430000000000003E-12</v>
      </c>
      <c r="D86" s="8">
        <v>9.6492000000000009E-13</v>
      </c>
      <c r="E86" s="1">
        <v>7.1026999999999996E-13</v>
      </c>
      <c r="F86" s="45">
        <f t="shared" si="7"/>
        <v>4320</v>
      </c>
      <c r="G86" s="8">
        <f t="shared" si="10"/>
        <v>1.011819E-11</v>
      </c>
      <c r="H86" s="1">
        <f t="shared" si="8"/>
        <v>9.1532699999999994E-12</v>
      </c>
      <c r="I86" s="46">
        <f t="shared" si="9"/>
        <v>9.6492000000000009E-13</v>
      </c>
      <c r="N86" s="7"/>
      <c r="O86" s="1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3220.9</v>
      </c>
      <c r="B87" s="8">
        <v>9.6169999999999999E-12</v>
      </c>
      <c r="C87" s="8">
        <v>8.6306000000000008E-12</v>
      </c>
      <c r="D87" s="8">
        <v>9.8636000000000005E-13</v>
      </c>
      <c r="E87" s="1">
        <v>7.2895999999999996E-13</v>
      </c>
      <c r="F87" s="45">
        <f t="shared" si="7"/>
        <v>3220.9</v>
      </c>
      <c r="G87" s="8">
        <f t="shared" si="10"/>
        <v>1.034592E-11</v>
      </c>
      <c r="H87" s="1">
        <f t="shared" si="8"/>
        <v>9.3595600000000002E-12</v>
      </c>
      <c r="I87" s="46">
        <f t="shared" si="9"/>
        <v>9.8636000000000005E-13</v>
      </c>
      <c r="N87" s="7"/>
      <c r="O87" s="1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3456.8</v>
      </c>
      <c r="B88" s="8">
        <v>7.9911999999999993E-12</v>
      </c>
      <c r="C88" s="8">
        <v>7.1715999999999999E-12</v>
      </c>
      <c r="D88" s="8">
        <v>8.1960999999999998E-13</v>
      </c>
      <c r="E88" s="1">
        <v>6.0571999999999997E-13</v>
      </c>
      <c r="F88" s="45">
        <f t="shared" si="7"/>
        <v>3456.8</v>
      </c>
      <c r="G88" s="8">
        <f t="shared" si="10"/>
        <v>8.5969299999999998E-12</v>
      </c>
      <c r="H88" s="1">
        <f t="shared" si="8"/>
        <v>7.7773200000000002E-12</v>
      </c>
      <c r="I88" s="46">
        <f t="shared" si="9"/>
        <v>8.1960999999999998E-13</v>
      </c>
      <c r="N88" s="7"/>
      <c r="O88" s="1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3692.8</v>
      </c>
      <c r="B89" s="8">
        <v>6.6401999999999999E-12</v>
      </c>
      <c r="C89" s="8">
        <v>5.9591000000000003E-12</v>
      </c>
      <c r="D89" s="8">
        <v>6.8105000000000001E-13</v>
      </c>
      <c r="E89" s="1">
        <v>5.0332000000000002E-13</v>
      </c>
      <c r="F89" s="45">
        <f t="shared" si="7"/>
        <v>3692.8</v>
      </c>
      <c r="G89" s="8">
        <f t="shared" si="10"/>
        <v>7.1434700000000005E-12</v>
      </c>
      <c r="H89" s="1">
        <f t="shared" si="8"/>
        <v>6.4624200000000006E-12</v>
      </c>
      <c r="I89" s="46">
        <f t="shared" si="9"/>
        <v>6.8105000000000001E-13</v>
      </c>
      <c r="N89" s="7"/>
      <c r="O89" s="1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3928.7</v>
      </c>
      <c r="B90" s="8">
        <v>5.5175999999999998E-12</v>
      </c>
      <c r="C90" s="8">
        <v>4.9517000000000004E-12</v>
      </c>
      <c r="D90" s="8">
        <v>5.6590999999999996E-13</v>
      </c>
      <c r="E90" s="1">
        <v>4.1822999999999998E-13</v>
      </c>
      <c r="F90" s="45">
        <f t="shared" si="7"/>
        <v>3928.7</v>
      </c>
      <c r="G90" s="8">
        <f t="shared" si="10"/>
        <v>5.9358400000000003E-12</v>
      </c>
      <c r="H90" s="1">
        <f t="shared" si="8"/>
        <v>5.3699300000000007E-12</v>
      </c>
      <c r="I90" s="46">
        <f t="shared" si="9"/>
        <v>5.6590999999999996E-13</v>
      </c>
      <c r="N90" s="7"/>
      <c r="O90" s="1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4164.6000000000004</v>
      </c>
      <c r="B91" s="8">
        <v>4.5847999999999996E-12</v>
      </c>
      <c r="C91" s="8">
        <v>4.1146000000000003E-12</v>
      </c>
      <c r="D91" s="8">
        <v>4.7024000000000002E-13</v>
      </c>
      <c r="E91" s="1">
        <v>3.4752000000000002E-13</v>
      </c>
      <c r="F91" s="45">
        <f t="shared" si="7"/>
        <v>4164.6000000000004</v>
      </c>
      <c r="G91" s="8">
        <f t="shared" si="10"/>
        <v>4.9323599999999998E-12</v>
      </c>
      <c r="H91" s="1">
        <f t="shared" si="8"/>
        <v>4.46212E-12</v>
      </c>
      <c r="I91" s="46">
        <f t="shared" si="9"/>
        <v>4.7024000000000002E-13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4320</v>
      </c>
      <c r="B92" s="8">
        <v>4.0566000000000003E-12</v>
      </c>
      <c r="C92" s="8">
        <v>3.6405000000000001E-12</v>
      </c>
      <c r="D92" s="8">
        <v>4.1606E-13</v>
      </c>
      <c r="E92" s="1">
        <v>3.0748999999999999E-13</v>
      </c>
      <c r="F92" s="45">
        <f t="shared" si="7"/>
        <v>4320</v>
      </c>
      <c r="G92" s="8">
        <f t="shared" si="10"/>
        <v>4.3640500000000002E-12</v>
      </c>
      <c r="H92" s="1">
        <f t="shared" si="8"/>
        <v>3.9479900000000004E-12</v>
      </c>
      <c r="I92" s="46">
        <f t="shared" si="9"/>
        <v>4.1606E-13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4277</v>
      </c>
      <c r="B93" s="8">
        <v>1.5279E-12</v>
      </c>
      <c r="C93" s="8">
        <v>1.4472999999999999E-12</v>
      </c>
      <c r="D93" s="8">
        <v>8.0549999999999995E-14</v>
      </c>
      <c r="E93" s="1">
        <v>1.1981999999999999E-13</v>
      </c>
      <c r="F93" s="45">
        <f t="shared" si="7"/>
        <v>4277</v>
      </c>
      <c r="G93" s="8">
        <f t="shared" si="10"/>
        <v>1.64767E-12</v>
      </c>
      <c r="H93" s="1">
        <f t="shared" si="8"/>
        <v>1.5671199999999999E-12</v>
      </c>
      <c r="I93" s="46">
        <f t="shared" si="9"/>
        <v>8.0549999999999995E-14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7.25" thickBot="1" x14ac:dyDescent="0.35">
      <c r="A94" s="7">
        <v>4320</v>
      </c>
      <c r="B94" s="8">
        <v>1.4619000000000001E-12</v>
      </c>
      <c r="C94" s="8">
        <v>1.3847999999999999E-12</v>
      </c>
      <c r="D94" s="8">
        <v>7.7071000000000003E-14</v>
      </c>
      <c r="E94" s="1">
        <v>1.1464E-13</v>
      </c>
      <c r="F94" s="47">
        <f t="shared" si="7"/>
        <v>4320</v>
      </c>
      <c r="G94" s="48">
        <f t="shared" si="10"/>
        <v>1.5765109999999999E-12</v>
      </c>
      <c r="H94" s="49">
        <f t="shared" si="8"/>
        <v>1.4994399999999999E-12</v>
      </c>
      <c r="I94" s="50">
        <f t="shared" si="9"/>
        <v>7.7071000000000003E-14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B95" s="7"/>
      <c r="C95" s="8"/>
      <c r="D95" s="8"/>
      <c r="E95" s="8"/>
      <c r="F95" s="1"/>
      <c r="G95" s="1"/>
      <c r="H95" s="1"/>
      <c r="I95" s="1"/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B96" s="7"/>
      <c r="C96" s="8"/>
      <c r="D96" s="8"/>
      <c r="E96" s="8"/>
      <c r="F96" s="1"/>
      <c r="G96" s="1"/>
      <c r="H96" s="1"/>
      <c r="I96" s="1"/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 x14ac:dyDescent="0.3">
      <c r="B97" s="7"/>
      <c r="C97" s="8"/>
      <c r="D97" s="8"/>
      <c r="E97" s="8"/>
      <c r="F97" s="1"/>
      <c r="G97" s="1"/>
      <c r="H97" s="1"/>
      <c r="I97" s="1"/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 x14ac:dyDescent="0.3">
      <c r="B98" s="7"/>
      <c r="C98" s="8"/>
      <c r="D98" s="8"/>
      <c r="E98" s="8"/>
      <c r="F98" s="1"/>
      <c r="G98" s="1"/>
      <c r="H98" s="1"/>
      <c r="I98" s="1"/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 x14ac:dyDescent="0.3">
      <c r="B99" s="7"/>
      <c r="C99" s="8"/>
      <c r="D99" s="8"/>
      <c r="E99" s="8"/>
      <c r="F99" s="1"/>
      <c r="G99" s="1"/>
      <c r="H99" s="1"/>
      <c r="I99" s="1"/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 x14ac:dyDescent="0.3">
      <c r="B100" s="7"/>
      <c r="C100" s="8"/>
      <c r="D100" s="8"/>
      <c r="E100" s="8"/>
      <c r="F100" s="1"/>
      <c r="G100" s="1"/>
      <c r="H100" s="1"/>
      <c r="I100" s="1"/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 x14ac:dyDescent="0.3">
      <c r="B101" s="7"/>
      <c r="C101" s="8"/>
      <c r="D101" s="8"/>
      <c r="E101" s="8"/>
      <c r="F101" s="1"/>
      <c r="G101" s="1"/>
      <c r="H101" s="1"/>
      <c r="I101" s="1"/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 x14ac:dyDescent="0.3">
      <c r="B102" s="7"/>
      <c r="C102" s="8"/>
      <c r="D102" s="8"/>
      <c r="E102" s="8"/>
      <c r="F102" s="1"/>
      <c r="G102" s="1"/>
      <c r="H102" s="1"/>
      <c r="I102" s="1"/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 x14ac:dyDescent="0.3">
      <c r="B103" s="7"/>
      <c r="C103" s="8"/>
      <c r="D103" s="8"/>
      <c r="E103" s="8"/>
      <c r="F103" s="1"/>
      <c r="G103" s="1"/>
      <c r="H103" s="1"/>
      <c r="I103" s="1"/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 x14ac:dyDescent="0.3">
      <c r="B104" s="7"/>
      <c r="C104" s="8"/>
      <c r="D104" s="8"/>
      <c r="E104" s="8"/>
      <c r="F104" s="1"/>
      <c r="G104" s="1"/>
      <c r="H104" s="1"/>
      <c r="I104" s="1"/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 x14ac:dyDescent="0.3">
      <c r="B105" s="7"/>
      <c r="C105" s="8"/>
      <c r="D105" s="8"/>
      <c r="E105" s="8"/>
      <c r="F105" s="1"/>
      <c r="G105" s="1"/>
      <c r="H105" s="1"/>
      <c r="I105" s="1"/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 x14ac:dyDescent="0.3">
      <c r="B106" s="7"/>
      <c r="C106" s="8"/>
      <c r="D106" s="8"/>
      <c r="E106" s="8"/>
      <c r="F106" s="1"/>
      <c r="G106" s="1"/>
      <c r="H106" s="1"/>
      <c r="I106" s="1"/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 x14ac:dyDescent="0.3">
      <c r="B107" s="7"/>
      <c r="C107" s="8"/>
      <c r="D107" s="8"/>
      <c r="E107" s="8"/>
      <c r="F107" s="1"/>
      <c r="G107" s="1"/>
      <c r="H107" s="1"/>
      <c r="I107" s="1"/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 x14ac:dyDescent="0.3">
      <c r="B108" s="7"/>
      <c r="C108" s="8"/>
      <c r="D108" s="8"/>
      <c r="E108" s="8"/>
      <c r="F108" s="1"/>
      <c r="G108" s="1"/>
      <c r="H108" s="1"/>
      <c r="I108" s="1"/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 x14ac:dyDescent="0.3">
      <c r="B109" s="7"/>
      <c r="C109" s="8"/>
      <c r="D109" s="8"/>
      <c r="E109" s="8"/>
      <c r="F109" s="1"/>
      <c r="G109" s="1"/>
      <c r="H109" s="1"/>
      <c r="I109" s="1"/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 x14ac:dyDescent="0.3">
      <c r="B110" s="7"/>
      <c r="C110" s="8"/>
      <c r="D110" s="8"/>
      <c r="E110" s="8"/>
      <c r="F110" s="1"/>
      <c r="G110" s="1"/>
      <c r="H110" s="1"/>
      <c r="I110" s="1"/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 x14ac:dyDescent="0.3">
      <c r="B111" s="7"/>
      <c r="C111" s="8"/>
      <c r="D111" s="8"/>
      <c r="E111" s="8"/>
      <c r="F111" s="1"/>
      <c r="G111" s="1"/>
      <c r="H111" s="1"/>
      <c r="I111" s="1"/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 x14ac:dyDescent="0.3">
      <c r="B112" s="7"/>
      <c r="C112" s="8"/>
      <c r="D112" s="8"/>
      <c r="E112" s="8"/>
      <c r="F112" s="1"/>
      <c r="G112" s="1"/>
      <c r="H112" s="1"/>
      <c r="I112" s="1"/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 x14ac:dyDescent="0.3">
      <c r="B113" s="7"/>
      <c r="C113" s="8"/>
      <c r="D113" s="8"/>
      <c r="E113" s="8"/>
      <c r="F113" s="1"/>
      <c r="G113" s="1"/>
      <c r="H113" s="1"/>
      <c r="I113" s="1"/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 x14ac:dyDescent="0.3">
      <c r="B114" s="7"/>
      <c r="C114" s="8"/>
      <c r="D114" s="8"/>
      <c r="E114" s="8"/>
      <c r="F114" s="1"/>
      <c r="G114" s="1"/>
      <c r="H114" s="1"/>
      <c r="I114" s="1"/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 x14ac:dyDescent="0.3">
      <c r="B115" s="7"/>
      <c r="C115" s="8"/>
      <c r="D115" s="8"/>
      <c r="E115" s="8"/>
      <c r="F115" s="1"/>
      <c r="G115" s="1"/>
      <c r="H115" s="1"/>
      <c r="I115" s="1"/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 x14ac:dyDescent="0.3">
      <c r="B116" s="7"/>
      <c r="C116" s="8"/>
      <c r="D116" s="8"/>
      <c r="E116" s="8"/>
      <c r="F116" s="1"/>
      <c r="G116" s="1"/>
      <c r="H116" s="1"/>
      <c r="I116" s="1"/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 x14ac:dyDescent="0.3">
      <c r="B117" s="7"/>
      <c r="C117" s="8"/>
      <c r="D117" s="8"/>
      <c r="E117" s="8"/>
      <c r="F117" s="1"/>
      <c r="G117" s="1"/>
      <c r="H117" s="1"/>
      <c r="I117" s="1"/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 x14ac:dyDescent="0.3">
      <c r="B118" s="7"/>
      <c r="C118" s="8"/>
      <c r="D118" s="8"/>
      <c r="E118" s="8"/>
      <c r="F118" s="1"/>
      <c r="G118" s="1"/>
      <c r="H118" s="1"/>
      <c r="I118" s="1"/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9AF9-35AF-4C5C-B79B-804B5CC25DD9}">
  <dimension ref="A1:BM602"/>
  <sheetViews>
    <sheetView topLeftCell="J2" zoomScale="70" zoomScaleNormal="70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19" max="19" width="9.125" bestFit="1" customWidth="1"/>
    <col min="20" max="20" width="11.125" bestFit="1" customWidth="1"/>
    <col min="21" max="21" width="11" bestFit="1" customWidth="1"/>
    <col min="22" max="22" width="13.5" bestFit="1" customWidth="1"/>
    <col min="29" max="29" width="17.87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1.2735937737092E-10</v>
      </c>
      <c r="B1" s="7" t="s">
        <v>0</v>
      </c>
      <c r="C1" s="8" t="s">
        <v>95</v>
      </c>
      <c r="D1" s="8" t="s">
        <v>96</v>
      </c>
      <c r="E1" s="8" t="s">
        <v>96</v>
      </c>
      <c r="F1" t="s">
        <v>96</v>
      </c>
      <c r="G1" t="s">
        <v>96</v>
      </c>
      <c r="H1" t="s">
        <v>97</v>
      </c>
      <c r="I1" t="s">
        <v>98</v>
      </c>
      <c r="J1" t="s">
        <v>99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1.2710218700000001E-10</v>
      </c>
      <c r="D2" s="1">
        <v>1.270823E-10</v>
      </c>
      <c r="E2" s="1">
        <v>1.9887000000000001E-14</v>
      </c>
      <c r="F2" s="1">
        <v>2.5718999999999999E-13</v>
      </c>
      <c r="G2" s="1">
        <v>3.7092E-19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58" si="0">(H2+F2)/$A$1*100</f>
        <v>0.20194037165474102</v>
      </c>
      <c r="R2" s="6">
        <f t="shared" ref="R2:R58" si="1">(G2+I2)/$A$1*100</f>
        <v>2.9123886097506335E-7</v>
      </c>
      <c r="S2" s="10">
        <f t="shared" ref="S2:S58" si="2">J2/$A$1*100</f>
        <v>0</v>
      </c>
      <c r="T2" s="6">
        <f t="shared" ref="T2:V17" si="3">C2/$A$1*100</f>
        <v>99.798059337106409</v>
      </c>
      <c r="U2" s="6">
        <f t="shared" si="3"/>
        <v>99.7824444680559</v>
      </c>
      <c r="V2" s="6">
        <f t="shared" si="3"/>
        <v>1.561486905049899E-2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2.2759999999999998</v>
      </c>
      <c r="C3" s="8">
        <v>1.253991E-10</v>
      </c>
      <c r="D3" s="1">
        <v>1.045571E-10</v>
      </c>
      <c r="E3" s="1">
        <v>2.0842E-11</v>
      </c>
      <c r="F3" s="1">
        <v>1.8244000000000002E-12</v>
      </c>
      <c r="G3" s="1">
        <v>3.4396000000000002E-16</v>
      </c>
      <c r="H3" s="1">
        <v>3.7635000000000002E-14</v>
      </c>
      <c r="I3" s="1">
        <v>5.9079000000000003E-14</v>
      </c>
      <c r="J3" s="1">
        <v>4.7501999999999998E-15</v>
      </c>
      <c r="K3" s="1"/>
      <c r="L3" s="1"/>
      <c r="N3" s="7"/>
      <c r="O3">
        <f t="shared" ref="O3:O58" si="4">B3/60</f>
        <v>3.7933333333333333E-2</v>
      </c>
      <c r="P3" s="6">
        <f t="shared" ref="P3:P58" si="5">(SUM(F3:J3)+C3)/$A$1*100</f>
        <v>99.973249546579694</v>
      </c>
      <c r="Q3" s="6">
        <f t="shared" si="0"/>
        <v>1.462032116078136</v>
      </c>
      <c r="R3" s="6">
        <f t="shared" si="1"/>
        <v>4.6657702971440611E-2</v>
      </c>
      <c r="S3" s="10">
        <f t="shared" si="2"/>
        <v>3.7297606961170762E-3</v>
      </c>
      <c r="T3" s="6">
        <f t="shared" si="3"/>
        <v>98.460829966834012</v>
      </c>
      <c r="U3" s="6">
        <f t="shared" si="3"/>
        <v>82.096114285710669</v>
      </c>
      <c r="V3" s="6">
        <f t="shared" si="3"/>
        <v>16.364715681123343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4.3239999999999998</v>
      </c>
      <c r="C4" s="8">
        <v>1.2486790000000001E-10</v>
      </c>
      <c r="D4" s="1">
        <v>1.042369E-10</v>
      </c>
      <c r="E4" s="1">
        <v>2.0631E-11</v>
      </c>
      <c r="F4" s="1">
        <v>2.1129E-12</v>
      </c>
      <c r="G4" s="1">
        <v>6.6439000000000003E-16</v>
      </c>
      <c r="H4" s="1">
        <v>1.1111000000000001E-13</v>
      </c>
      <c r="I4" s="1">
        <v>2.1530999999999999E-13</v>
      </c>
      <c r="J4" s="1">
        <v>8.9646999999999999E-15</v>
      </c>
      <c r="K4" s="1"/>
      <c r="L4" s="1"/>
      <c r="N4" s="7"/>
      <c r="O4">
        <f t="shared" si="4"/>
        <v>7.2066666666666668E-2</v>
      </c>
      <c r="P4" s="6">
        <f t="shared" si="5"/>
        <v>99.966607656383147</v>
      </c>
      <c r="Q4" s="6">
        <f t="shared" si="0"/>
        <v>1.7462475444763041</v>
      </c>
      <c r="R4" s="6">
        <f t="shared" si="1"/>
        <v>0.16957871062057617</v>
      </c>
      <c r="S4" s="10">
        <f t="shared" si="2"/>
        <v>7.0389006173383764E-3</v>
      </c>
      <c r="T4" s="6">
        <f t="shared" si="3"/>
        <v>98.043742500668912</v>
      </c>
      <c r="U4" s="6">
        <f t="shared" si="3"/>
        <v>81.844699740029071</v>
      </c>
      <c r="V4" s="6">
        <f t="shared" si="3"/>
        <v>16.199042760639848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7.3959999999999999</v>
      </c>
      <c r="C5" s="8">
        <v>1.2413340000000001E-10</v>
      </c>
      <c r="D5" s="1">
        <v>1.037214E-10</v>
      </c>
      <c r="E5" s="1">
        <v>2.0412000000000001E-11</v>
      </c>
      <c r="F5" s="1">
        <v>2.3411000000000002E-12</v>
      </c>
      <c r="G5" s="1">
        <v>9.6350999999999995E-16</v>
      </c>
      <c r="H5" s="1">
        <v>2.3760000000000002E-13</v>
      </c>
      <c r="I5" s="1">
        <v>5.9468000000000005E-13</v>
      </c>
      <c r="J5" s="1">
        <v>1.5221E-14</v>
      </c>
      <c r="K5" s="1"/>
      <c r="L5" s="1"/>
      <c r="N5" s="7"/>
      <c r="O5">
        <f t="shared" si="4"/>
        <v>0.12326666666666666</v>
      </c>
      <c r="P5" s="6">
        <f t="shared" si="5"/>
        <v>99.971409360133762</v>
      </c>
      <c r="Q5" s="6">
        <f t="shared" si="0"/>
        <v>2.0247429386293434</v>
      </c>
      <c r="R5" s="6">
        <f t="shared" si="1"/>
        <v>0.46768720316938633</v>
      </c>
      <c r="S5" s="10">
        <f t="shared" si="2"/>
        <v>1.1951220486631725E-2</v>
      </c>
      <c r="T5" s="6">
        <f t="shared" si="3"/>
        <v>97.467027997848419</v>
      </c>
      <c r="U5" s="6">
        <f t="shared" si="3"/>
        <v>81.439939595435504</v>
      </c>
      <c r="V5" s="6">
        <f t="shared" si="3"/>
        <v>16.027088402412904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9.2392000000000003</v>
      </c>
      <c r="C6" s="8">
        <v>1.237112E-10</v>
      </c>
      <c r="D6" s="1">
        <v>1.0339519999999999E-10</v>
      </c>
      <c r="E6" s="1">
        <v>2.0315999999999999E-11</v>
      </c>
      <c r="F6" s="1">
        <v>2.4078999999999999E-12</v>
      </c>
      <c r="G6" s="1">
        <v>1.0498E-15</v>
      </c>
      <c r="H6" s="1">
        <v>3.1924000000000001E-13</v>
      </c>
      <c r="I6" s="1">
        <v>8.7643000000000003E-13</v>
      </c>
      <c r="J6" s="1">
        <v>1.8946000000000001E-14</v>
      </c>
      <c r="K6" s="1"/>
      <c r="L6" s="1"/>
      <c r="N6" s="7"/>
      <c r="O6">
        <f t="shared" si="4"/>
        <v>0.15398666666666666</v>
      </c>
      <c r="P6" s="6">
        <f t="shared" si="5"/>
        <v>99.980675493687187</v>
      </c>
      <c r="Q6" s="6">
        <f t="shared" si="0"/>
        <v>2.1412950159590594</v>
      </c>
      <c r="R6" s="6">
        <f t="shared" si="1"/>
        <v>0.68897934185437937</v>
      </c>
      <c r="S6" s="10">
        <f t="shared" si="2"/>
        <v>1.4876014935925674E-2</v>
      </c>
      <c r="T6" s="6">
        <f t="shared" si="3"/>
        <v>97.135525120937828</v>
      </c>
      <c r="U6" s="6">
        <f t="shared" si="3"/>
        <v>81.183813971446327</v>
      </c>
      <c r="V6" s="6">
        <f t="shared" si="3"/>
        <v>15.951711149491498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0.1</v>
      </c>
      <c r="AH6" s="1">
        <v>0.5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11.082000000000001</v>
      </c>
      <c r="C7" s="8">
        <v>1.232983E-10</v>
      </c>
      <c r="D7" s="1">
        <v>1.030653E-10</v>
      </c>
      <c r="E7" s="1">
        <v>2.0233000000000001E-11</v>
      </c>
      <c r="F7" s="1">
        <v>2.4446999999999999E-12</v>
      </c>
      <c r="G7" s="1">
        <v>1.0912000000000001E-15</v>
      </c>
      <c r="H7" s="1">
        <v>4.0304999999999998E-13</v>
      </c>
      <c r="I7" s="1">
        <v>1.1762E-12</v>
      </c>
      <c r="J7" s="1">
        <v>2.2653999999999999E-14</v>
      </c>
      <c r="K7" s="1"/>
      <c r="L7" s="1"/>
      <c r="N7" s="7"/>
      <c r="O7">
        <f t="shared" si="4"/>
        <v>0.1847</v>
      </c>
      <c r="P7" s="6">
        <f t="shared" si="5"/>
        <v>99.989492590811722</v>
      </c>
      <c r="Q7" s="6">
        <f t="shared" si="0"/>
        <v>2.2359955417387485</v>
      </c>
      <c r="R7" s="6">
        <f t="shared" si="1"/>
        <v>0.9243851723389559</v>
      </c>
      <c r="S7" s="10">
        <f t="shared" si="2"/>
        <v>1.7787461330014787E-2</v>
      </c>
      <c r="T7" s="6">
        <f t="shared" si="3"/>
        <v>96.811324415404016</v>
      </c>
      <c r="U7" s="6">
        <f t="shared" si="3"/>
        <v>80.924783182500803</v>
      </c>
      <c r="V7" s="6">
        <f t="shared" si="3"/>
        <v>15.886541232903205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158</v>
      </c>
      <c r="AH7" s="1" t="s">
        <v>159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12.926</v>
      </c>
      <c r="C8" s="8">
        <v>1.228912E-10</v>
      </c>
      <c r="D8" s="1">
        <v>1.027332E-10</v>
      </c>
      <c r="E8" s="1">
        <v>2.0158E-11</v>
      </c>
      <c r="F8" s="1">
        <v>2.4634000000000002E-12</v>
      </c>
      <c r="G8" s="1">
        <v>1.1084E-15</v>
      </c>
      <c r="H8" s="1">
        <v>4.8812999999999996E-13</v>
      </c>
      <c r="I8" s="1">
        <v>1.4845E-12</v>
      </c>
      <c r="J8" s="1">
        <v>2.6348E-14</v>
      </c>
      <c r="K8" s="1"/>
      <c r="L8" s="1"/>
      <c r="M8" s="4"/>
      <c r="N8" s="7"/>
      <c r="O8">
        <f t="shared" si="4"/>
        <v>0.21543333333333334</v>
      </c>
      <c r="P8" s="6">
        <f t="shared" si="5"/>
        <v>99.996316744776209</v>
      </c>
      <c r="Q8" s="6">
        <f t="shared" si="0"/>
        <v>2.3174814928656549</v>
      </c>
      <c r="R8" s="6">
        <f t="shared" si="1"/>
        <v>1.1664695844683122</v>
      </c>
      <c r="S8" s="10">
        <f t="shared" si="2"/>
        <v>2.0687915208052868E-2</v>
      </c>
      <c r="T8" s="6">
        <f t="shared" si="3"/>
        <v>96.491677752234196</v>
      </c>
      <c r="U8" s="6">
        <f t="shared" si="3"/>
        <v>80.664024998175833</v>
      </c>
      <c r="V8" s="6">
        <f t="shared" si="3"/>
        <v>15.827652754058361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1.45</v>
      </c>
      <c r="AH8" s="1">
        <v>0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14.769</v>
      </c>
      <c r="C9" s="8">
        <v>1.2249100000000002E-10</v>
      </c>
      <c r="D9" s="1">
        <v>1.02403E-10</v>
      </c>
      <c r="E9" s="1">
        <v>2.0088000000000001E-11</v>
      </c>
      <c r="F9" s="1">
        <v>2.4713000000000002E-12</v>
      </c>
      <c r="G9" s="1">
        <v>1.1143999999999999E-15</v>
      </c>
      <c r="H9" s="1">
        <v>5.7392000000000004E-13</v>
      </c>
      <c r="I9" s="1">
        <v>1.7964000000000001E-12</v>
      </c>
      <c r="J9" s="1">
        <v>3.0029000000000003E-14</v>
      </c>
      <c r="K9" s="1"/>
      <c r="L9" s="1"/>
      <c r="N9" s="7"/>
      <c r="O9">
        <f t="shared" si="4"/>
        <v>0.24615000000000001</v>
      </c>
      <c r="P9" s="6">
        <f t="shared" si="5"/>
        <v>100.00344382107589</v>
      </c>
      <c r="Q9" s="6">
        <f t="shared" si="0"/>
        <v>2.3910449806386351</v>
      </c>
      <c r="R9" s="6">
        <f t="shared" si="1"/>
        <v>1.4113718495693801</v>
      </c>
      <c r="S9" s="10">
        <f t="shared" si="2"/>
        <v>2.3578161749757843E-2</v>
      </c>
      <c r="T9" s="6">
        <f t="shared" si="3"/>
        <v>96.17744882911812</v>
      </c>
      <c r="U9" s="6">
        <f t="shared" si="3"/>
        <v>80.404758655314936</v>
      </c>
      <c r="V9" s="6">
        <f t="shared" si="3"/>
        <v>15.772690173803172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6.82</v>
      </c>
      <c r="AH9" s="1">
        <v>0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16.611999999999998</v>
      </c>
      <c r="C10" s="8">
        <v>1.2209559999999999E-10</v>
      </c>
      <c r="D10" s="1">
        <v>1.020746E-10</v>
      </c>
      <c r="E10" s="1">
        <v>2.0021000000000001E-11</v>
      </c>
      <c r="F10" s="1">
        <v>2.4729000000000001E-12</v>
      </c>
      <c r="G10" s="1">
        <v>1.114E-15</v>
      </c>
      <c r="H10" s="1">
        <v>6.6005E-13</v>
      </c>
      <c r="I10" s="1">
        <v>2.1092999999999999E-12</v>
      </c>
      <c r="J10" s="1">
        <v>3.3697999999999998E-14</v>
      </c>
      <c r="K10" s="1"/>
      <c r="L10" s="1"/>
      <c r="N10" s="7"/>
      <c r="O10">
        <f t="shared" si="4"/>
        <v>0.27686666666666665</v>
      </c>
      <c r="P10" s="6">
        <f t="shared" si="5"/>
        <v>100.01043082131385</v>
      </c>
      <c r="Q10" s="6">
        <f t="shared" si="0"/>
        <v>2.4599287972927444</v>
      </c>
      <c r="R10" s="6">
        <f t="shared" si="1"/>
        <v>1.6570542692381844</v>
      </c>
      <c r="S10" s="10">
        <f t="shared" si="2"/>
        <v>2.6458986134847633E-2</v>
      </c>
      <c r="T10" s="6">
        <f t="shared" si="3"/>
        <v>95.866988768648071</v>
      </c>
      <c r="U10" s="6">
        <f t="shared" si="3"/>
        <v>80.146905635946297</v>
      </c>
      <c r="V10" s="6">
        <f t="shared" si="3"/>
        <v>15.720083132701779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2.8999999999999998E-7</v>
      </c>
      <c r="AH10" s="37">
        <v>2.8999999999999998E-7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20.297999999999998</v>
      </c>
      <c r="C11" s="8">
        <v>1.213118E-10</v>
      </c>
      <c r="D11" s="1">
        <v>1.014218E-10</v>
      </c>
      <c r="E11" s="1">
        <v>1.9889999999999999E-11</v>
      </c>
      <c r="F11" s="1">
        <v>2.4675000000000001E-12</v>
      </c>
      <c r="G11" s="1">
        <v>1.0984000000000001E-15</v>
      </c>
      <c r="H11" s="1">
        <v>8.3256999999999996E-13</v>
      </c>
      <c r="I11" s="1">
        <v>2.7345000000000001E-12</v>
      </c>
      <c r="J11" s="1">
        <v>4.0998000000000002E-14</v>
      </c>
      <c r="K11" s="1"/>
      <c r="L11" s="1"/>
      <c r="N11" s="7"/>
      <c r="O11">
        <f t="shared" si="4"/>
        <v>0.33829999999999999</v>
      </c>
      <c r="P11" s="6">
        <f t="shared" si="5"/>
        <v>100.02284011564792</v>
      </c>
      <c r="Q11" s="6">
        <f t="shared" si="0"/>
        <v>2.5911480317534168</v>
      </c>
      <c r="R11" s="6">
        <f t="shared" si="1"/>
        <v>2.1479363800852092</v>
      </c>
      <c r="S11" s="10">
        <f t="shared" si="2"/>
        <v>3.2190798075745847E-2</v>
      </c>
      <c r="T11" s="6">
        <f t="shared" si="3"/>
        <v>95.251564905733559</v>
      </c>
      <c r="U11" s="6">
        <f t="shared" si="3"/>
        <v>79.634340316080781</v>
      </c>
      <c r="V11" s="6">
        <f t="shared" si="3"/>
        <v>15.617224589652782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27.670999999999999</v>
      </c>
      <c r="C12" s="8">
        <v>1.197804E-10</v>
      </c>
      <c r="D12" s="1">
        <v>1.0014240000000001E-10</v>
      </c>
      <c r="E12" s="1">
        <v>1.9637999999999999E-11</v>
      </c>
      <c r="F12" s="1">
        <v>2.4398000000000002E-12</v>
      </c>
      <c r="G12" s="1">
        <v>1.0860000000000001E-15</v>
      </c>
      <c r="H12" s="1">
        <v>1.1761E-12</v>
      </c>
      <c r="I12" s="1">
        <v>3.9747E-12</v>
      </c>
      <c r="J12" s="1">
        <v>5.5459000000000001E-14</v>
      </c>
      <c r="K12" s="1"/>
      <c r="L12" s="1"/>
      <c r="N12" s="7"/>
      <c r="O12">
        <f t="shared" si="4"/>
        <v>0.46118333333333333</v>
      </c>
      <c r="P12" s="6">
        <f t="shared" si="5"/>
        <v>100.05352383977308</v>
      </c>
      <c r="Q12" s="6">
        <f t="shared" si="0"/>
        <v>2.8391313420676476</v>
      </c>
      <c r="R12" s="6">
        <f t="shared" si="1"/>
        <v>3.1217065300350568</v>
      </c>
      <c r="S12" s="10">
        <f t="shared" si="2"/>
        <v>4.3545281976749811E-2</v>
      </c>
      <c r="T12" s="6">
        <f t="shared" si="3"/>
        <v>94.049140685693615</v>
      </c>
      <c r="U12" s="6">
        <f t="shared" si="3"/>
        <v>78.629781384959529</v>
      </c>
      <c r="V12" s="6">
        <f t="shared" si="3"/>
        <v>15.419359300734104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35.043999999999997</v>
      </c>
      <c r="C13" s="8">
        <v>1.182697E-10</v>
      </c>
      <c r="D13" s="1">
        <v>9.8879700000000006E-11</v>
      </c>
      <c r="E13" s="1">
        <v>1.939E-11</v>
      </c>
      <c r="F13" s="1">
        <v>2.4102999999999999E-12</v>
      </c>
      <c r="G13" s="1">
        <v>1.0837E-15</v>
      </c>
      <c r="H13" s="1">
        <v>1.5161E-12</v>
      </c>
      <c r="I13" s="1">
        <v>5.1991000000000003E-12</v>
      </c>
      <c r="J13" s="1">
        <v>6.9736999999999999E-14</v>
      </c>
      <c r="K13" s="1"/>
      <c r="L13" s="1"/>
      <c r="N13" s="7"/>
      <c r="O13">
        <f t="shared" si="4"/>
        <v>0.58406666666666662</v>
      </c>
      <c r="P13" s="6">
        <f t="shared" si="5"/>
        <v>100.08373417904627</v>
      </c>
      <c r="Q13" s="6">
        <f t="shared" si="0"/>
        <v>3.0829296444853034</v>
      </c>
      <c r="R13" s="6">
        <f t="shared" si="1"/>
        <v>4.0830787707567424</v>
      </c>
      <c r="S13" s="10">
        <f t="shared" si="2"/>
        <v>5.4756077989372348E-2</v>
      </c>
      <c r="T13" s="6">
        <f t="shared" si="3"/>
        <v>92.862969685814875</v>
      </c>
      <c r="U13" s="6">
        <f t="shared" si="3"/>
        <v>77.638334955127718</v>
      </c>
      <c r="V13" s="6">
        <f t="shared" si="3"/>
        <v>15.224634730687153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49.79</v>
      </c>
      <c r="C14" s="8">
        <v>1.153255E-10</v>
      </c>
      <c r="D14" s="1">
        <v>9.6418500000000002E-11</v>
      </c>
      <c r="E14" s="1">
        <v>1.8906999999999999E-11</v>
      </c>
      <c r="F14" s="1">
        <v>2.3510999999999999E-12</v>
      </c>
      <c r="G14" s="1">
        <v>1.0574E-15</v>
      </c>
      <c r="H14" s="1">
        <v>2.1843999999999999E-12</v>
      </c>
      <c r="I14" s="1">
        <v>7.6025999999999999E-12</v>
      </c>
      <c r="J14" s="1">
        <v>9.7757999999999999E-14</v>
      </c>
      <c r="K14" s="1"/>
      <c r="L14" s="1"/>
      <c r="N14" s="7"/>
      <c r="O14">
        <f t="shared" si="4"/>
        <v>0.82983333333333331</v>
      </c>
      <c r="P14" s="6">
        <f t="shared" si="5"/>
        <v>100.15942134240237</v>
      </c>
      <c r="Q14" s="6">
        <f t="shared" si="0"/>
        <v>3.5611826106772346</v>
      </c>
      <c r="R14" s="6">
        <f t="shared" si="1"/>
        <v>5.970237572577946</v>
      </c>
      <c r="S14" s="10">
        <f t="shared" si="2"/>
        <v>7.6757598865524218E-2</v>
      </c>
      <c r="T14" s="6">
        <f t="shared" si="3"/>
        <v>90.551243560281662</v>
      </c>
      <c r="U14" s="6">
        <f t="shared" si="3"/>
        <v>75.705850633355297</v>
      </c>
      <c r="V14" s="6">
        <f t="shared" si="3"/>
        <v>14.845392926926355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79.281000000000006</v>
      </c>
      <c r="C15" s="8">
        <v>1.09722E-10</v>
      </c>
      <c r="D15" s="1">
        <v>9.1733000000000003E-11</v>
      </c>
      <c r="E15" s="1">
        <v>1.7988999999999999E-11</v>
      </c>
      <c r="F15" s="1">
        <v>2.2372000000000002E-12</v>
      </c>
      <c r="G15" s="1">
        <v>1.0076E-15</v>
      </c>
      <c r="H15" s="1">
        <v>3.4733000000000002E-12</v>
      </c>
      <c r="I15" s="1">
        <v>1.2234E-11</v>
      </c>
      <c r="J15" s="1">
        <v>1.5175000000000001E-13</v>
      </c>
      <c r="K15" s="1"/>
      <c r="L15" s="1"/>
      <c r="N15" s="7"/>
      <c r="O15">
        <f t="shared" si="4"/>
        <v>1.32135</v>
      </c>
      <c r="P15" s="6">
        <f t="shared" si="5"/>
        <v>100.3610886285512</v>
      </c>
      <c r="Q15" s="6">
        <f t="shared" si="0"/>
        <v>4.483768779246466</v>
      </c>
      <c r="R15" s="6">
        <f t="shared" si="1"/>
        <v>9.6066798162548359</v>
      </c>
      <c r="S15" s="10">
        <f t="shared" si="2"/>
        <v>0.11915102219606888</v>
      </c>
      <c r="T15" s="6">
        <f t="shared" si="3"/>
        <v>86.151489010853837</v>
      </c>
      <c r="U15" s="6">
        <f t="shared" si="3"/>
        <v>72.026891064988376</v>
      </c>
      <c r="V15" s="6">
        <f t="shared" si="3"/>
        <v>14.124597945865455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108.77</v>
      </c>
      <c r="C16" s="8">
        <v>1.043889E-10</v>
      </c>
      <c r="D16" s="1">
        <v>8.7274899999999998E-11</v>
      </c>
      <c r="E16" s="1">
        <v>1.7114000000000002E-11</v>
      </c>
      <c r="F16" s="1">
        <v>2.1285000000000001E-12</v>
      </c>
      <c r="G16" s="1">
        <v>9.5799999999999999E-16</v>
      </c>
      <c r="H16" s="1">
        <v>4.7001999999999997E-12</v>
      </c>
      <c r="I16" s="1">
        <v>1.664E-11</v>
      </c>
      <c r="J16" s="1">
        <v>2.0312E-13</v>
      </c>
      <c r="K16" s="1"/>
      <c r="L16" s="1"/>
      <c r="N16" s="7"/>
      <c r="O16">
        <f t="shared" si="4"/>
        <v>1.8128333333333333</v>
      </c>
      <c r="P16" s="6">
        <f t="shared" si="5"/>
        <v>100.55143220984397</v>
      </c>
      <c r="Q16" s="6">
        <f t="shared" si="0"/>
        <v>5.3617567398372028</v>
      </c>
      <c r="R16" s="6">
        <f t="shared" si="1"/>
        <v>13.066142708545964</v>
      </c>
      <c r="S16" s="10">
        <f t="shared" si="2"/>
        <v>0.15948570430619774</v>
      </c>
      <c r="T16" s="6">
        <f t="shared" si="3"/>
        <v>81.964047057154616</v>
      </c>
      <c r="U16" s="6">
        <f t="shared" si="3"/>
        <v>68.526481364479025</v>
      </c>
      <c r="V16" s="6">
        <f t="shared" si="3"/>
        <v>13.437565692675605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167.75</v>
      </c>
      <c r="C17" s="8">
        <v>9.4708199999999997E-11</v>
      </c>
      <c r="D17" s="1">
        <v>7.9181199999999999E-11</v>
      </c>
      <c r="E17" s="1">
        <v>1.5527E-11</v>
      </c>
      <c r="F17" s="1">
        <v>1.9311000000000001E-12</v>
      </c>
      <c r="G17" s="1">
        <v>8.6819999999999999E-16</v>
      </c>
      <c r="H17" s="1">
        <v>6.9821999999999999E-12</v>
      </c>
      <c r="I17" s="1">
        <v>2.4835000000000001E-11</v>
      </c>
      <c r="J17" s="1">
        <v>2.9864999999999999E-13</v>
      </c>
      <c r="K17" s="1"/>
      <c r="L17" s="1"/>
      <c r="N17" s="7"/>
      <c r="O17">
        <f t="shared" si="4"/>
        <v>2.7958333333333334</v>
      </c>
      <c r="P17" s="6">
        <f t="shared" si="5"/>
        <v>101.09661405222835</v>
      </c>
      <c r="Q17" s="6">
        <f t="shared" si="0"/>
        <v>6.9985423798367101</v>
      </c>
      <c r="R17" s="6">
        <f t="shared" si="1"/>
        <v>19.50061998785398</v>
      </c>
      <c r="S17" s="10">
        <f t="shared" si="2"/>
        <v>0.23449392276017111</v>
      </c>
      <c r="T17" s="6">
        <f t="shared" si="3"/>
        <v>74.362957761777466</v>
      </c>
      <c r="U17" s="6">
        <f t="shared" si="3"/>
        <v>62.171472281458776</v>
      </c>
      <c r="V17" s="6">
        <f t="shared" si="3"/>
        <v>12.191485480318692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220.84</v>
      </c>
      <c r="C18" s="8">
        <v>8.6730099999999987E-11</v>
      </c>
      <c r="D18" s="1">
        <v>7.2511099999999992E-11</v>
      </c>
      <c r="E18" s="1">
        <v>1.4219E-11</v>
      </c>
      <c r="F18" s="1">
        <v>1.7684E-12</v>
      </c>
      <c r="G18" s="1">
        <v>7.9564000000000005E-16</v>
      </c>
      <c r="H18" s="1">
        <v>8.8539999999999992E-12</v>
      </c>
      <c r="I18" s="1">
        <v>3.1555999999999997E-11</v>
      </c>
      <c r="J18" s="1">
        <v>3.7700000000000001E-13</v>
      </c>
      <c r="K18" s="1"/>
      <c r="L18" s="1"/>
      <c r="N18" s="7"/>
      <c r="O18">
        <f t="shared" si="4"/>
        <v>3.6806666666666668</v>
      </c>
      <c r="P18" s="6">
        <f t="shared" si="5"/>
        <v>101.51297714299284</v>
      </c>
      <c r="Q18" s="6">
        <f t="shared" si="0"/>
        <v>8.3404930357530276</v>
      </c>
      <c r="R18" s="6">
        <f t="shared" si="1"/>
        <v>24.777755899429646</v>
      </c>
      <c r="S18" s="10">
        <f t="shared" si="2"/>
        <v>0.29601275366008545</v>
      </c>
      <c r="T18" s="6">
        <f t="shared" ref="T18:V43" si="6">C18/$A$1*100</f>
        <v>68.098715454150067</v>
      </c>
      <c r="U18" s="6">
        <f t="shared" si="6"/>
        <v>56.934245044885458</v>
      </c>
      <c r="V18" s="6">
        <f t="shared" si="6"/>
        <v>11.164470409264601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273.92</v>
      </c>
      <c r="C19" s="8">
        <v>7.9423700000000012E-11</v>
      </c>
      <c r="D19" s="1">
        <v>6.6402700000000006E-11</v>
      </c>
      <c r="E19" s="1">
        <v>1.3021E-11</v>
      </c>
      <c r="F19" s="1">
        <v>1.6194999999999999E-12</v>
      </c>
      <c r="G19" s="1">
        <v>7.2896999999999999E-16</v>
      </c>
      <c r="H19" s="1">
        <v>1.0567999999999999E-11</v>
      </c>
      <c r="I19" s="1">
        <v>3.7711E-11</v>
      </c>
      <c r="J19" s="1">
        <v>4.4874999999999998E-13</v>
      </c>
      <c r="K19" s="1"/>
      <c r="L19" s="1"/>
      <c r="N19" s="7"/>
      <c r="O19">
        <f t="shared" si="4"/>
        <v>4.5653333333333332</v>
      </c>
      <c r="P19" s="6">
        <f t="shared" si="5"/>
        <v>101.89409028913079</v>
      </c>
      <c r="Q19" s="6">
        <f t="shared" si="0"/>
        <v>9.5693778122872448</v>
      </c>
      <c r="R19" s="6">
        <f t="shared" si="1"/>
        <v>29.61048471536477</v>
      </c>
      <c r="S19" s="10">
        <f t="shared" si="2"/>
        <v>0.35234939842165341</v>
      </c>
      <c r="T19" s="6">
        <f t="shared" si="6"/>
        <v>62.361878363057109</v>
      </c>
      <c r="U19" s="6">
        <f t="shared" si="6"/>
        <v>52.138053255874148</v>
      </c>
      <c r="V19" s="6">
        <f t="shared" si="6"/>
        <v>10.22382510718295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327.01</v>
      </c>
      <c r="C20" s="8">
        <v>7.2733200000000003E-11</v>
      </c>
      <c r="D20" s="1">
        <v>6.0809199999999998E-11</v>
      </c>
      <c r="E20" s="1">
        <v>1.1924E-11</v>
      </c>
      <c r="F20" s="1">
        <v>1.483E-12</v>
      </c>
      <c r="G20" s="1">
        <v>6.6785E-16</v>
      </c>
      <c r="H20" s="1">
        <v>1.2138E-11</v>
      </c>
      <c r="I20" s="1">
        <v>4.3348E-11</v>
      </c>
      <c r="J20" s="1">
        <v>5.1446000000000001E-13</v>
      </c>
      <c r="K20" s="1"/>
      <c r="L20" s="1"/>
      <c r="N20" s="7"/>
      <c r="O20">
        <f t="shared" si="4"/>
        <v>5.4501666666666662</v>
      </c>
      <c r="P20" s="6">
        <f t="shared" si="5"/>
        <v>102.24400475102556</v>
      </c>
      <c r="Q20" s="6">
        <f t="shared" si="0"/>
        <v>10.694932937941706</v>
      </c>
      <c r="R20" s="6">
        <f t="shared" si="1"/>
        <v>34.03649479515893</v>
      </c>
      <c r="S20" s="10">
        <f t="shared" si="2"/>
        <v>0.40394355768691664</v>
      </c>
      <c r="T20" s="6">
        <f t="shared" si="6"/>
        <v>57.108633460238003</v>
      </c>
      <c r="U20" s="6">
        <f t="shared" si="6"/>
        <v>47.746150503625643</v>
      </c>
      <c r="V20" s="6">
        <f t="shared" si="6"/>
        <v>9.3624829566123573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433.18</v>
      </c>
      <c r="C21" s="8">
        <v>6.0643400000000008E-11</v>
      </c>
      <c r="D21" s="1">
        <v>5.0701100000000005E-11</v>
      </c>
      <c r="E21" s="1">
        <v>9.9422999999999998E-12</v>
      </c>
      <c r="F21" s="1">
        <v>1.2365E-12</v>
      </c>
      <c r="G21" s="1">
        <v>5.4883999999999996E-16</v>
      </c>
      <c r="H21" s="1">
        <v>1.489E-11</v>
      </c>
      <c r="I21" s="1">
        <v>5.3228999999999998E-11</v>
      </c>
      <c r="J21" s="1">
        <v>6.2965999999999996E-13</v>
      </c>
      <c r="K21" s="1"/>
      <c r="L21" s="1"/>
      <c r="N21" s="7"/>
      <c r="O21">
        <f t="shared" si="4"/>
        <v>7.2196666666666669</v>
      </c>
      <c r="P21" s="6">
        <f t="shared" si="5"/>
        <v>102.56732683260321</v>
      </c>
      <c r="Q21" s="6">
        <f t="shared" si="0"/>
        <v>12.662200721218481</v>
      </c>
      <c r="R21" s="6">
        <f t="shared" si="1"/>
        <v>41.794762143799488</v>
      </c>
      <c r="S21" s="10">
        <f t="shared" si="2"/>
        <v>0.49439626119259783</v>
      </c>
      <c r="T21" s="6">
        <f t="shared" si="6"/>
        <v>47.615967706392645</v>
      </c>
      <c r="U21" s="6">
        <f t="shared" si="6"/>
        <v>39.809475396804665</v>
      </c>
      <c r="V21" s="6">
        <f t="shared" si="6"/>
        <v>7.806492309587977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539.34</v>
      </c>
      <c r="C22" s="8">
        <v>5.0432200000000004E-11</v>
      </c>
      <c r="D22" s="1">
        <v>4.2164000000000002E-11</v>
      </c>
      <c r="E22" s="1">
        <v>8.2682000000000007E-12</v>
      </c>
      <c r="F22" s="1">
        <v>1.0283E-12</v>
      </c>
      <c r="G22" s="1">
        <v>4.5174999999999999E-16</v>
      </c>
      <c r="H22" s="1">
        <v>1.7181000000000001E-11</v>
      </c>
      <c r="I22" s="1">
        <v>6.1453000000000005E-11</v>
      </c>
      <c r="J22" s="1">
        <v>7.2559000000000004E-13</v>
      </c>
      <c r="K22" s="1"/>
      <c r="L22" s="1"/>
      <c r="N22" s="7"/>
      <c r="O22">
        <f t="shared" si="4"/>
        <v>8.9890000000000008</v>
      </c>
      <c r="P22" s="6">
        <f t="shared" si="5"/>
        <v>102.71763607087976</v>
      </c>
      <c r="Q22" s="6">
        <f t="shared" si="0"/>
        <v>14.297573037725714</v>
      </c>
      <c r="R22" s="6">
        <f t="shared" si="1"/>
        <v>48.252003910967375</v>
      </c>
      <c r="S22" s="10">
        <f t="shared" si="2"/>
        <v>0.56971855153374384</v>
      </c>
      <c r="T22" s="6">
        <f t="shared" si="6"/>
        <v>39.598340570652951</v>
      </c>
      <c r="U22" s="6">
        <f t="shared" si="6"/>
        <v>33.106317626853695</v>
      </c>
      <c r="V22" s="6">
        <f t="shared" si="6"/>
        <v>6.4920229437992543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168</v>
      </c>
      <c r="AH22" s="1" t="s">
        <v>169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645.51</v>
      </c>
      <c r="C23" s="8">
        <v>4.1897600000000003E-11</v>
      </c>
      <c r="D23" s="1">
        <v>3.50287E-11</v>
      </c>
      <c r="E23" s="1">
        <v>6.8689000000000003E-12</v>
      </c>
      <c r="F23" s="1">
        <v>8.5428999999999999E-13</v>
      </c>
      <c r="G23" s="1">
        <v>3.7872999999999999E-16</v>
      </c>
      <c r="H23" s="1">
        <v>1.9086E-11</v>
      </c>
      <c r="I23" s="1">
        <v>6.8287000000000004E-11</v>
      </c>
      <c r="J23" s="1">
        <v>8.0532999999999996E-13</v>
      </c>
      <c r="K23" s="1"/>
      <c r="L23" s="1"/>
      <c r="N23" s="7"/>
      <c r="O23">
        <f t="shared" si="4"/>
        <v>10.7585</v>
      </c>
      <c r="P23" s="6">
        <f t="shared" si="5"/>
        <v>102.80405057939252</v>
      </c>
      <c r="Q23" s="6">
        <f t="shared" si="0"/>
        <v>15.656711277667545</v>
      </c>
      <c r="R23" s="6">
        <f t="shared" si="1"/>
        <v>53.617864769486602</v>
      </c>
      <c r="S23" s="10">
        <f t="shared" si="2"/>
        <v>0.63232878224158251</v>
      </c>
      <c r="T23" s="6">
        <f t="shared" si="6"/>
        <v>32.89714574999681</v>
      </c>
      <c r="U23" s="6">
        <f t="shared" si="6"/>
        <v>27.503824785498765</v>
      </c>
      <c r="V23" s="6">
        <f t="shared" si="6"/>
        <v>5.3933209644980398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166</v>
      </c>
      <c r="AH23" s="1" t="s">
        <v>169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751.68</v>
      </c>
      <c r="C24" s="8">
        <v>3.4792399999999999E-11</v>
      </c>
      <c r="D24" s="1">
        <v>2.9088300000000001E-11</v>
      </c>
      <c r="E24" s="1">
        <v>5.7041000000000003E-12</v>
      </c>
      <c r="F24" s="1">
        <v>7.0942000000000002E-13</v>
      </c>
      <c r="G24" s="1">
        <v>3.1586999999999999E-16</v>
      </c>
      <c r="H24" s="1">
        <v>2.0668999999999999E-11</v>
      </c>
      <c r="I24" s="1">
        <v>7.3965E-11</v>
      </c>
      <c r="J24" s="1">
        <v>8.7156999999999999E-13</v>
      </c>
      <c r="K24" s="1"/>
      <c r="L24" s="1"/>
      <c r="N24" s="7"/>
      <c r="O24">
        <f t="shared" si="4"/>
        <v>12.527999999999999</v>
      </c>
      <c r="P24" s="6">
        <f t="shared" si="5"/>
        <v>102.8645935418282</v>
      </c>
      <c r="Q24" s="6">
        <f t="shared" si="0"/>
        <v>16.785901785416034</v>
      </c>
      <c r="R24" s="6">
        <f t="shared" si="1"/>
        <v>58.07606585150323</v>
      </c>
      <c r="S24" s="10">
        <f t="shared" si="2"/>
        <v>0.68433908675734922</v>
      </c>
      <c r="T24" s="6">
        <f t="shared" si="6"/>
        <v>27.318286818151609</v>
      </c>
      <c r="U24" s="6">
        <f t="shared" si="6"/>
        <v>22.839543189099903</v>
      </c>
      <c r="V24" s="6">
        <f t="shared" si="6"/>
        <v>4.4787436290517064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857.85</v>
      </c>
      <c r="C25" s="8">
        <v>2.8886799999999998E-11</v>
      </c>
      <c r="D25" s="1">
        <v>2.4150899999999998E-11</v>
      </c>
      <c r="E25" s="1">
        <v>4.7358999999999996E-12</v>
      </c>
      <c r="F25" s="1">
        <v>5.8901000000000003E-13</v>
      </c>
      <c r="G25" s="1">
        <v>2.6022000000000002E-16</v>
      </c>
      <c r="H25" s="1">
        <v>2.1981999999999999E-11</v>
      </c>
      <c r="I25" s="1">
        <v>7.8681999999999998E-11</v>
      </c>
      <c r="J25" s="1">
        <v>9.2656999999999996E-13</v>
      </c>
      <c r="K25" s="1"/>
      <c r="L25" s="1"/>
      <c r="N25" s="7"/>
      <c r="O25">
        <f t="shared" si="4"/>
        <v>14.297500000000001</v>
      </c>
      <c r="P25" s="6">
        <f t="shared" si="5"/>
        <v>102.91086759813768</v>
      </c>
      <c r="Q25" s="6">
        <f t="shared" si="0"/>
        <v>17.722299265223672</v>
      </c>
      <c r="R25" s="6">
        <f t="shared" si="1"/>
        <v>61.779714885733682</v>
      </c>
      <c r="S25" s="10">
        <f t="shared" si="2"/>
        <v>0.72752397124356849</v>
      </c>
      <c r="T25" s="6">
        <f t="shared" si="6"/>
        <v>22.681329475936749</v>
      </c>
      <c r="U25" s="6">
        <f t="shared" si="6"/>
        <v>18.962796849786091</v>
      </c>
      <c r="V25" s="6">
        <f t="shared" si="6"/>
        <v>3.718532626150659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964.02</v>
      </c>
      <c r="C26" s="8">
        <v>2.3982100000000001E-11</v>
      </c>
      <c r="D26" s="1">
        <v>2.00503E-11</v>
      </c>
      <c r="E26" s="1">
        <v>3.9317999999999999E-12</v>
      </c>
      <c r="F26" s="1">
        <v>4.8900000000000004E-13</v>
      </c>
      <c r="G26" s="1">
        <v>2.1515000000000001E-16</v>
      </c>
      <c r="H26" s="1">
        <v>2.3073000000000001E-11</v>
      </c>
      <c r="I26" s="1">
        <v>8.2595999999999996E-11</v>
      </c>
      <c r="J26" s="1">
        <v>9.7222999999999999E-13</v>
      </c>
      <c r="K26" s="1"/>
      <c r="L26" s="1"/>
      <c r="N26" s="7"/>
      <c r="O26">
        <f t="shared" si="4"/>
        <v>16.067</v>
      </c>
      <c r="P26" s="6">
        <f t="shared" si="5"/>
        <v>102.94691121812673</v>
      </c>
      <c r="Q26" s="6">
        <f t="shared" si="0"/>
        <v>18.500404513896378</v>
      </c>
      <c r="R26" s="6">
        <f t="shared" si="1"/>
        <v>64.852872913666744</v>
      </c>
      <c r="S26" s="10">
        <f t="shared" si="2"/>
        <v>0.76337527716430997</v>
      </c>
      <c r="T26" s="6">
        <f t="shared" si="6"/>
        <v>18.830258513399297</v>
      </c>
      <c r="U26" s="6">
        <f t="shared" si="6"/>
        <v>15.743088898437163</v>
      </c>
      <c r="V26" s="6">
        <f t="shared" si="6"/>
        <v>3.0871696149621322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1070.2</v>
      </c>
      <c r="C27" s="8">
        <v>1.9909999999999999E-11</v>
      </c>
      <c r="D27" s="1">
        <v>1.66459E-11</v>
      </c>
      <c r="E27" s="1">
        <v>3.2641000000000002E-12</v>
      </c>
      <c r="F27" s="1">
        <v>4.0596000000000002E-13</v>
      </c>
      <c r="G27" s="1">
        <v>1.7886000000000001E-16</v>
      </c>
      <c r="H27" s="1">
        <v>2.3978999999999999E-11</v>
      </c>
      <c r="I27" s="1">
        <v>8.5845000000000002E-11</v>
      </c>
      <c r="J27" s="1">
        <v>1.0100999999999999E-12</v>
      </c>
      <c r="K27" s="1"/>
      <c r="L27" s="1"/>
      <c r="N27" s="7"/>
      <c r="O27">
        <f t="shared" si="4"/>
        <v>17.836666666666666</v>
      </c>
      <c r="P27" s="6">
        <f t="shared" si="5"/>
        <v>102.9765075547123</v>
      </c>
      <c r="Q27" s="6">
        <f t="shared" si="0"/>
        <v>19.146576014565085</v>
      </c>
      <c r="R27" s="6">
        <f t="shared" si="1"/>
        <v>67.403893323053452</v>
      </c>
      <c r="S27" s="10">
        <f t="shared" si="2"/>
        <v>0.79311003308236672</v>
      </c>
      <c r="T27" s="6">
        <f t="shared" si="6"/>
        <v>15.632928184011408</v>
      </c>
      <c r="U27" s="6">
        <f t="shared" si="6"/>
        <v>13.070023066711981</v>
      </c>
      <c r="V27" s="6">
        <f t="shared" si="6"/>
        <v>2.5629051172994295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1176.4000000000001</v>
      </c>
      <c r="C28" s="8">
        <v>1.6528099999999999E-11</v>
      </c>
      <c r="D28" s="1">
        <v>1.38183E-11</v>
      </c>
      <c r="E28" s="1">
        <v>2.7098E-12</v>
      </c>
      <c r="F28" s="1">
        <v>3.3702000000000001E-13</v>
      </c>
      <c r="G28" s="1">
        <v>1.4889999999999999E-16</v>
      </c>
      <c r="H28" s="1">
        <v>2.4731E-11</v>
      </c>
      <c r="I28" s="1">
        <v>8.8542999999999999E-11</v>
      </c>
      <c r="J28" s="1">
        <v>1.0415999999999999E-12</v>
      </c>
      <c r="K28" s="1"/>
      <c r="L28" s="1"/>
      <c r="N28" s="7"/>
      <c r="O28">
        <f t="shared" si="4"/>
        <v>19.606666666666669</v>
      </c>
      <c r="P28" s="6">
        <f t="shared" si="5"/>
        <v>103.00055764087975</v>
      </c>
      <c r="Q28" s="6">
        <f t="shared" si="0"/>
        <v>19.682900872695214</v>
      </c>
      <c r="R28" s="6">
        <f t="shared" si="1"/>
        <v>69.522284678047654</v>
      </c>
      <c r="S28" s="10">
        <f t="shared" si="2"/>
        <v>0.81784319419720142</v>
      </c>
      <c r="T28" s="6">
        <f t="shared" si="6"/>
        <v>12.977528895939674</v>
      </c>
      <c r="U28" s="6">
        <f t="shared" si="6"/>
        <v>10.849848896289545</v>
      </c>
      <c r="V28" s="6">
        <f t="shared" si="6"/>
        <v>2.1276799996501317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1282.5</v>
      </c>
      <c r="C29" s="8">
        <v>1.372164E-11</v>
      </c>
      <c r="D29" s="1">
        <v>1.147204E-11</v>
      </c>
      <c r="E29" s="1">
        <v>2.2496E-12</v>
      </c>
      <c r="F29" s="1">
        <v>2.7978E-13</v>
      </c>
      <c r="G29" s="1">
        <v>1.2348000000000001E-16</v>
      </c>
      <c r="H29" s="1">
        <v>2.5354999999999999E-11</v>
      </c>
      <c r="I29" s="1">
        <v>9.0782E-11</v>
      </c>
      <c r="J29" s="1">
        <v>1.0677E-12</v>
      </c>
      <c r="K29" s="1"/>
      <c r="L29" s="1"/>
      <c r="N29" s="7"/>
      <c r="O29">
        <f t="shared" si="4"/>
        <v>21.375</v>
      </c>
      <c r="P29" s="6">
        <f t="shared" si="5"/>
        <v>103.02048124644676</v>
      </c>
      <c r="Q29" s="6">
        <f t="shared" si="0"/>
        <v>20.127909329629933</v>
      </c>
      <c r="R29" s="6">
        <f t="shared" si="1"/>
        <v>71.280282107227308</v>
      </c>
      <c r="S29" s="10">
        <f t="shared" si="2"/>
        <v>0.83833638483520745</v>
      </c>
      <c r="T29" s="6">
        <f t="shared" si="6"/>
        <v>10.773953424754309</v>
      </c>
      <c r="U29" s="6">
        <f t="shared" si="6"/>
        <v>9.0076131312961447</v>
      </c>
      <c r="V29" s="6">
        <f t="shared" si="6"/>
        <v>1.7663402934581649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1388.7</v>
      </c>
      <c r="C30" s="8">
        <v>1.1391020000000001E-11</v>
      </c>
      <c r="D30" s="1">
        <v>9.523520000000001E-12</v>
      </c>
      <c r="E30" s="1">
        <v>1.8674999999999999E-12</v>
      </c>
      <c r="F30" s="1">
        <v>2.3226999999999998E-13</v>
      </c>
      <c r="G30" s="1">
        <v>1.0218E-16</v>
      </c>
      <c r="H30" s="1">
        <v>2.5873E-11</v>
      </c>
      <c r="I30" s="1">
        <v>9.2640999999999998E-11</v>
      </c>
      <c r="J30" s="1">
        <v>1.0894E-12</v>
      </c>
      <c r="K30" s="1"/>
      <c r="L30" s="1"/>
      <c r="N30" s="7"/>
      <c r="O30">
        <f t="shared" si="4"/>
        <v>23.145</v>
      </c>
      <c r="P30" s="6">
        <f t="shared" si="5"/>
        <v>103.03661566891662</v>
      </c>
      <c r="Q30" s="6">
        <f t="shared" si="0"/>
        <v>20.497328535119415</v>
      </c>
      <c r="R30" s="6">
        <f t="shared" si="1"/>
        <v>72.739914478533535</v>
      </c>
      <c r="S30" s="10">
        <f t="shared" si="2"/>
        <v>0.85537478471431583</v>
      </c>
      <c r="T30" s="6">
        <f t="shared" si="6"/>
        <v>8.9439978705493548</v>
      </c>
      <c r="U30" s="6">
        <f t="shared" si="6"/>
        <v>7.477674747312725</v>
      </c>
      <c r="V30" s="6">
        <f t="shared" si="6"/>
        <v>1.4663231232366301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1494.9</v>
      </c>
      <c r="C31" s="8">
        <v>9.4565900000000014E-12</v>
      </c>
      <c r="D31" s="1">
        <v>7.9061900000000011E-12</v>
      </c>
      <c r="E31" s="1">
        <v>1.5503999999999999E-12</v>
      </c>
      <c r="F31" s="1">
        <v>1.9282000000000001E-13</v>
      </c>
      <c r="G31" s="1">
        <v>8.4785999999999999E-17</v>
      </c>
      <c r="H31" s="1">
        <v>2.6302999999999999E-11</v>
      </c>
      <c r="I31" s="1">
        <v>9.4184E-11</v>
      </c>
      <c r="J31" s="1">
        <v>1.1073999999999999E-12</v>
      </c>
      <c r="K31" s="1"/>
      <c r="L31" s="1"/>
      <c r="N31" s="7"/>
      <c r="O31">
        <f t="shared" si="4"/>
        <v>24.915000000000003</v>
      </c>
      <c r="P31" s="6">
        <f t="shared" si="5"/>
        <v>103.05004428827161</v>
      </c>
      <c r="Q31" s="6">
        <f t="shared" si="0"/>
        <v>20.803980473957466</v>
      </c>
      <c r="R31" s="6">
        <f t="shared" si="1"/>
        <v>73.951433125885458</v>
      </c>
      <c r="S31" s="57">
        <f t="shared" si="2"/>
        <v>0.86950801963707847</v>
      </c>
      <c r="T31" s="6">
        <f t="shared" si="6"/>
        <v>7.4251226687915857</v>
      </c>
      <c r="U31" s="6">
        <f t="shared" si="6"/>
        <v>6.2077800341109581</v>
      </c>
      <c r="V31" s="6">
        <f t="shared" si="6"/>
        <v>1.2173426346806273</v>
      </c>
      <c r="X31" s="5"/>
      <c r="Y31" s="5"/>
      <c r="Z31" s="5"/>
      <c r="AA31" s="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1601</v>
      </c>
      <c r="C32" s="8">
        <v>7.8505000000000001E-12</v>
      </c>
      <c r="D32" s="1">
        <v>6.5634000000000001E-12</v>
      </c>
      <c r="E32" s="1">
        <v>1.2871E-12</v>
      </c>
      <c r="F32" s="1">
        <v>1.6006999999999999E-13</v>
      </c>
      <c r="G32" s="1">
        <v>7.0671000000000002E-17</v>
      </c>
      <c r="H32" s="1">
        <v>2.6660000000000002E-11</v>
      </c>
      <c r="I32" s="1">
        <v>9.5465000000000003E-11</v>
      </c>
      <c r="J32" s="1">
        <v>1.1223999999999999E-12</v>
      </c>
      <c r="K32" s="1"/>
      <c r="L32" s="1"/>
      <c r="N32" s="7"/>
      <c r="O32">
        <f t="shared" si="4"/>
        <v>26.683333333333334</v>
      </c>
      <c r="P32" s="6">
        <f t="shared" si="5"/>
        <v>103.06115135026579</v>
      </c>
      <c r="Q32" s="6">
        <f t="shared" si="0"/>
        <v>21.058574997496677</v>
      </c>
      <c r="R32" s="6">
        <f t="shared" si="1"/>
        <v>74.957237261743686</v>
      </c>
      <c r="S32" s="57">
        <f t="shared" si="2"/>
        <v>0.8812857154060475</v>
      </c>
      <c r="T32" s="6">
        <f t="shared" si="6"/>
        <v>6.1640533756193649</v>
      </c>
      <c r="U32" s="6">
        <f t="shared" si="6"/>
        <v>5.1534485606700393</v>
      </c>
      <c r="V32" s="6">
        <f t="shared" si="6"/>
        <v>1.0106048149493263</v>
      </c>
      <c r="X32" s="5"/>
      <c r="Y32" s="5"/>
      <c r="Z32" s="5"/>
      <c r="AA32" s="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1707.2</v>
      </c>
      <c r="C33" s="8">
        <v>6.5172200000000008E-12</v>
      </c>
      <c r="D33" s="1">
        <v>5.4487200000000006E-12</v>
      </c>
      <c r="E33" s="1">
        <v>1.0684999999999999E-12</v>
      </c>
      <c r="F33" s="1">
        <v>1.3289E-13</v>
      </c>
      <c r="G33" s="1">
        <v>5.8594000000000001E-17</v>
      </c>
      <c r="H33" s="1">
        <v>2.6957E-11</v>
      </c>
      <c r="I33" s="1">
        <v>9.6529000000000006E-11</v>
      </c>
      <c r="J33" s="1">
        <v>1.1348E-12</v>
      </c>
      <c r="K33" s="1"/>
      <c r="L33" s="1"/>
      <c r="N33" s="7"/>
      <c r="O33">
        <f t="shared" si="4"/>
        <v>28.453333333333333</v>
      </c>
      <c r="P33" s="6">
        <f t="shared" si="5"/>
        <v>103.07130209320034</v>
      </c>
      <c r="Q33" s="6">
        <f t="shared" si="0"/>
        <v>21.270432188988892</v>
      </c>
      <c r="R33" s="6">
        <f t="shared" si="1"/>
        <v>75.792658999007102</v>
      </c>
      <c r="S33" s="57">
        <f t="shared" si="2"/>
        <v>0.89102194390839506</v>
      </c>
      <c r="T33" s="6">
        <f t="shared" si="6"/>
        <v>5.117188961295974</v>
      </c>
      <c r="U33" s="6">
        <f t="shared" si="6"/>
        <v>4.2782244326864216</v>
      </c>
      <c r="V33" s="6">
        <f t="shared" si="6"/>
        <v>0.83896452860955251</v>
      </c>
      <c r="X33" s="5"/>
      <c r="Y33" s="5"/>
      <c r="Z33" s="5"/>
      <c r="AA33" s="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1813.4</v>
      </c>
      <c r="C34" s="8">
        <v>5.41036E-12</v>
      </c>
      <c r="D34" s="1">
        <v>4.52334E-12</v>
      </c>
      <c r="E34" s="1">
        <v>8.8701999999999999E-13</v>
      </c>
      <c r="F34" s="1">
        <v>1.1032E-13</v>
      </c>
      <c r="G34" s="1">
        <v>4.8472999999999998E-17</v>
      </c>
      <c r="H34" s="1">
        <v>2.7203E-11</v>
      </c>
      <c r="I34" s="1">
        <v>9.7410999999999998E-11</v>
      </c>
      <c r="J34" s="1">
        <v>1.1451E-12</v>
      </c>
      <c r="K34" s="1"/>
      <c r="L34" s="1"/>
      <c r="N34" s="7"/>
      <c r="O34">
        <f t="shared" si="4"/>
        <v>30.223333333333336</v>
      </c>
      <c r="P34" s="6">
        <f t="shared" si="5"/>
        <v>103.07825869049449</v>
      </c>
      <c r="Q34" s="6">
        <f t="shared" si="0"/>
        <v>21.445864893366274</v>
      </c>
      <c r="R34" s="6">
        <f t="shared" si="1"/>
        <v>76.485179563418541</v>
      </c>
      <c r="S34" s="57">
        <f t="shared" si="2"/>
        <v>0.89910929500308712</v>
      </c>
      <c r="T34" s="6">
        <f t="shared" si="6"/>
        <v>4.2481049387065779</v>
      </c>
      <c r="U34" s="6">
        <f t="shared" si="6"/>
        <v>3.5516348253071905</v>
      </c>
      <c r="V34" s="6">
        <f t="shared" si="6"/>
        <v>0.69647011339938714</v>
      </c>
      <c r="X34" s="5"/>
      <c r="Y34" s="5"/>
      <c r="Z34" s="68" t="s">
        <v>135</v>
      </c>
      <c r="AA34" s="69"/>
      <c r="AB34" s="70"/>
      <c r="AC34" s="7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x14ac:dyDescent="0.3">
      <c r="B35" s="7">
        <v>1919.5</v>
      </c>
      <c r="C35" s="8">
        <v>4.4915499999999994E-12</v>
      </c>
      <c r="D35" s="1">
        <v>3.7551699999999996E-12</v>
      </c>
      <c r="E35" s="1">
        <v>7.3638000000000004E-13</v>
      </c>
      <c r="F35" s="1">
        <v>9.1583999999999999E-14</v>
      </c>
      <c r="G35" s="1">
        <v>4.0339000000000001E-17</v>
      </c>
      <c r="H35" s="1">
        <v>2.7406999999999999E-11</v>
      </c>
      <c r="I35" s="1">
        <v>9.8145000000000001E-11</v>
      </c>
      <c r="J35" s="1">
        <v>1.1536000000000001E-12</v>
      </c>
      <c r="K35" s="1"/>
      <c r="L35" s="1"/>
      <c r="N35" s="7"/>
      <c r="O35">
        <f t="shared" si="4"/>
        <v>31.991666666666667</v>
      </c>
      <c r="P35" s="6">
        <f t="shared" si="5"/>
        <v>103.08528280303702</v>
      </c>
      <c r="Q35" s="6">
        <f t="shared" si="0"/>
        <v>21.591330428629089</v>
      </c>
      <c r="R35" s="6">
        <f t="shared" si="1"/>
        <v>77.061495089728254</v>
      </c>
      <c r="S35" s="57">
        <f t="shared" si="2"/>
        <v>0.90578332260550287</v>
      </c>
      <c r="T35" s="6">
        <f t="shared" si="6"/>
        <v>3.5266739620741552</v>
      </c>
      <c r="U35" s="6">
        <f t="shared" si="6"/>
        <v>2.9484833213839332</v>
      </c>
      <c r="V35" s="6">
        <f t="shared" si="6"/>
        <v>0.57819064069022208</v>
      </c>
      <c r="X35" s="5"/>
      <c r="Y35" s="5"/>
      <c r="Z35" s="72"/>
      <c r="AA35" s="73"/>
      <c r="AB35" s="74"/>
      <c r="AC35" s="75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x14ac:dyDescent="0.3">
      <c r="B36" s="7">
        <v>2025.7</v>
      </c>
      <c r="C36" s="8">
        <v>3.7287600000000004E-12</v>
      </c>
      <c r="D36" s="1">
        <v>3.1174400000000001E-12</v>
      </c>
      <c r="E36" s="1">
        <v>6.1131999999999996E-13</v>
      </c>
      <c r="F36" s="1">
        <v>7.6030000000000005E-14</v>
      </c>
      <c r="G36" s="1">
        <v>3.3504000000000003E-17</v>
      </c>
      <c r="H36" s="1">
        <v>2.7577E-11</v>
      </c>
      <c r="I36" s="1">
        <v>9.8752999999999995E-11</v>
      </c>
      <c r="J36" s="1">
        <v>1.1607000000000001E-12</v>
      </c>
      <c r="K36" s="1"/>
      <c r="L36" s="1"/>
      <c r="N36" s="7"/>
      <c r="O36">
        <f t="shared" si="4"/>
        <v>33.76166666666667</v>
      </c>
      <c r="P36" s="6">
        <f t="shared" si="5"/>
        <v>103.09058211050797</v>
      </c>
      <c r="Q36" s="6">
        <f t="shared" si="0"/>
        <v>21.712598295344701</v>
      </c>
      <c r="R36" s="6">
        <f t="shared" si="1"/>
        <v>77.538878991527099</v>
      </c>
      <c r="S36" s="57">
        <f t="shared" si="2"/>
        <v>0.9113580986028148</v>
      </c>
      <c r="T36" s="6">
        <f t="shared" si="6"/>
        <v>2.9277467250333693</v>
      </c>
      <c r="U36" s="6">
        <f t="shared" si="6"/>
        <v>2.4477506598676304</v>
      </c>
      <c r="V36" s="6">
        <f t="shared" si="6"/>
        <v>0.47999606516573851</v>
      </c>
      <c r="X36" s="5"/>
      <c r="Y36" s="5"/>
      <c r="Z36" s="76" t="s">
        <v>143</v>
      </c>
      <c r="AA36" s="73"/>
      <c r="AB36" s="74"/>
      <c r="AC36" s="75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x14ac:dyDescent="0.3">
      <c r="B37" s="7">
        <v>2131.9</v>
      </c>
      <c r="C37" s="8">
        <v>3.09551E-12</v>
      </c>
      <c r="D37" s="1">
        <v>2.58801E-12</v>
      </c>
      <c r="E37" s="1">
        <v>5.0750000000000001E-13</v>
      </c>
      <c r="F37" s="1">
        <v>6.3117999999999994E-14</v>
      </c>
      <c r="G37" s="1">
        <v>2.7753999999999999E-17</v>
      </c>
      <c r="H37" s="1">
        <v>2.7716999999999999E-11</v>
      </c>
      <c r="I37" s="1">
        <v>9.9257999999999997E-11</v>
      </c>
      <c r="J37" s="1">
        <v>1.1666000000000001E-12</v>
      </c>
      <c r="K37" s="1"/>
      <c r="L37" s="1"/>
      <c r="N37" s="7"/>
      <c r="O37">
        <f t="shared" si="4"/>
        <v>35.531666666666666</v>
      </c>
      <c r="P37" s="6">
        <f t="shared" si="5"/>
        <v>103.09429777722816</v>
      </c>
      <c r="Q37" s="6">
        <f t="shared" si="0"/>
        <v>21.812385215337148</v>
      </c>
      <c r="R37" s="6">
        <f t="shared" si="1"/>
        <v>77.935390234299007</v>
      </c>
      <c r="S37" s="56">
        <f t="shared" si="2"/>
        <v>0.91599065893860931</v>
      </c>
      <c r="T37" s="6">
        <f t="shared" si="6"/>
        <v>2.4305316686533978</v>
      </c>
      <c r="U37" s="1">
        <f t="shared" si="6"/>
        <v>2.032052961803283</v>
      </c>
      <c r="V37" s="1">
        <f t="shared" si="6"/>
        <v>0.39847870685011499</v>
      </c>
      <c r="X37" s="5"/>
      <c r="Y37" s="5"/>
      <c r="Z37" s="76" t="s">
        <v>144</v>
      </c>
      <c r="AA37" s="73"/>
      <c r="AB37" s="74"/>
      <c r="AC37" s="75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x14ac:dyDescent="0.3">
      <c r="B38" s="7">
        <v>2238</v>
      </c>
      <c r="C38" s="8">
        <v>2.5697900000000001E-12</v>
      </c>
      <c r="D38" s="1">
        <v>2.1484800000000002E-12</v>
      </c>
      <c r="E38" s="1">
        <v>4.2131E-13</v>
      </c>
      <c r="F38" s="1">
        <v>5.2398000000000003E-14</v>
      </c>
      <c r="G38" s="1">
        <v>2.3069E-17</v>
      </c>
      <c r="H38" s="1">
        <v>2.7834000000000001E-11</v>
      </c>
      <c r="I38" s="1">
        <v>9.9677999999999994E-11</v>
      </c>
      <c r="J38" s="1">
        <v>1.1715E-12</v>
      </c>
      <c r="K38" s="1"/>
      <c r="L38" s="1"/>
      <c r="N38" s="7"/>
      <c r="O38">
        <f t="shared" si="4"/>
        <v>37.299999999999997</v>
      </c>
      <c r="P38" s="6">
        <f t="shared" si="5"/>
        <v>103.09858117992108</v>
      </c>
      <c r="Q38" s="6">
        <f t="shared" si="0"/>
        <v>21.895834115758888</v>
      </c>
      <c r="R38" s="6">
        <f t="shared" si="1"/>
        <v>78.265162037263153</v>
      </c>
      <c r="S38" s="56">
        <f t="shared" si="2"/>
        <v>0.91983803955647236</v>
      </c>
      <c r="T38" s="6">
        <f t="shared" si="6"/>
        <v>2.0177469873425755</v>
      </c>
      <c r="U38" s="1">
        <f t="shared" si="6"/>
        <v>1.6869429203809561</v>
      </c>
      <c r="V38" s="1">
        <f t="shared" si="6"/>
        <v>0.33080406696161962</v>
      </c>
      <c r="X38" s="5"/>
      <c r="Y38" s="5"/>
      <c r="Z38" s="76" t="s">
        <v>145</v>
      </c>
      <c r="AA38" s="73"/>
      <c r="AB38" s="74"/>
      <c r="AC38" s="75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x14ac:dyDescent="0.3">
      <c r="B39" s="7">
        <v>2344.1999999999998</v>
      </c>
      <c r="C39" s="8">
        <v>2.1333999999999998E-12</v>
      </c>
      <c r="D39" s="1">
        <v>1.7836399999999999E-12</v>
      </c>
      <c r="E39" s="1">
        <v>3.4976000000000002E-13</v>
      </c>
      <c r="F39" s="1">
        <v>4.3499000000000001E-14</v>
      </c>
      <c r="G39" s="1">
        <v>1.9162E-17</v>
      </c>
      <c r="H39" s="1">
        <v>2.7931E-11</v>
      </c>
      <c r="I39" s="1">
        <v>1.0003E-10</v>
      </c>
      <c r="J39" s="1">
        <v>1.1756E-12</v>
      </c>
      <c r="K39" s="1"/>
      <c r="L39" s="1"/>
      <c r="N39" s="7"/>
      <c r="O39">
        <f t="shared" si="4"/>
        <v>39.07</v>
      </c>
      <c r="P39" s="6">
        <f t="shared" si="5"/>
        <v>103.10471115100069</v>
      </c>
      <c r="Q39" s="6">
        <f t="shared" si="0"/>
        <v>21.965009234088345</v>
      </c>
      <c r="R39" s="6">
        <f t="shared" si="1"/>
        <v>78.541542230277798</v>
      </c>
      <c r="S39" s="5">
        <f t="shared" si="2"/>
        <v>0.92305727639999047</v>
      </c>
      <c r="T39" s="6">
        <f t="shared" si="6"/>
        <v>1.675102410234552</v>
      </c>
      <c r="U39" s="1">
        <f t="shared" si="6"/>
        <v>1.4004779520909145</v>
      </c>
      <c r="V39" s="1">
        <f t="shared" si="6"/>
        <v>0.2746244581436379</v>
      </c>
      <c r="X39" s="5"/>
      <c r="Y39" s="5"/>
      <c r="Z39" s="76" t="s">
        <v>146</v>
      </c>
      <c r="AA39" s="73"/>
      <c r="AB39" s="74"/>
      <c r="AC39" s="75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x14ac:dyDescent="0.3">
      <c r="B40" s="7">
        <v>2450.4</v>
      </c>
      <c r="C40" s="8">
        <v>1.7710699999999998E-12</v>
      </c>
      <c r="D40" s="1">
        <v>1.4807099999999999E-12</v>
      </c>
      <c r="E40" s="1">
        <v>2.9035999999999999E-13</v>
      </c>
      <c r="F40" s="1">
        <v>3.6112000000000003E-14</v>
      </c>
      <c r="G40" s="1">
        <v>1.5879999999999999E-17</v>
      </c>
      <c r="H40" s="1">
        <v>2.8012E-11</v>
      </c>
      <c r="I40" s="1">
        <v>1.0031E-10</v>
      </c>
      <c r="J40" s="1">
        <v>1.1789999999999999E-12</v>
      </c>
      <c r="K40" s="1"/>
      <c r="L40" s="1"/>
      <c r="N40" s="7"/>
      <c r="O40">
        <f t="shared" si="4"/>
        <v>40.840000000000003</v>
      </c>
      <c r="P40" s="6">
        <f t="shared" si="5"/>
        <v>103.10053377348061</v>
      </c>
      <c r="Q40" s="6">
        <f t="shared" si="0"/>
        <v>22.022808668664418</v>
      </c>
      <c r="R40" s="6">
        <f t="shared" si="1"/>
        <v>78.761389974338726</v>
      </c>
      <c r="S40" s="5">
        <f t="shared" si="2"/>
        <v>0.92572688744095677</v>
      </c>
      <c r="T40" s="6">
        <f t="shared" si="6"/>
        <v>1.3906082430365185</v>
      </c>
      <c r="U40" s="1">
        <f t="shared" si="6"/>
        <v>1.1626234601379974</v>
      </c>
      <c r="V40" s="1">
        <f t="shared" si="6"/>
        <v>0.22798478289852098</v>
      </c>
      <c r="X40" s="5"/>
      <c r="Y40" s="5"/>
      <c r="Z40" s="72"/>
      <c r="AA40" s="73"/>
      <c r="AB40" s="74"/>
      <c r="AC40" s="75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x14ac:dyDescent="0.3">
      <c r="B41" s="7">
        <v>2556.5</v>
      </c>
      <c r="C41" s="8">
        <v>1.4702149999999999E-12</v>
      </c>
      <c r="D41" s="1">
        <v>1.229175E-12</v>
      </c>
      <c r="E41" s="1">
        <v>2.4104E-13</v>
      </c>
      <c r="F41" s="1">
        <v>2.9978999999999999E-14</v>
      </c>
      <c r="G41" s="1">
        <v>1.3175E-17</v>
      </c>
      <c r="H41" s="1">
        <v>2.8078999999999999E-11</v>
      </c>
      <c r="I41" s="1">
        <v>1.0055E-10</v>
      </c>
      <c r="J41" s="1">
        <v>1.1818000000000001E-12</v>
      </c>
      <c r="K41" s="1"/>
      <c r="L41" s="1"/>
      <c r="N41" s="7"/>
      <c r="O41">
        <f t="shared" si="4"/>
        <v>42.608333333333334</v>
      </c>
      <c r="P41" s="6">
        <f t="shared" si="5"/>
        <v>103.10273957493629</v>
      </c>
      <c r="Q41" s="6">
        <f t="shared" si="0"/>
        <v>22.070600202555742</v>
      </c>
      <c r="R41" s="6">
        <f t="shared" si="1"/>
        <v>78.949830982731086</v>
      </c>
      <c r="S41" s="5">
        <f t="shared" si="2"/>
        <v>0.92792539065116442</v>
      </c>
      <c r="T41" s="6">
        <f t="shared" si="6"/>
        <v>1.154382998998309</v>
      </c>
      <c r="U41" s="1">
        <f t="shared" si="6"/>
        <v>0.96512327978815782</v>
      </c>
      <c r="V41" s="1">
        <f t="shared" si="6"/>
        <v>0.18925971921015117</v>
      </c>
      <c r="X41" s="5"/>
      <c r="Y41" s="5"/>
      <c r="Z41" s="72"/>
      <c r="AA41" s="73"/>
      <c r="AB41" s="74"/>
      <c r="AC41" s="75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2662.7</v>
      </c>
      <c r="C42" s="8">
        <v>1.220561E-12</v>
      </c>
      <c r="D42" s="1">
        <v>1.0204509999999999E-12</v>
      </c>
      <c r="E42" s="1">
        <v>2.0010999999999999E-13</v>
      </c>
      <c r="F42" s="1">
        <v>2.4886999999999999E-14</v>
      </c>
      <c r="G42" s="1">
        <v>1.0954E-17</v>
      </c>
      <c r="H42" s="1">
        <v>2.8133999999999999E-11</v>
      </c>
      <c r="I42" s="1">
        <v>1.0075E-10</v>
      </c>
      <c r="J42" s="1">
        <v>1.1841E-12</v>
      </c>
      <c r="K42" s="1"/>
      <c r="L42" s="1"/>
      <c r="N42" s="7"/>
      <c r="O42">
        <f t="shared" si="4"/>
        <v>44.37833333333333</v>
      </c>
      <c r="P42" s="6">
        <f t="shared" si="5"/>
        <v>103.10474318005174</v>
      </c>
      <c r="Q42" s="6">
        <f t="shared" si="0"/>
        <v>22.109786951918256</v>
      </c>
      <c r="R42" s="6">
        <f t="shared" si="1"/>
        <v>79.106865182433182</v>
      </c>
      <c r="S42" s="5">
        <f t="shared" si="2"/>
        <v>0.92973130400240622</v>
      </c>
      <c r="T42" s="6">
        <f t="shared" si="6"/>
        <v>0.95835974169789806</v>
      </c>
      <c r="U42" s="1">
        <f t="shared" si="6"/>
        <v>0.80123742834267331</v>
      </c>
      <c r="V42" s="1">
        <f t="shared" si="6"/>
        <v>0.15712231335522467</v>
      </c>
      <c r="X42" s="5"/>
      <c r="Y42" s="5"/>
      <c r="Z42" s="77" t="s">
        <v>141</v>
      </c>
      <c r="AA42" s="78" t="s">
        <v>136</v>
      </c>
      <c r="AB42" s="79"/>
      <c r="AC42" s="80">
        <v>0.21169843090419699</v>
      </c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2768.9</v>
      </c>
      <c r="C43" s="8">
        <v>1.01327E-12</v>
      </c>
      <c r="D43" s="8">
        <v>8.4714999999999998E-13</v>
      </c>
      <c r="E43" s="8">
        <v>1.6612E-13</v>
      </c>
      <c r="F43" s="1">
        <v>2.0661E-14</v>
      </c>
      <c r="G43" s="1">
        <v>9.0828999999999996E-18</v>
      </c>
      <c r="H43" s="1">
        <v>2.818E-11</v>
      </c>
      <c r="I43" s="1">
        <v>1.0092E-10</v>
      </c>
      <c r="J43" s="1">
        <v>1.186E-12</v>
      </c>
      <c r="K43" s="1"/>
      <c r="L43" s="1"/>
      <c r="N43" s="7"/>
      <c r="O43">
        <f t="shared" si="4"/>
        <v>46.148333333333333</v>
      </c>
      <c r="P43" s="6">
        <f t="shared" si="5"/>
        <v>103.1097535130415</v>
      </c>
      <c r="Q43" s="6">
        <f t="shared" si="0"/>
        <v>22.142587049455116</v>
      </c>
      <c r="R43" s="6">
        <f t="shared" si="1"/>
        <v>79.240344265331728</v>
      </c>
      <c r="S43" s="5">
        <f t="shared" si="2"/>
        <v>0.93122314546647567</v>
      </c>
      <c r="T43" s="6">
        <f t="shared" si="6"/>
        <v>0.79559905278820886</v>
      </c>
      <c r="U43" s="1">
        <f t="shared" si="6"/>
        <v>0.6651649980454678</v>
      </c>
      <c r="V43" s="1">
        <f t="shared" si="6"/>
        <v>0.13043405474274108</v>
      </c>
      <c r="X43" s="5"/>
      <c r="Y43" s="5"/>
      <c r="Z43" s="81"/>
      <c r="AA43" s="82" t="s">
        <v>137</v>
      </c>
      <c r="AB43" s="79"/>
      <c r="AC43" s="80">
        <v>22.311513705628499</v>
      </c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2875</v>
      </c>
      <c r="C44" s="8">
        <v>8.4118499999999991E-13</v>
      </c>
      <c r="D44" s="8">
        <v>7.0327499999999995E-13</v>
      </c>
      <c r="E44" s="8">
        <v>1.3790999999999999E-13</v>
      </c>
      <c r="F44" s="1">
        <v>1.7152000000000001E-14</v>
      </c>
      <c r="G44" s="1">
        <v>7.5417999999999994E-18</v>
      </c>
      <c r="H44" s="1">
        <v>2.8218999999999998E-11</v>
      </c>
      <c r="I44" s="1">
        <v>1.0106E-10</v>
      </c>
      <c r="J44" s="1">
        <v>1.1875999999999999E-12</v>
      </c>
      <c r="K44" s="1"/>
      <c r="L44" s="1"/>
      <c r="N44" s="7"/>
      <c r="O44">
        <f t="shared" si="4"/>
        <v>47.916666666666664</v>
      </c>
      <c r="P44" s="6">
        <f t="shared" si="5"/>
        <v>103.11368291266902</v>
      </c>
      <c r="Q44" s="6">
        <f t="shared" si="0"/>
        <v>22.170453862824214</v>
      </c>
      <c r="R44" s="6">
        <f t="shared" si="1"/>
        <v>79.350268215801648</v>
      </c>
      <c r="S44" s="5">
        <f t="shared" si="2"/>
        <v>0.93247943301516567</v>
      </c>
      <c r="T44" s="6">
        <f t="shared" ref="T44:V58" si="7">C44/$A$1*100</f>
        <v>0.66048140102800779</v>
      </c>
      <c r="U44" s="1">
        <f t="shared" si="7"/>
        <v>0.5521972661281076</v>
      </c>
      <c r="V44" s="1">
        <f t="shared" si="7"/>
        <v>0.10828413489990021</v>
      </c>
      <c r="X44" s="5"/>
      <c r="Y44" s="5"/>
      <c r="Z44" s="81"/>
      <c r="AA44" s="82" t="s">
        <v>138</v>
      </c>
      <c r="AB44" s="79"/>
      <c r="AC44" s="80">
        <v>7.4100832242758499E-2</v>
      </c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2981.2</v>
      </c>
      <c r="C45" s="8">
        <v>6.9832799999999997E-13</v>
      </c>
      <c r="D45" s="8">
        <v>5.8383799999999992E-13</v>
      </c>
      <c r="E45" s="8">
        <v>1.1449E-13</v>
      </c>
      <c r="F45" s="1">
        <v>1.4239000000000001E-14</v>
      </c>
      <c r="G45" s="1">
        <v>6.2728000000000002E-18</v>
      </c>
      <c r="H45" s="1">
        <v>2.8249999999999999E-11</v>
      </c>
      <c r="I45" s="1">
        <v>1.0117E-10</v>
      </c>
      <c r="J45" s="8">
        <v>1.1888999999999999E-12</v>
      </c>
      <c r="K45" s="1"/>
      <c r="L45" s="1"/>
      <c r="N45" s="7"/>
      <c r="O45">
        <f t="shared" si="4"/>
        <v>49.68666666666666</v>
      </c>
      <c r="P45" s="6">
        <f t="shared" si="5"/>
        <v>103.11095734265476</v>
      </c>
      <c r="Q45" s="6">
        <f t="shared" si="0"/>
        <v>22.19250720556175</v>
      </c>
      <c r="R45" s="6">
        <f t="shared" si="1"/>
        <v>79.436636988381011</v>
      </c>
      <c r="S45" s="5">
        <f t="shared" si="2"/>
        <v>0.93350016664847624</v>
      </c>
      <c r="T45" s="6">
        <f t="shared" si="7"/>
        <v>0.54831298206350165</v>
      </c>
      <c r="U45" s="1">
        <f t="shared" si="7"/>
        <v>0.45841775615755154</v>
      </c>
      <c r="V45" s="1">
        <f t="shared" si="7"/>
        <v>8.9895225905950074E-2</v>
      </c>
      <c r="X45" s="5"/>
      <c r="Y45" s="5"/>
      <c r="Z45" s="81"/>
      <c r="AA45" s="82" t="s">
        <v>139</v>
      </c>
      <c r="AB45" s="79"/>
      <c r="AC45" s="80">
        <v>29.919337626903499</v>
      </c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>
        <v>3087.4</v>
      </c>
      <c r="C46" s="8">
        <v>5.7972000000000008E-13</v>
      </c>
      <c r="D46" s="8">
        <v>4.8467600000000002E-13</v>
      </c>
      <c r="E46" s="8">
        <v>9.5044000000000004E-14</v>
      </c>
      <c r="F46" s="1">
        <v>1.1821E-14</v>
      </c>
      <c r="G46" s="1">
        <v>5.1964000000000003E-18</v>
      </c>
      <c r="H46" s="1">
        <v>2.8277000000000002E-11</v>
      </c>
      <c r="I46" s="1">
        <v>1.0127E-10</v>
      </c>
      <c r="J46" s="8">
        <v>1.1900999999999999E-12</v>
      </c>
      <c r="K46" s="1"/>
      <c r="L46" s="1"/>
      <c r="N46" s="7"/>
      <c r="O46">
        <f t="shared" si="4"/>
        <v>51.456666666666671</v>
      </c>
      <c r="P46" s="6">
        <f t="shared" si="5"/>
        <v>103.11658937678374</v>
      </c>
      <c r="Q46" s="6">
        <f t="shared" si="0"/>
        <v>22.211808493387935</v>
      </c>
      <c r="R46" s="6">
        <f t="shared" si="1"/>
        <v>79.515154115006695</v>
      </c>
      <c r="S46" s="5">
        <f t="shared" si="2"/>
        <v>0.93444238230999377</v>
      </c>
      <c r="T46" s="6">
        <f t="shared" si="7"/>
        <v>0.45518438607911077</v>
      </c>
      <c r="U46" s="1">
        <f t="shared" si="7"/>
        <v>0.38055776496805194</v>
      </c>
      <c r="V46" s="1">
        <f t="shared" si="7"/>
        <v>7.4626621111058791E-2</v>
      </c>
      <c r="X46" s="5"/>
      <c r="Y46" s="5"/>
      <c r="Z46" s="81"/>
      <c r="AA46" s="82" t="s">
        <v>140</v>
      </c>
      <c r="AB46" s="79"/>
      <c r="AC46" s="80">
        <v>0.104343142647616</v>
      </c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3193.6</v>
      </c>
      <c r="C47" s="8">
        <v>4.8126600000000004E-13</v>
      </c>
      <c r="D47" s="8">
        <v>4.0236300000000003E-13</v>
      </c>
      <c r="E47" s="8">
        <v>7.8903E-14</v>
      </c>
      <c r="F47" s="1">
        <v>9.8131999999999994E-15</v>
      </c>
      <c r="G47" s="1">
        <v>4.3106999999999997E-18</v>
      </c>
      <c r="H47" s="1">
        <v>2.8299E-11</v>
      </c>
      <c r="I47" s="1">
        <v>1.0134E-10</v>
      </c>
      <c r="J47" s="8">
        <v>1.1910000000000001E-12</v>
      </c>
      <c r="K47" s="1"/>
      <c r="L47" s="1"/>
      <c r="N47" s="7"/>
      <c r="O47">
        <f t="shared" si="4"/>
        <v>53.226666666666667</v>
      </c>
      <c r="P47" s="6">
        <f t="shared" si="5"/>
        <v>103.11065130935901</v>
      </c>
      <c r="Q47" s="6">
        <f t="shared" si="0"/>
        <v>22.227505963344761</v>
      </c>
      <c r="R47" s="6">
        <f t="shared" si="1"/>
        <v>79.570115999828204</v>
      </c>
      <c r="S47" s="5">
        <f t="shared" si="2"/>
        <v>0.93514904405613208</v>
      </c>
      <c r="T47" s="6">
        <f t="shared" si="7"/>
        <v>0.37788030212990636</v>
      </c>
      <c r="U47" s="1">
        <f t="shared" si="7"/>
        <v>0.31592726684597605</v>
      </c>
      <c r="V47" s="1">
        <f t="shared" si="7"/>
        <v>6.1953035283930286E-2</v>
      </c>
      <c r="X47" s="5"/>
      <c r="Y47" s="5"/>
      <c r="Z47" s="81"/>
      <c r="AA47" s="103" t="s">
        <v>151</v>
      </c>
      <c r="AB47" s="85"/>
      <c r="AC47" s="91">
        <v>48.996347239784903</v>
      </c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8.75" x14ac:dyDescent="0.3">
      <c r="B48" s="7">
        <v>3299.7</v>
      </c>
      <c r="C48" s="8">
        <v>3.9953799999999999E-13</v>
      </c>
      <c r="D48" s="8">
        <v>3.34035E-13</v>
      </c>
      <c r="E48" s="8">
        <v>6.5503000000000001E-14</v>
      </c>
      <c r="F48" s="1">
        <v>8.1466000000000003E-15</v>
      </c>
      <c r="G48" s="1">
        <v>3.5914E-18</v>
      </c>
      <c r="H48" s="1">
        <v>2.8316999999999999E-11</v>
      </c>
      <c r="I48" s="1">
        <v>1.0141E-10</v>
      </c>
      <c r="J48" s="8">
        <v>1.1917000000000001E-12</v>
      </c>
      <c r="K48" s="1"/>
      <c r="L48" s="1"/>
      <c r="N48" s="7"/>
      <c r="O48">
        <f t="shared" si="4"/>
        <v>54.994999999999997</v>
      </c>
      <c r="P48" s="6">
        <f t="shared" si="5"/>
        <v>103.11481643705474</v>
      </c>
      <c r="Q48" s="6">
        <f t="shared" si="0"/>
        <v>22.240330617749621</v>
      </c>
      <c r="R48" s="6">
        <f t="shared" si="1"/>
        <v>79.625078015303629</v>
      </c>
      <c r="S48" s="5">
        <f t="shared" si="2"/>
        <v>0.93569866985868388</v>
      </c>
      <c r="T48" s="6">
        <f t="shared" si="7"/>
        <v>0.3137091341428202</v>
      </c>
      <c r="U48" s="1">
        <f t="shared" si="7"/>
        <v>0.2622775070791688</v>
      </c>
      <c r="V48" s="1">
        <f t="shared" si="7"/>
        <v>5.1431627063651397E-2</v>
      </c>
      <c r="X48" s="5"/>
      <c r="Y48" s="5"/>
      <c r="Z48" s="81"/>
      <c r="AA48" s="103" t="s">
        <v>152</v>
      </c>
      <c r="AB48" s="85"/>
      <c r="AC48" s="91">
        <v>-29.919337626903499</v>
      </c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 ht="18.75" x14ac:dyDescent="0.3">
      <c r="B49">
        <v>3405.9</v>
      </c>
      <c r="C49">
        <v>3.3167700000000004E-13</v>
      </c>
      <c r="D49">
        <v>2.7729900000000002E-13</v>
      </c>
      <c r="E49">
        <v>5.4377999999999998E-14</v>
      </c>
      <c r="F49" s="1">
        <v>6.7629999999999997E-15</v>
      </c>
      <c r="G49" s="1">
        <v>2.9805E-18</v>
      </c>
      <c r="H49" s="1">
        <v>2.8331999999999998E-11</v>
      </c>
      <c r="I49" s="1">
        <v>1.0146E-10</v>
      </c>
      <c r="J49" s="1">
        <v>1.1924E-12</v>
      </c>
      <c r="N49" s="7"/>
      <c r="O49">
        <f t="shared" si="4"/>
        <v>56.765000000000001</v>
      </c>
      <c r="P49" s="6">
        <f t="shared" si="5"/>
        <v>103.11203280936026</v>
      </c>
      <c r="Q49" s="6">
        <f t="shared" si="0"/>
        <v>22.251021938860855</v>
      </c>
      <c r="R49" s="6">
        <f t="shared" si="1"/>
        <v>79.664336521533912</v>
      </c>
      <c r="S49" s="5">
        <f t="shared" si="2"/>
        <v>0.93624829566123569</v>
      </c>
      <c r="T49" s="6">
        <f t="shared" si="7"/>
        <v>0.26042605330428692</v>
      </c>
      <c r="U49" s="1">
        <f t="shared" si="7"/>
        <v>0.21772955060262081</v>
      </c>
      <c r="V49" s="1">
        <f t="shared" si="7"/>
        <v>4.2696502701666118E-2</v>
      </c>
      <c r="X49" s="5"/>
      <c r="Y49" s="5"/>
      <c r="Z49" s="81"/>
      <c r="AA49" s="103" t="s">
        <v>153</v>
      </c>
      <c r="AB49" s="85"/>
      <c r="AC49" s="91">
        <v>2.1350903130072099</v>
      </c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 ht="18.75" x14ac:dyDescent="0.3">
      <c r="B50">
        <v>3512.1</v>
      </c>
      <c r="C50">
        <v>2.7535400000000002E-13</v>
      </c>
      <c r="D50">
        <v>2.3021100000000001E-13</v>
      </c>
      <c r="E50">
        <v>4.5143E-14</v>
      </c>
      <c r="F50" s="1">
        <v>5.6145E-15</v>
      </c>
      <c r="G50" s="1">
        <v>2.4683999999999999E-18</v>
      </c>
      <c r="H50" s="1">
        <v>2.8344000000000001E-11</v>
      </c>
      <c r="I50" s="1">
        <v>1.0150999999999999E-10</v>
      </c>
      <c r="J50" s="1">
        <v>1.1929000000000001E-12</v>
      </c>
      <c r="N50" s="7"/>
      <c r="O50">
        <f t="shared" si="4"/>
        <v>58.534999999999997</v>
      </c>
      <c r="P50" s="6">
        <f t="shared" si="5"/>
        <v>103.11598068348135</v>
      </c>
      <c r="Q50" s="6">
        <f t="shared" si="0"/>
        <v>22.259542316569991</v>
      </c>
      <c r="R50" s="6">
        <f t="shared" si="1"/>
        <v>79.703595105339929</v>
      </c>
      <c r="S50" s="5">
        <f t="shared" si="2"/>
        <v>0.93664088552020153</v>
      </c>
      <c r="T50" s="6">
        <f t="shared" si="7"/>
        <v>0.21620237605124451</v>
      </c>
      <c r="U50" s="1">
        <f t="shared" si="7"/>
        <v>0.18075700804467354</v>
      </c>
      <c r="V50" s="1">
        <f t="shared" si="7"/>
        <v>3.5445368006570922E-2</v>
      </c>
      <c r="X50" s="5"/>
      <c r="Y50" s="5"/>
      <c r="Z50" s="81"/>
      <c r="AA50" s="103" t="s">
        <v>154</v>
      </c>
      <c r="AB50" s="85"/>
      <c r="AC50" s="91">
        <v>-0.104343142647616</v>
      </c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 x14ac:dyDescent="0.3">
      <c r="B51">
        <v>3618.2</v>
      </c>
      <c r="C51">
        <v>2.2858999999999999E-13</v>
      </c>
      <c r="D51">
        <v>1.9111399999999999E-13</v>
      </c>
      <c r="E51">
        <v>3.7476000000000002E-14</v>
      </c>
      <c r="F51" s="1">
        <v>4.6608999999999997E-15</v>
      </c>
      <c r="G51" s="1">
        <v>2.0549000000000001E-18</v>
      </c>
      <c r="H51" s="1">
        <v>2.8354999999999999E-11</v>
      </c>
      <c r="I51" s="1">
        <v>1.0155E-10</v>
      </c>
      <c r="J51" s="1">
        <v>1.1933E-12</v>
      </c>
      <c r="N51" s="7"/>
      <c r="O51">
        <f t="shared" si="4"/>
        <v>60.303333333333327</v>
      </c>
      <c r="P51" s="6">
        <f t="shared" si="5"/>
        <v>103.11887170460285</v>
      </c>
      <c r="Q51" s="6">
        <f t="shared" si="0"/>
        <v>22.267430546088214</v>
      </c>
      <c r="R51" s="6">
        <f t="shared" si="1"/>
        <v>79.735001969385365</v>
      </c>
      <c r="S51" s="5">
        <f t="shared" si="2"/>
        <v>0.93695495740737378</v>
      </c>
      <c r="T51" s="6">
        <f t="shared" si="7"/>
        <v>0.17948423172190697</v>
      </c>
      <c r="U51" s="1">
        <f t="shared" si="7"/>
        <v>0.15005883661271502</v>
      </c>
      <c r="V51" s="1">
        <f t="shared" si="7"/>
        <v>2.9425395109191944E-2</v>
      </c>
      <c r="X51" s="5"/>
      <c r="Y51" s="5"/>
      <c r="Z51" s="81"/>
      <c r="AA51" s="101"/>
      <c r="AB51" s="83"/>
      <c r="AC51" s="89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 ht="18.75" x14ac:dyDescent="0.3">
      <c r="B52">
        <v>3724.4</v>
      </c>
      <c r="C52">
        <v>1.89765E-13</v>
      </c>
      <c r="D52">
        <v>1.58653E-13</v>
      </c>
      <c r="E52">
        <v>3.1111999999999999E-14</v>
      </c>
      <c r="F52" s="1">
        <v>3.8694000000000001E-15</v>
      </c>
      <c r="G52" s="1">
        <v>1.7084000000000001E-18</v>
      </c>
      <c r="H52" s="1">
        <v>2.8362999999999999E-11</v>
      </c>
      <c r="I52" s="1">
        <v>1.0158E-10</v>
      </c>
      <c r="J52" s="1">
        <v>1.1937000000000001E-12</v>
      </c>
      <c r="N52" s="7"/>
      <c r="O52">
        <f t="shared" si="4"/>
        <v>62.073333333333338</v>
      </c>
      <c r="P52" s="6">
        <f t="shared" si="5"/>
        <v>103.1179162614112</v>
      </c>
      <c r="Q52" s="6">
        <f t="shared" si="0"/>
        <v>22.273090514084924</v>
      </c>
      <c r="R52" s="6">
        <f t="shared" si="1"/>
        <v>79.758557088858538</v>
      </c>
      <c r="S52" s="5">
        <f t="shared" si="2"/>
        <v>0.93726902929454647</v>
      </c>
      <c r="T52" s="6">
        <f t="shared" si="7"/>
        <v>0.14899962917322576</v>
      </c>
      <c r="U52" s="1">
        <f t="shared" si="7"/>
        <v>0.12457111778894836</v>
      </c>
      <c r="V52" s="1">
        <f t="shared" si="7"/>
        <v>2.4428511384277391E-2</v>
      </c>
      <c r="X52" s="5"/>
      <c r="Y52" s="5"/>
      <c r="Z52" s="77" t="s">
        <v>142</v>
      </c>
      <c r="AA52" s="102" t="s">
        <v>136</v>
      </c>
      <c r="AB52" s="83"/>
      <c r="AC52" s="90">
        <v>6.3566618290629899E-12</v>
      </c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 ht="18.75" x14ac:dyDescent="0.3">
      <c r="B53">
        <v>3830.6</v>
      </c>
      <c r="C53">
        <v>1.5753800000000001E-13</v>
      </c>
      <c r="D53">
        <v>1.3171E-13</v>
      </c>
      <c r="E53">
        <v>2.5827999999999999E-14</v>
      </c>
      <c r="F53" s="1">
        <v>3.2122E-15</v>
      </c>
      <c r="G53" s="1">
        <v>1.4175E-18</v>
      </c>
      <c r="H53" s="1">
        <v>2.8371E-11</v>
      </c>
      <c r="I53" s="1">
        <v>1.016E-10</v>
      </c>
      <c r="J53" s="1">
        <v>1.194E-12</v>
      </c>
      <c r="N53" s="7"/>
      <c r="O53">
        <f t="shared" si="4"/>
        <v>63.843333333333334</v>
      </c>
      <c r="P53" s="6">
        <f t="shared" si="5"/>
        <v>103.1143166121395</v>
      </c>
      <c r="Q53" s="6">
        <f t="shared" si="0"/>
        <v>22.278855931717747</v>
      </c>
      <c r="R53" s="6">
        <f t="shared" si="1"/>
        <v>79.77426045480837</v>
      </c>
      <c r="S53" s="5">
        <f t="shared" si="2"/>
        <v>0.9375045832099258</v>
      </c>
      <c r="T53" s="6">
        <f t="shared" si="7"/>
        <v>0.12369564240345501</v>
      </c>
      <c r="U53" s="1">
        <f t="shared" si="7"/>
        <v>0.1034160206487264</v>
      </c>
      <c r="V53" s="1">
        <f t="shared" si="7"/>
        <v>2.0279621754728611E-2</v>
      </c>
      <c r="X53" s="5"/>
      <c r="Y53" s="5"/>
      <c r="Z53" s="81"/>
      <c r="AA53" s="102" t="s">
        <v>137</v>
      </c>
      <c r="AB53" s="83"/>
      <c r="AC53" s="90">
        <v>79.912155975237596</v>
      </c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 ht="18.75" x14ac:dyDescent="0.3">
      <c r="B54">
        <v>3936.7</v>
      </c>
      <c r="C54">
        <v>1.307838E-13</v>
      </c>
      <c r="D54">
        <v>1.0934279999999999E-13</v>
      </c>
      <c r="E54">
        <v>2.1441000000000001E-14</v>
      </c>
      <c r="F54" s="1">
        <v>2.6667000000000001E-15</v>
      </c>
      <c r="G54" s="1">
        <v>1.1798000000000001E-18</v>
      </c>
      <c r="H54" s="1">
        <v>2.8377E-11</v>
      </c>
      <c r="I54" s="1">
        <v>1.0161999999999999E-10</v>
      </c>
      <c r="J54" s="1">
        <v>1.1941999999999999E-12</v>
      </c>
      <c r="N54" s="7"/>
      <c r="O54">
        <f t="shared" si="4"/>
        <v>65.611666666666665</v>
      </c>
      <c r="P54" s="6">
        <f t="shared" si="5"/>
        <v>103.11345296336647</v>
      </c>
      <c r="Q54" s="6">
        <f t="shared" si="0"/>
        <v>22.283138694489203</v>
      </c>
      <c r="R54" s="6">
        <f t="shared" si="1"/>
        <v>79.789963862529774</v>
      </c>
      <c r="S54" s="5">
        <f t="shared" si="2"/>
        <v>0.93766161915351187</v>
      </c>
      <c r="T54" s="6">
        <f t="shared" si="7"/>
        <v>0.10268878719397846</v>
      </c>
      <c r="U54" s="1">
        <f t="shared" si="7"/>
        <v>8.5853748861814294E-2</v>
      </c>
      <c r="V54" s="1">
        <f t="shared" si="7"/>
        <v>1.6835038332164171E-2</v>
      </c>
      <c r="X54" s="5"/>
      <c r="Y54" s="5"/>
      <c r="Z54" s="81"/>
      <c r="AA54" s="102" t="s">
        <v>138</v>
      </c>
      <c r="AB54" s="83"/>
      <c r="AC54" s="90">
        <v>-9.6294625577070803E-3</v>
      </c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 ht="18.75" x14ac:dyDescent="0.3">
      <c r="B55">
        <v>4042.9</v>
      </c>
      <c r="C55">
        <v>1.0857150000000001E-13</v>
      </c>
      <c r="D55">
        <v>9.0771500000000009E-14</v>
      </c>
      <c r="E55">
        <v>1.7800000000000001E-14</v>
      </c>
      <c r="F55" s="1">
        <v>2.2137999999999998E-15</v>
      </c>
      <c r="G55" s="1">
        <v>9.8220999999999999E-19</v>
      </c>
      <c r="H55" s="1">
        <v>2.8382000000000001E-11</v>
      </c>
      <c r="I55" s="1">
        <v>1.0164E-10</v>
      </c>
      <c r="J55" s="1">
        <v>1.1944E-12</v>
      </c>
      <c r="N55" s="7"/>
      <c r="O55">
        <f t="shared" si="4"/>
        <v>67.381666666666675</v>
      </c>
      <c r="P55" s="6">
        <f t="shared" si="5"/>
        <v>103.11544308177183</v>
      </c>
      <c r="Q55" s="6">
        <f t="shared" si="0"/>
        <v>22.286708985184607</v>
      </c>
      <c r="R55" s="6">
        <f t="shared" si="1"/>
        <v>79.805667301744748</v>
      </c>
      <c r="S55" s="5">
        <f t="shared" si="2"/>
        <v>0.93781865509709827</v>
      </c>
      <c r="T55" s="6">
        <f t="shared" si="7"/>
        <v>8.5248139745373916E-2</v>
      </c>
      <c r="U55" s="1">
        <f t="shared" si="7"/>
        <v>7.1271940766197472E-2</v>
      </c>
      <c r="V55" s="1">
        <f t="shared" si="7"/>
        <v>1.3976198979176449E-2</v>
      </c>
      <c r="X55" s="5"/>
      <c r="Y55" s="5"/>
      <c r="Z55" s="81"/>
      <c r="AA55" s="102" t="s">
        <v>139</v>
      </c>
      <c r="AB55" s="83"/>
      <c r="AC55" s="90">
        <v>8.9067698721292405</v>
      </c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 ht="18.75" x14ac:dyDescent="0.3">
      <c r="B56">
        <v>4149.1000000000004</v>
      </c>
      <c r="C56">
        <v>9.01331E-14</v>
      </c>
      <c r="D56">
        <v>7.5356100000000002E-14</v>
      </c>
      <c r="E56">
        <v>1.4776999999999999E-14</v>
      </c>
      <c r="F56" s="1">
        <v>1.8378E-15</v>
      </c>
      <c r="G56" s="1">
        <v>8.1610000000000003E-19</v>
      </c>
      <c r="H56" s="1">
        <v>2.8386E-11</v>
      </c>
      <c r="I56" s="1">
        <v>1.0166E-10</v>
      </c>
      <c r="J56" s="1">
        <v>1.1946E-12</v>
      </c>
      <c r="N56" s="7"/>
      <c r="O56">
        <f t="shared" si="4"/>
        <v>69.151666666666671</v>
      </c>
      <c r="P56" s="6">
        <f t="shared" si="5"/>
        <v>103.11967161523452</v>
      </c>
      <c r="Q56" s="6">
        <f t="shared" si="0"/>
        <v>22.289554476482394</v>
      </c>
      <c r="R56" s="6">
        <f t="shared" si="1"/>
        <v>79.821370765677173</v>
      </c>
      <c r="S56" s="5">
        <f t="shared" si="2"/>
        <v>0.93797569104068446</v>
      </c>
      <c r="T56" s="6">
        <f t="shared" si="7"/>
        <v>7.0770682034270158E-2</v>
      </c>
      <c r="U56" s="1">
        <f t="shared" si="7"/>
        <v>5.9168081342399911E-2</v>
      </c>
      <c r="V56" s="1">
        <f t="shared" si="7"/>
        <v>1.1602600691870244E-2</v>
      </c>
      <c r="X56" s="5"/>
      <c r="Y56" s="5"/>
      <c r="Z56" s="81"/>
      <c r="AA56" s="102" t="s">
        <v>140</v>
      </c>
      <c r="AB56" s="83"/>
      <c r="AC56" s="90">
        <v>0.104157451550319</v>
      </c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 ht="18.75" x14ac:dyDescent="0.3">
      <c r="B57">
        <v>4255.2</v>
      </c>
      <c r="C57">
        <v>7.4825100000000006E-14</v>
      </c>
      <c r="D57">
        <v>6.2558100000000002E-14</v>
      </c>
      <c r="E57">
        <v>1.2267E-14</v>
      </c>
      <c r="F57" s="1">
        <v>1.5256999999999999E-15</v>
      </c>
      <c r="G57" s="1">
        <v>6.789E-19</v>
      </c>
      <c r="H57" s="1">
        <v>2.8388999999999999E-11</v>
      </c>
      <c r="I57" s="1">
        <v>1.0167E-10</v>
      </c>
      <c r="J57" s="1">
        <v>1.1946999999999999E-12</v>
      </c>
      <c r="N57" s="7"/>
      <c r="O57">
        <f t="shared" si="4"/>
        <v>70.92</v>
      </c>
      <c r="P57" s="6">
        <f t="shared" si="5"/>
        <v>103.1176927761007</v>
      </c>
      <c r="Q57" s="6">
        <f t="shared" si="0"/>
        <v>22.291664961046216</v>
      </c>
      <c r="R57" s="6">
        <f t="shared" si="1"/>
        <v>79.829222455129823</v>
      </c>
      <c r="S57" s="5">
        <f t="shared" si="2"/>
        <v>0.9380542090124776</v>
      </c>
      <c r="T57" s="6">
        <f t="shared" si="7"/>
        <v>5.8751150912178411E-2</v>
      </c>
      <c r="U57" s="1">
        <f t="shared" si="7"/>
        <v>4.911935131231563E-2</v>
      </c>
      <c r="V57" s="1">
        <f t="shared" si="7"/>
        <v>9.6317995998627809E-3</v>
      </c>
      <c r="X57" s="5"/>
      <c r="Y57" s="5"/>
      <c r="Z57" s="81"/>
      <c r="AA57" s="103" t="s">
        <v>151</v>
      </c>
      <c r="AB57" s="86"/>
      <c r="AC57" s="91">
        <v>-6.8538584052782499</v>
      </c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 ht="18.75" x14ac:dyDescent="0.3">
      <c r="B58">
        <v>4320</v>
      </c>
      <c r="C58">
        <v>6.6764600000000003E-14</v>
      </c>
      <c r="D58">
        <v>5.5818600000000002E-14</v>
      </c>
      <c r="E58">
        <v>1.0946000000000001E-14</v>
      </c>
      <c r="F58" s="1">
        <v>1.3613000000000001E-15</v>
      </c>
      <c r="G58" s="1">
        <v>6.0759000000000002E-19</v>
      </c>
      <c r="H58" s="1">
        <v>2.8391E-11</v>
      </c>
      <c r="I58" s="1">
        <v>1.0167E-10</v>
      </c>
      <c r="J58" s="1">
        <v>1.1947999999999999E-12</v>
      </c>
      <c r="N58" s="7"/>
      <c r="O58" s="51">
        <f t="shared" si="4"/>
        <v>72</v>
      </c>
      <c r="P58" s="52">
        <f t="shared" si="5"/>
        <v>103.11288357285517</v>
      </c>
      <c r="Q58" s="52">
        <f t="shared" si="0"/>
        <v>22.293106236936456</v>
      </c>
      <c r="R58" s="52">
        <f t="shared" si="1"/>
        <v>79.829222399138658</v>
      </c>
      <c r="S58" s="53">
        <f t="shared" si="2"/>
        <v>0.93813272698427075</v>
      </c>
      <c r="T58" s="52">
        <f t="shared" si="7"/>
        <v>5.2422209795793484E-2</v>
      </c>
      <c r="U58" s="54">
        <f t="shared" si="7"/>
        <v>4.3827632603317894E-2</v>
      </c>
      <c r="V58" s="54">
        <f t="shared" si="7"/>
        <v>8.5945771924755849E-3</v>
      </c>
      <c r="X58" s="5"/>
      <c r="Y58" s="5"/>
      <c r="Z58" s="81"/>
      <c r="AA58" s="103" t="s">
        <v>152</v>
      </c>
      <c r="AB58" s="86"/>
      <c r="AC58" s="91">
        <v>-8.9067698721292405</v>
      </c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 ht="18.75" x14ac:dyDescent="0.3">
      <c r="N59" s="7"/>
      <c r="O59" s="1"/>
      <c r="P59" s="6"/>
      <c r="Q59" s="6"/>
      <c r="R59" s="6"/>
      <c r="S59" s="5"/>
      <c r="T59" s="6"/>
      <c r="U59" s="1"/>
      <c r="V59" s="1"/>
      <c r="X59" s="5"/>
      <c r="Y59" s="5"/>
      <c r="Z59" s="81"/>
      <c r="AA59" s="103" t="s">
        <v>153</v>
      </c>
      <c r="AB59" s="86"/>
      <c r="AC59" s="91">
        <v>8.4035968308319795</v>
      </c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 ht="18.75" x14ac:dyDescent="0.3">
      <c r="N60" s="7"/>
      <c r="O60" s="1"/>
      <c r="P60" s="6"/>
      <c r="Q60" s="6"/>
      <c r="R60" s="6"/>
      <c r="S60" s="5"/>
      <c r="T60" s="6"/>
      <c r="U60" s="1"/>
      <c r="V60" s="1"/>
      <c r="X60" s="5"/>
      <c r="Y60" s="5"/>
      <c r="Z60" s="84"/>
      <c r="AA60" s="104" t="s">
        <v>154</v>
      </c>
      <c r="AB60" s="87"/>
      <c r="AC60" s="92">
        <v>-0.104157451550319</v>
      </c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 x14ac:dyDescent="0.3">
      <c r="N61" s="7"/>
      <c r="O61" s="1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 x14ac:dyDescent="0.3">
      <c r="N62" s="7"/>
      <c r="O62" s="1"/>
      <c r="P62" s="6"/>
      <c r="Q62" s="6"/>
      <c r="R62" s="6"/>
      <c r="S62" s="5"/>
      <c r="T62" s="6"/>
      <c r="U62" s="1"/>
      <c r="V62" s="1"/>
      <c r="X62" s="5"/>
      <c r="Y62" s="5"/>
      <c r="Z62" s="5"/>
      <c r="AA62" s="67" t="s">
        <v>148</v>
      </c>
      <c r="AB62" s="95">
        <v>8973.7743828574494</v>
      </c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 x14ac:dyDescent="0.3">
      <c r="N63" s="7"/>
      <c r="O63" s="1"/>
      <c r="P63" s="6"/>
      <c r="Q63" s="6"/>
      <c r="R63" s="6"/>
      <c r="S63" s="5"/>
      <c r="T63" s="6"/>
      <c r="U63" s="1"/>
      <c r="V63" s="1"/>
      <c r="X63" s="5"/>
      <c r="Y63" s="5"/>
      <c r="Z63" s="5"/>
      <c r="AA63" s="67" t="s">
        <v>149</v>
      </c>
      <c r="AB63" s="95">
        <v>9136.6106633089603</v>
      </c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 ht="18.75" x14ac:dyDescent="0.3">
      <c r="N64" s="7"/>
      <c r="O64" s="1"/>
      <c r="P64" s="6"/>
      <c r="Q64" s="6"/>
      <c r="R64" s="6"/>
      <c r="S64" s="5"/>
      <c r="T64" s="6"/>
      <c r="U64" s="1"/>
      <c r="V64" s="1"/>
      <c r="X64" s="5"/>
      <c r="Y64" s="5"/>
      <c r="Z64" s="5"/>
      <c r="AA64" s="66" t="s">
        <v>150</v>
      </c>
      <c r="AB64" s="96">
        <f>AB63/AB62*100</f>
        <v>101.81457961281683</v>
      </c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N65" s="7"/>
      <c r="O65" s="1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N66" s="7"/>
      <c r="O66" s="1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N67" s="7"/>
      <c r="O67" s="1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N68" s="7"/>
      <c r="O68" s="1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N69" s="7"/>
      <c r="O69" s="1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N70" s="7"/>
      <c r="O70" s="1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7.25" thickBot="1" x14ac:dyDescent="0.35">
      <c r="N71" s="7"/>
      <c r="O71" s="1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/>
      <c r="B72" s="8" t="s">
        <v>18</v>
      </c>
      <c r="C72" s="8" t="s">
        <v>18</v>
      </c>
      <c r="D72" s="8" t="s">
        <v>18</v>
      </c>
      <c r="E72" s="1" t="s">
        <v>74</v>
      </c>
      <c r="F72" s="40"/>
      <c r="G72" s="41" t="s">
        <v>75</v>
      </c>
      <c r="H72" s="41" t="s">
        <v>75</v>
      </c>
      <c r="I72" s="42" t="s">
        <v>75</v>
      </c>
      <c r="R72" s="6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/>
      <c r="B73" s="8" t="s">
        <v>73</v>
      </c>
      <c r="C73" s="8" t="s">
        <v>71</v>
      </c>
      <c r="D73" s="8" t="s">
        <v>72</v>
      </c>
      <c r="E73" s="1" t="s">
        <v>71</v>
      </c>
      <c r="F73" s="43"/>
      <c r="G73" s="8" t="s">
        <v>73</v>
      </c>
      <c r="H73" s="8" t="s">
        <v>71</v>
      </c>
      <c r="I73" s="44" t="s">
        <v>72</v>
      </c>
      <c r="R73" s="6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 t="s">
        <v>0</v>
      </c>
      <c r="B74" s="8" t="s">
        <v>95</v>
      </c>
      <c r="C74" s="8" t="s">
        <v>96</v>
      </c>
      <c r="D74" s="8" t="s">
        <v>96</v>
      </c>
      <c r="E74" s="1" t="s">
        <v>96</v>
      </c>
      <c r="F74" s="45" t="str">
        <f>A74</f>
        <v>Time (min)</v>
      </c>
      <c r="G74" s="8" t="str">
        <f>B74</f>
        <v>MW=5.8, sigma_ve=0.1, sigma_le=0, p_ve=1E-8, p_le=7.2E-8, D_gel=9.4E-11, kf_m=1.45, kr_m=6.82, k_decay=2.9E-7, cA+cMA (mol)</v>
      </c>
      <c r="H74" s="8" t="str">
        <f>C74</f>
        <v>MW=5.8, sigma_ve=0.1, sigma_le=0, p_ve=1E-8, p_le=7.2E-8, D_gel=9.4E-11, kf_m=1.45, kr_m=6.82, k_decay=2.9E-7, Concentration (mol)</v>
      </c>
      <c r="I74" s="44" t="str">
        <f>D74</f>
        <v>MW=5.8, sigma_ve=0.1, sigma_le=0, p_ve=1E-8, p_le=7.2E-8, D_gel=9.4E-11, kf_m=1.45, kr_m=6.82, k_decay=2.9E-7, Concentration (mol)</v>
      </c>
      <c r="R74" s="6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0</v>
      </c>
      <c r="B75" s="8">
        <v>1.2102999999999999E-10</v>
      </c>
      <c r="C75" s="8">
        <v>1.2101E-10</v>
      </c>
      <c r="D75" s="8">
        <v>1.9887000000000001E-14</v>
      </c>
      <c r="E75" s="1">
        <v>6.0723000000000003E-12</v>
      </c>
      <c r="F75" s="45">
        <f t="shared" ref="F75:F131" si="8">A75</f>
        <v>0</v>
      </c>
      <c r="G75" s="8">
        <f>H75+I75</f>
        <v>1.2710218700000001E-10</v>
      </c>
      <c r="H75" s="1">
        <f t="shared" ref="H75:H131" si="9">C75+E75</f>
        <v>1.270823E-10</v>
      </c>
      <c r="I75" s="46">
        <f t="shared" ref="I75:I131" si="10">D75</f>
        <v>1.9887000000000001E-14</v>
      </c>
      <c r="R75" s="6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2.2759999999999998</v>
      </c>
      <c r="B76" s="8">
        <v>1.1887E-10</v>
      </c>
      <c r="C76" s="8">
        <v>9.8026000000000001E-11</v>
      </c>
      <c r="D76" s="8">
        <v>2.0842E-11</v>
      </c>
      <c r="E76" s="1">
        <v>6.5310999999999999E-12</v>
      </c>
      <c r="F76" s="45">
        <f t="shared" si="8"/>
        <v>2.2759999999999998</v>
      </c>
      <c r="G76" s="8">
        <f t="shared" ref="G76:G131" si="11">H76+I76</f>
        <v>1.253991E-10</v>
      </c>
      <c r="H76" s="1">
        <f t="shared" si="9"/>
        <v>1.045571E-10</v>
      </c>
      <c r="I76" s="46">
        <f t="shared" si="10"/>
        <v>2.0842E-11</v>
      </c>
      <c r="R76" s="6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4.3239999999999998</v>
      </c>
      <c r="B77" s="8">
        <v>1.1766999999999999E-10</v>
      </c>
      <c r="C77" s="8">
        <v>9.7033999999999995E-11</v>
      </c>
      <c r="D77" s="8">
        <v>2.0631E-11</v>
      </c>
      <c r="E77" s="1">
        <v>7.2029000000000003E-12</v>
      </c>
      <c r="F77" s="45">
        <f t="shared" si="8"/>
        <v>4.3239999999999998</v>
      </c>
      <c r="G77" s="8">
        <f t="shared" si="11"/>
        <v>1.2486790000000001E-10</v>
      </c>
      <c r="H77" s="1">
        <f t="shared" si="9"/>
        <v>1.042369E-10</v>
      </c>
      <c r="I77" s="46">
        <f t="shared" si="10"/>
        <v>2.0631E-11</v>
      </c>
      <c r="R77" s="6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7.3959999999999999</v>
      </c>
      <c r="B78" s="8">
        <v>1.1642E-10</v>
      </c>
      <c r="C78" s="8">
        <v>9.6007999999999996E-11</v>
      </c>
      <c r="D78" s="8">
        <v>2.0412000000000001E-11</v>
      </c>
      <c r="E78" s="1">
        <v>7.7133999999999998E-12</v>
      </c>
      <c r="F78" s="45">
        <f t="shared" si="8"/>
        <v>7.3959999999999999</v>
      </c>
      <c r="G78" s="8">
        <f t="shared" si="11"/>
        <v>1.2413340000000001E-10</v>
      </c>
      <c r="H78" s="1">
        <f t="shared" si="9"/>
        <v>1.037214E-10</v>
      </c>
      <c r="I78" s="46">
        <f t="shared" si="10"/>
        <v>2.0412000000000001E-11</v>
      </c>
      <c r="R78" s="6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9.2392000000000003</v>
      </c>
      <c r="B79" s="8">
        <v>1.1587E-10</v>
      </c>
      <c r="C79" s="8">
        <v>9.5552E-11</v>
      </c>
      <c r="D79" s="8">
        <v>2.0315999999999999E-11</v>
      </c>
      <c r="E79" s="1">
        <v>7.8431999999999995E-12</v>
      </c>
      <c r="F79" s="45">
        <f t="shared" si="8"/>
        <v>9.2392000000000003</v>
      </c>
      <c r="G79" s="8">
        <f t="shared" si="11"/>
        <v>1.237112E-10</v>
      </c>
      <c r="H79" s="1">
        <f t="shared" si="9"/>
        <v>1.0339519999999999E-10</v>
      </c>
      <c r="I79" s="46">
        <f t="shared" si="10"/>
        <v>2.0315999999999999E-11</v>
      </c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11.082000000000001</v>
      </c>
      <c r="B80" s="8">
        <v>1.154E-10</v>
      </c>
      <c r="C80" s="8">
        <v>9.5162999999999997E-11</v>
      </c>
      <c r="D80" s="8">
        <v>2.0233000000000001E-11</v>
      </c>
      <c r="E80" s="1">
        <v>7.9022999999999996E-12</v>
      </c>
      <c r="F80" s="45">
        <f t="shared" si="8"/>
        <v>11.082000000000001</v>
      </c>
      <c r="G80" s="8">
        <f t="shared" si="11"/>
        <v>1.232983E-10</v>
      </c>
      <c r="H80" s="1">
        <f t="shared" si="9"/>
        <v>1.030653E-10</v>
      </c>
      <c r="I80" s="46">
        <f t="shared" si="10"/>
        <v>2.0233000000000001E-11</v>
      </c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12.926</v>
      </c>
      <c r="B81" s="8">
        <v>1.1497E-10</v>
      </c>
      <c r="C81" s="8">
        <v>9.4811000000000002E-11</v>
      </c>
      <c r="D81" s="8">
        <v>2.0158E-11</v>
      </c>
      <c r="E81" s="1">
        <v>7.9222000000000003E-12</v>
      </c>
      <c r="F81" s="45">
        <f t="shared" si="8"/>
        <v>12.926</v>
      </c>
      <c r="G81" s="8">
        <f t="shared" si="11"/>
        <v>1.228912E-10</v>
      </c>
      <c r="H81" s="1">
        <f t="shared" si="9"/>
        <v>1.027332E-10</v>
      </c>
      <c r="I81" s="46">
        <f t="shared" si="10"/>
        <v>2.0158E-11</v>
      </c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14.769</v>
      </c>
      <c r="B82" s="8">
        <v>1.1457E-10</v>
      </c>
      <c r="C82" s="8">
        <v>9.4481999999999997E-11</v>
      </c>
      <c r="D82" s="8">
        <v>2.0088000000000001E-11</v>
      </c>
      <c r="E82" s="1">
        <v>7.9210000000000007E-12</v>
      </c>
      <c r="F82" s="45">
        <f t="shared" si="8"/>
        <v>14.769</v>
      </c>
      <c r="G82" s="8">
        <f t="shared" si="11"/>
        <v>1.2249100000000002E-10</v>
      </c>
      <c r="H82" s="1">
        <f t="shared" si="9"/>
        <v>1.02403E-10</v>
      </c>
      <c r="I82" s="46">
        <f t="shared" si="10"/>
        <v>2.0088000000000001E-11</v>
      </c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16.611999999999998</v>
      </c>
      <c r="B83" s="8">
        <v>1.1419E-10</v>
      </c>
      <c r="C83" s="8">
        <v>9.4166000000000001E-11</v>
      </c>
      <c r="D83" s="8">
        <v>2.0021000000000001E-11</v>
      </c>
      <c r="E83" s="1">
        <v>7.9085999999999996E-12</v>
      </c>
      <c r="F83" s="45">
        <f t="shared" si="8"/>
        <v>16.611999999999998</v>
      </c>
      <c r="G83" s="8">
        <f t="shared" si="11"/>
        <v>1.2209559999999999E-10</v>
      </c>
      <c r="H83" s="1">
        <f t="shared" si="9"/>
        <v>1.020746E-10</v>
      </c>
      <c r="I83" s="46">
        <f t="shared" si="10"/>
        <v>2.0021000000000001E-11</v>
      </c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20.297999999999998</v>
      </c>
      <c r="B84" s="8">
        <v>1.1344E-10</v>
      </c>
      <c r="C84" s="8">
        <v>9.3550000000000003E-11</v>
      </c>
      <c r="D84" s="8">
        <v>1.9889999999999999E-11</v>
      </c>
      <c r="E84" s="1">
        <v>7.8717999999999996E-12</v>
      </c>
      <c r="F84" s="45">
        <f t="shared" si="8"/>
        <v>20.297999999999998</v>
      </c>
      <c r="G84" s="8">
        <f t="shared" si="11"/>
        <v>1.213118E-10</v>
      </c>
      <c r="H84" s="1">
        <f t="shared" si="9"/>
        <v>1.014218E-10</v>
      </c>
      <c r="I84" s="46">
        <f t="shared" si="10"/>
        <v>1.9889999999999999E-11</v>
      </c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27.670999999999999</v>
      </c>
      <c r="B85" s="8">
        <v>1.1201E-10</v>
      </c>
      <c r="C85" s="8">
        <v>9.2367E-11</v>
      </c>
      <c r="D85" s="8">
        <v>1.9637999999999999E-11</v>
      </c>
      <c r="E85" s="1">
        <v>7.7754000000000002E-12</v>
      </c>
      <c r="F85" s="45">
        <f t="shared" si="8"/>
        <v>27.670999999999999</v>
      </c>
      <c r="G85" s="8">
        <f t="shared" si="11"/>
        <v>1.197804E-10</v>
      </c>
      <c r="H85" s="1">
        <f t="shared" si="9"/>
        <v>1.0014240000000001E-10</v>
      </c>
      <c r="I85" s="46">
        <f t="shared" si="10"/>
        <v>1.9637999999999999E-11</v>
      </c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35.043999999999997</v>
      </c>
      <c r="B86" s="8">
        <v>1.1059E-10</v>
      </c>
      <c r="C86" s="8">
        <v>9.1201000000000001E-11</v>
      </c>
      <c r="D86" s="8">
        <v>1.939E-11</v>
      </c>
      <c r="E86" s="1">
        <v>7.6787000000000004E-12</v>
      </c>
      <c r="F86" s="45">
        <f t="shared" si="8"/>
        <v>35.043999999999997</v>
      </c>
      <c r="G86" s="8">
        <f t="shared" si="11"/>
        <v>1.182697E-10</v>
      </c>
      <c r="H86" s="1">
        <f t="shared" si="9"/>
        <v>9.8879700000000006E-11</v>
      </c>
      <c r="I86" s="46">
        <f t="shared" si="10"/>
        <v>1.939E-11</v>
      </c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49.79</v>
      </c>
      <c r="B87" s="8">
        <v>1.0784E-10</v>
      </c>
      <c r="C87" s="8">
        <v>8.8929999999999997E-11</v>
      </c>
      <c r="D87" s="8">
        <v>1.8906999999999999E-11</v>
      </c>
      <c r="E87" s="1">
        <v>7.4884999999999998E-12</v>
      </c>
      <c r="F87" s="45">
        <f t="shared" si="8"/>
        <v>49.79</v>
      </c>
      <c r="G87" s="8">
        <f t="shared" si="11"/>
        <v>1.153255E-10</v>
      </c>
      <c r="H87" s="1">
        <f t="shared" si="9"/>
        <v>9.6418500000000002E-11</v>
      </c>
      <c r="I87" s="46">
        <f t="shared" si="10"/>
        <v>1.8906999999999999E-11</v>
      </c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79.281000000000006</v>
      </c>
      <c r="B88" s="8">
        <v>1.026E-10</v>
      </c>
      <c r="C88" s="8">
        <v>8.4608000000000001E-11</v>
      </c>
      <c r="D88" s="8">
        <v>1.7988999999999999E-11</v>
      </c>
      <c r="E88" s="1">
        <v>7.1249999999999996E-12</v>
      </c>
      <c r="F88" s="45">
        <f t="shared" si="8"/>
        <v>79.281000000000006</v>
      </c>
      <c r="G88" s="8">
        <f t="shared" si="11"/>
        <v>1.09722E-10</v>
      </c>
      <c r="H88" s="1">
        <f t="shared" si="9"/>
        <v>9.1733000000000003E-11</v>
      </c>
      <c r="I88" s="46">
        <f t="shared" si="10"/>
        <v>1.7988999999999999E-11</v>
      </c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108.77</v>
      </c>
      <c r="B89" s="8">
        <v>9.7609999999999999E-11</v>
      </c>
      <c r="C89" s="8">
        <v>8.0495999999999998E-11</v>
      </c>
      <c r="D89" s="8">
        <v>1.7114000000000002E-11</v>
      </c>
      <c r="E89" s="1">
        <v>6.7788999999999997E-12</v>
      </c>
      <c r="F89" s="45">
        <f t="shared" si="8"/>
        <v>108.77</v>
      </c>
      <c r="G89" s="8">
        <f t="shared" si="11"/>
        <v>1.043889E-10</v>
      </c>
      <c r="H89" s="1">
        <f t="shared" si="9"/>
        <v>8.7274899999999998E-11</v>
      </c>
      <c r="I89" s="46">
        <f t="shared" si="10"/>
        <v>1.7114000000000002E-11</v>
      </c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167.75</v>
      </c>
      <c r="B90" s="8">
        <v>8.8557999999999998E-11</v>
      </c>
      <c r="C90" s="8">
        <v>7.3031000000000001E-11</v>
      </c>
      <c r="D90" s="8">
        <v>1.5527E-11</v>
      </c>
      <c r="E90" s="1">
        <v>6.1502000000000002E-12</v>
      </c>
      <c r="F90" s="45">
        <f t="shared" si="8"/>
        <v>167.75</v>
      </c>
      <c r="G90" s="8">
        <f t="shared" si="11"/>
        <v>9.4708199999999997E-11</v>
      </c>
      <c r="H90" s="1">
        <f t="shared" si="9"/>
        <v>7.9181199999999999E-11</v>
      </c>
      <c r="I90" s="46">
        <f t="shared" si="10"/>
        <v>1.5527E-11</v>
      </c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220.84</v>
      </c>
      <c r="B91" s="8">
        <v>8.1098000000000005E-11</v>
      </c>
      <c r="C91" s="8">
        <v>6.6878999999999997E-11</v>
      </c>
      <c r="D91" s="8">
        <v>1.4219E-11</v>
      </c>
      <c r="E91" s="1">
        <v>5.6320999999999998E-12</v>
      </c>
      <c r="F91" s="45">
        <f t="shared" si="8"/>
        <v>220.84</v>
      </c>
      <c r="G91" s="8">
        <f t="shared" si="11"/>
        <v>8.6730099999999987E-11</v>
      </c>
      <c r="H91" s="1">
        <f t="shared" si="9"/>
        <v>7.2511099999999992E-11</v>
      </c>
      <c r="I91" s="46">
        <f t="shared" si="10"/>
        <v>1.4219E-11</v>
      </c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273.92</v>
      </c>
      <c r="B92" s="8">
        <v>7.4265999999999997E-11</v>
      </c>
      <c r="C92" s="8">
        <v>6.1245000000000004E-11</v>
      </c>
      <c r="D92" s="8">
        <v>1.3021E-11</v>
      </c>
      <c r="E92" s="1">
        <v>5.1577000000000001E-12</v>
      </c>
      <c r="F92" s="45">
        <f t="shared" si="8"/>
        <v>273.92</v>
      </c>
      <c r="G92" s="8">
        <f t="shared" si="11"/>
        <v>7.9423700000000012E-11</v>
      </c>
      <c r="H92" s="1">
        <f t="shared" si="9"/>
        <v>6.6402700000000006E-11</v>
      </c>
      <c r="I92" s="46">
        <f t="shared" si="10"/>
        <v>1.3021E-11</v>
      </c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327.01</v>
      </c>
      <c r="B93" s="8">
        <v>6.8010000000000006E-11</v>
      </c>
      <c r="C93" s="8">
        <v>5.6086000000000002E-11</v>
      </c>
      <c r="D93" s="8">
        <v>1.1924E-11</v>
      </c>
      <c r="E93" s="1">
        <v>4.7231999999999999E-12</v>
      </c>
      <c r="F93" s="45">
        <f t="shared" si="8"/>
        <v>327.01</v>
      </c>
      <c r="G93" s="8">
        <f t="shared" si="11"/>
        <v>7.2733200000000003E-11</v>
      </c>
      <c r="H93" s="1">
        <f t="shared" si="9"/>
        <v>6.0809199999999998E-11</v>
      </c>
      <c r="I93" s="46">
        <f t="shared" si="10"/>
        <v>1.1924E-11</v>
      </c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433.18</v>
      </c>
      <c r="B94" s="8">
        <v>5.6705E-11</v>
      </c>
      <c r="C94" s="8">
        <v>4.6763000000000002E-11</v>
      </c>
      <c r="D94" s="8">
        <v>9.9422999999999998E-12</v>
      </c>
      <c r="E94" s="1">
        <v>3.9381E-12</v>
      </c>
      <c r="F94" s="45">
        <f t="shared" si="8"/>
        <v>433.18</v>
      </c>
      <c r="G94" s="8">
        <f t="shared" si="11"/>
        <v>6.0643400000000008E-11</v>
      </c>
      <c r="H94" s="1">
        <f t="shared" si="9"/>
        <v>5.0701100000000005E-11</v>
      </c>
      <c r="I94" s="46">
        <f t="shared" si="10"/>
        <v>9.9422999999999998E-12</v>
      </c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539.34</v>
      </c>
      <c r="B95" s="8">
        <v>4.7157000000000002E-11</v>
      </c>
      <c r="C95" s="8">
        <v>3.8888999999999999E-11</v>
      </c>
      <c r="D95" s="8">
        <v>8.2682000000000007E-12</v>
      </c>
      <c r="E95" s="1">
        <v>3.2750000000000001E-12</v>
      </c>
      <c r="F95" s="45">
        <f t="shared" si="8"/>
        <v>539.34</v>
      </c>
      <c r="G95" s="8">
        <f t="shared" si="11"/>
        <v>5.0432200000000004E-11</v>
      </c>
      <c r="H95" s="1">
        <f t="shared" si="9"/>
        <v>4.2164000000000002E-11</v>
      </c>
      <c r="I95" s="46">
        <f t="shared" si="10"/>
        <v>8.2682000000000007E-12</v>
      </c>
      <c r="J95" s="8"/>
      <c r="K95" s="1"/>
      <c r="L95" s="1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645.51</v>
      </c>
      <c r="B96" s="8">
        <v>3.9177000000000001E-11</v>
      </c>
      <c r="C96" s="8">
        <v>3.2307999999999998E-11</v>
      </c>
      <c r="D96" s="8">
        <v>6.8689000000000003E-12</v>
      </c>
      <c r="E96" s="1">
        <v>2.7206999999999999E-12</v>
      </c>
      <c r="F96" s="45">
        <f t="shared" si="8"/>
        <v>645.51</v>
      </c>
      <c r="G96" s="8">
        <f t="shared" si="11"/>
        <v>4.1897600000000003E-11</v>
      </c>
      <c r="H96" s="1">
        <f t="shared" si="9"/>
        <v>3.50287E-11</v>
      </c>
      <c r="I96" s="46">
        <f t="shared" si="10"/>
        <v>6.8689000000000003E-12</v>
      </c>
      <c r="J96" s="8"/>
      <c r="K96" s="1"/>
      <c r="L96" s="1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751.68</v>
      </c>
      <c r="B97" s="8">
        <v>3.2533000000000003E-11</v>
      </c>
      <c r="C97" s="8">
        <v>2.6829E-11</v>
      </c>
      <c r="D97" s="8">
        <v>5.7041000000000003E-12</v>
      </c>
      <c r="E97" s="1">
        <v>2.2592999999999999E-12</v>
      </c>
      <c r="F97" s="45">
        <f t="shared" si="8"/>
        <v>751.68</v>
      </c>
      <c r="G97" s="8">
        <f t="shared" si="11"/>
        <v>3.4792399999999999E-11</v>
      </c>
      <c r="H97" s="1">
        <f t="shared" si="9"/>
        <v>2.9088300000000001E-11</v>
      </c>
      <c r="I97" s="46">
        <f t="shared" si="10"/>
        <v>5.7041000000000003E-12</v>
      </c>
      <c r="J97" s="8"/>
      <c r="K97" s="1"/>
      <c r="L97" s="1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857.85</v>
      </c>
      <c r="B98" s="8">
        <v>2.7011000000000001E-11</v>
      </c>
      <c r="C98" s="8">
        <v>2.2274999999999999E-11</v>
      </c>
      <c r="D98" s="8">
        <v>4.7358999999999996E-12</v>
      </c>
      <c r="E98" s="1">
        <v>1.8759000000000001E-12</v>
      </c>
      <c r="F98" s="45">
        <f t="shared" si="8"/>
        <v>857.85</v>
      </c>
      <c r="G98" s="8">
        <f t="shared" si="11"/>
        <v>2.8886799999999998E-11</v>
      </c>
      <c r="H98" s="1">
        <f t="shared" si="9"/>
        <v>2.4150899999999998E-11</v>
      </c>
      <c r="I98" s="46">
        <f t="shared" si="10"/>
        <v>4.7358999999999996E-12</v>
      </c>
      <c r="J98" s="8"/>
      <c r="K98" s="1"/>
      <c r="L98" s="1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964.02</v>
      </c>
      <c r="B99" s="8">
        <v>2.2424999999999999E-11</v>
      </c>
      <c r="C99" s="8">
        <v>1.8492999999999999E-11</v>
      </c>
      <c r="D99" s="8">
        <v>3.9317999999999999E-12</v>
      </c>
      <c r="E99" s="1">
        <v>1.5573E-12</v>
      </c>
      <c r="F99" s="45">
        <f t="shared" si="8"/>
        <v>964.02</v>
      </c>
      <c r="G99" s="8">
        <f t="shared" si="11"/>
        <v>2.3982100000000001E-11</v>
      </c>
      <c r="H99" s="1">
        <f t="shared" si="9"/>
        <v>2.00503E-11</v>
      </c>
      <c r="I99" s="46">
        <f t="shared" si="10"/>
        <v>3.9317999999999999E-12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1070.2</v>
      </c>
      <c r="B100" s="8">
        <v>1.8617E-11</v>
      </c>
      <c r="C100" s="8">
        <v>1.5353000000000001E-11</v>
      </c>
      <c r="D100" s="8">
        <v>3.2641000000000002E-12</v>
      </c>
      <c r="E100" s="1">
        <v>1.2929000000000001E-12</v>
      </c>
      <c r="F100" s="45">
        <f t="shared" si="8"/>
        <v>1070.2</v>
      </c>
      <c r="G100" s="8">
        <f t="shared" si="11"/>
        <v>1.9909999999999999E-11</v>
      </c>
      <c r="H100" s="1">
        <f t="shared" si="9"/>
        <v>1.66459E-11</v>
      </c>
      <c r="I100" s="46">
        <f t="shared" si="10"/>
        <v>3.2641000000000002E-12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1176.4000000000001</v>
      </c>
      <c r="B101" s="8">
        <v>1.5455E-11</v>
      </c>
      <c r="C101" s="8">
        <v>1.2745E-11</v>
      </c>
      <c r="D101" s="8">
        <v>2.7098E-12</v>
      </c>
      <c r="E101" s="1">
        <v>1.0733000000000001E-12</v>
      </c>
      <c r="F101" s="45">
        <f t="shared" si="8"/>
        <v>1176.4000000000001</v>
      </c>
      <c r="G101" s="8">
        <f t="shared" si="11"/>
        <v>1.6528099999999999E-11</v>
      </c>
      <c r="H101" s="1">
        <f t="shared" si="9"/>
        <v>1.38183E-11</v>
      </c>
      <c r="I101" s="46">
        <f t="shared" si="10"/>
        <v>2.7098E-12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1282.5</v>
      </c>
      <c r="B102" s="8">
        <v>1.2829999999999999E-11</v>
      </c>
      <c r="C102" s="8">
        <v>1.0580999999999999E-11</v>
      </c>
      <c r="D102" s="8">
        <v>2.2496E-12</v>
      </c>
      <c r="E102" s="1">
        <v>8.9104000000000001E-13</v>
      </c>
      <c r="F102" s="45">
        <f t="shared" si="8"/>
        <v>1282.5</v>
      </c>
      <c r="G102" s="8">
        <f t="shared" si="11"/>
        <v>1.372164E-11</v>
      </c>
      <c r="H102" s="1">
        <f t="shared" si="9"/>
        <v>1.147204E-11</v>
      </c>
      <c r="I102" s="46">
        <f t="shared" si="10"/>
        <v>2.2496E-12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1388.7</v>
      </c>
      <c r="B103" s="8">
        <v>1.0651000000000001E-11</v>
      </c>
      <c r="C103" s="8">
        <v>8.7838000000000006E-12</v>
      </c>
      <c r="D103" s="8">
        <v>1.8674999999999999E-12</v>
      </c>
      <c r="E103" s="1">
        <v>7.3972E-13</v>
      </c>
      <c r="F103" s="45">
        <f t="shared" si="8"/>
        <v>1388.7</v>
      </c>
      <c r="G103" s="8">
        <f t="shared" si="11"/>
        <v>1.1391020000000001E-11</v>
      </c>
      <c r="H103" s="1">
        <f t="shared" si="9"/>
        <v>9.523520000000001E-12</v>
      </c>
      <c r="I103" s="46">
        <f t="shared" si="10"/>
        <v>1.8674999999999999E-12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1494.9</v>
      </c>
      <c r="B104" s="8">
        <v>8.8423999999999996E-12</v>
      </c>
      <c r="C104" s="8">
        <v>7.2921000000000004E-12</v>
      </c>
      <c r="D104" s="8">
        <v>1.5503999999999999E-12</v>
      </c>
      <c r="E104" s="1">
        <v>6.1408999999999996E-13</v>
      </c>
      <c r="F104" s="45">
        <f t="shared" si="8"/>
        <v>1494.9</v>
      </c>
      <c r="G104" s="8">
        <f t="shared" si="11"/>
        <v>9.4565900000000014E-12</v>
      </c>
      <c r="H104" s="1">
        <f t="shared" si="9"/>
        <v>7.9061900000000011E-12</v>
      </c>
      <c r="I104" s="46">
        <f t="shared" si="10"/>
        <v>1.5503999999999999E-12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3">
      <c r="A105" s="7">
        <v>1601</v>
      </c>
      <c r="B105" s="8">
        <v>7.3406999999999992E-12</v>
      </c>
      <c r="C105" s="8">
        <v>6.0536E-12</v>
      </c>
      <c r="D105" s="8">
        <v>1.2871E-12</v>
      </c>
      <c r="E105" s="1">
        <v>5.0980000000000001E-13</v>
      </c>
      <c r="F105" s="45">
        <f t="shared" si="8"/>
        <v>1601</v>
      </c>
      <c r="G105" s="8">
        <f t="shared" si="11"/>
        <v>7.8505000000000001E-12</v>
      </c>
      <c r="H105" s="1">
        <f t="shared" si="9"/>
        <v>6.5634000000000001E-12</v>
      </c>
      <c r="I105" s="46">
        <f t="shared" si="10"/>
        <v>1.2871E-12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3">
      <c r="A106" s="7">
        <v>1707.2</v>
      </c>
      <c r="B106" s="8">
        <v>6.0939999999999997E-12</v>
      </c>
      <c r="C106" s="8">
        <v>5.0255000000000003E-12</v>
      </c>
      <c r="D106" s="8">
        <v>1.0684999999999999E-12</v>
      </c>
      <c r="E106" s="1">
        <v>4.2321999999999999E-13</v>
      </c>
      <c r="F106" s="45">
        <f t="shared" si="8"/>
        <v>1707.2</v>
      </c>
      <c r="G106" s="8">
        <f t="shared" si="11"/>
        <v>6.5172200000000008E-12</v>
      </c>
      <c r="H106" s="1">
        <f t="shared" si="9"/>
        <v>5.4487200000000006E-12</v>
      </c>
      <c r="I106" s="46">
        <f t="shared" si="10"/>
        <v>1.0684999999999999E-12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x14ac:dyDescent="0.3">
      <c r="A107" s="7">
        <v>1813.4</v>
      </c>
      <c r="B107" s="8">
        <v>5.0590999999999997E-12</v>
      </c>
      <c r="C107" s="8">
        <v>4.1720000000000004E-12</v>
      </c>
      <c r="D107" s="8">
        <v>8.8701999999999999E-13</v>
      </c>
      <c r="E107" s="1">
        <v>3.5134E-13</v>
      </c>
      <c r="F107" s="45">
        <f t="shared" si="8"/>
        <v>1813.4</v>
      </c>
      <c r="G107" s="8">
        <f t="shared" si="11"/>
        <v>5.41036E-12</v>
      </c>
      <c r="H107" s="1">
        <f t="shared" si="9"/>
        <v>4.52334E-12</v>
      </c>
      <c r="I107" s="46">
        <f t="shared" si="10"/>
        <v>8.8701999999999999E-13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x14ac:dyDescent="0.3">
      <c r="A108" s="7">
        <v>1919.5</v>
      </c>
      <c r="B108" s="8">
        <v>4.1999000000000003E-12</v>
      </c>
      <c r="C108" s="8">
        <v>3.4634999999999999E-12</v>
      </c>
      <c r="D108" s="8">
        <v>7.3638000000000004E-13</v>
      </c>
      <c r="E108" s="1">
        <v>2.9167000000000001E-13</v>
      </c>
      <c r="F108" s="45">
        <f t="shared" si="8"/>
        <v>1919.5</v>
      </c>
      <c r="G108" s="8">
        <f t="shared" si="11"/>
        <v>4.4915499999999994E-12</v>
      </c>
      <c r="H108" s="1">
        <f t="shared" si="9"/>
        <v>3.7551699999999996E-12</v>
      </c>
      <c r="I108" s="46">
        <f t="shared" si="10"/>
        <v>7.3638000000000004E-13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x14ac:dyDescent="0.3">
      <c r="A109" s="7">
        <v>2025.7</v>
      </c>
      <c r="B109" s="8">
        <v>3.4866000000000001E-12</v>
      </c>
      <c r="C109" s="8">
        <v>2.8753000000000001E-12</v>
      </c>
      <c r="D109" s="8">
        <v>6.1131999999999996E-13</v>
      </c>
      <c r="E109" s="1">
        <v>2.4214000000000002E-13</v>
      </c>
      <c r="F109" s="45">
        <f t="shared" si="8"/>
        <v>2025.7</v>
      </c>
      <c r="G109" s="8">
        <f t="shared" si="11"/>
        <v>3.7287600000000004E-12</v>
      </c>
      <c r="H109" s="1">
        <f t="shared" si="9"/>
        <v>3.1174400000000001E-12</v>
      </c>
      <c r="I109" s="46">
        <f t="shared" si="10"/>
        <v>6.1131999999999996E-13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x14ac:dyDescent="0.3">
      <c r="A110" s="7">
        <v>2131.9</v>
      </c>
      <c r="B110" s="8">
        <v>2.8944999999999998E-12</v>
      </c>
      <c r="C110" s="8">
        <v>2.3869999999999998E-12</v>
      </c>
      <c r="D110" s="8">
        <v>5.0750000000000001E-13</v>
      </c>
      <c r="E110" s="1">
        <v>2.0100999999999999E-13</v>
      </c>
      <c r="F110" s="45">
        <f t="shared" si="8"/>
        <v>2131.9</v>
      </c>
      <c r="G110" s="8">
        <f t="shared" si="11"/>
        <v>3.09551E-12</v>
      </c>
      <c r="H110" s="1">
        <f t="shared" si="9"/>
        <v>2.58801E-12</v>
      </c>
      <c r="I110" s="46">
        <f t="shared" si="10"/>
        <v>5.0750000000000001E-13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x14ac:dyDescent="0.3">
      <c r="A111" s="7">
        <v>2238</v>
      </c>
      <c r="B111" s="8">
        <v>2.4029000000000002E-12</v>
      </c>
      <c r="C111" s="8">
        <v>1.9816E-12</v>
      </c>
      <c r="D111" s="8">
        <v>4.2131E-13</v>
      </c>
      <c r="E111" s="1">
        <v>1.6687999999999999E-13</v>
      </c>
      <c r="F111" s="45">
        <f t="shared" si="8"/>
        <v>2238</v>
      </c>
      <c r="G111" s="8">
        <f t="shared" si="11"/>
        <v>2.5697900000000001E-12</v>
      </c>
      <c r="H111" s="1">
        <f t="shared" si="9"/>
        <v>2.1484800000000002E-12</v>
      </c>
      <c r="I111" s="46">
        <f t="shared" si="10"/>
        <v>4.2131E-13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x14ac:dyDescent="0.3">
      <c r="A112" s="7">
        <v>2344.1999999999998</v>
      </c>
      <c r="B112" s="8">
        <v>1.9947999999999999E-12</v>
      </c>
      <c r="C112" s="8">
        <v>1.6450999999999999E-12</v>
      </c>
      <c r="D112" s="8">
        <v>3.4976000000000002E-13</v>
      </c>
      <c r="E112" s="1">
        <v>1.3854000000000001E-13</v>
      </c>
      <c r="F112" s="45">
        <f t="shared" si="8"/>
        <v>2344.1999999999998</v>
      </c>
      <c r="G112" s="8">
        <f t="shared" si="11"/>
        <v>2.1333999999999998E-12</v>
      </c>
      <c r="H112" s="1">
        <f t="shared" si="9"/>
        <v>1.7836399999999999E-12</v>
      </c>
      <c r="I112" s="46">
        <f t="shared" si="10"/>
        <v>3.4976000000000002E-13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x14ac:dyDescent="0.3">
      <c r="A113" s="7">
        <v>2450.4</v>
      </c>
      <c r="B113" s="8">
        <v>1.656E-12</v>
      </c>
      <c r="C113" s="8">
        <v>1.3656999999999999E-12</v>
      </c>
      <c r="D113" s="8">
        <v>2.9035999999999999E-13</v>
      </c>
      <c r="E113" s="1">
        <v>1.1501000000000001E-13</v>
      </c>
      <c r="F113" s="45">
        <f t="shared" si="8"/>
        <v>2450.4</v>
      </c>
      <c r="G113" s="8">
        <f t="shared" si="11"/>
        <v>1.7710699999999998E-12</v>
      </c>
      <c r="H113" s="1">
        <f t="shared" si="9"/>
        <v>1.4807099999999999E-12</v>
      </c>
      <c r="I113" s="46">
        <f t="shared" si="10"/>
        <v>2.9035999999999999E-13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x14ac:dyDescent="0.3">
      <c r="A114" s="7">
        <v>2556.5</v>
      </c>
      <c r="B114" s="8">
        <v>1.3748E-12</v>
      </c>
      <c r="C114" s="8">
        <v>1.1336999999999999E-12</v>
      </c>
      <c r="D114" s="8">
        <v>2.4104E-13</v>
      </c>
      <c r="E114" s="1">
        <v>9.5475000000000005E-14</v>
      </c>
      <c r="F114" s="45">
        <f t="shared" si="8"/>
        <v>2556.5</v>
      </c>
      <c r="G114" s="8">
        <f t="shared" si="11"/>
        <v>1.4702149999999999E-12</v>
      </c>
      <c r="H114" s="1">
        <f t="shared" si="9"/>
        <v>1.229175E-12</v>
      </c>
      <c r="I114" s="46">
        <f t="shared" si="10"/>
        <v>2.4104E-13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x14ac:dyDescent="0.3">
      <c r="A115" s="7">
        <v>2662.7</v>
      </c>
      <c r="B115" s="8">
        <v>1.1413E-12</v>
      </c>
      <c r="C115" s="8">
        <v>9.4118999999999995E-13</v>
      </c>
      <c r="D115" s="8">
        <v>2.0010999999999999E-13</v>
      </c>
      <c r="E115" s="1">
        <v>7.9261000000000004E-14</v>
      </c>
      <c r="F115" s="45">
        <f t="shared" si="8"/>
        <v>2662.7</v>
      </c>
      <c r="G115" s="8">
        <f t="shared" si="11"/>
        <v>1.220561E-12</v>
      </c>
      <c r="H115" s="1">
        <f t="shared" si="9"/>
        <v>1.0204509999999999E-12</v>
      </c>
      <c r="I115" s="46">
        <f t="shared" si="10"/>
        <v>2.0010999999999999E-13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x14ac:dyDescent="0.3">
      <c r="A116" s="7">
        <v>2768.9</v>
      </c>
      <c r="B116" s="8">
        <v>9.4747E-13</v>
      </c>
      <c r="C116" s="8">
        <v>7.8135E-13</v>
      </c>
      <c r="D116" s="8">
        <v>1.6612E-13</v>
      </c>
      <c r="E116" s="1">
        <v>6.5799999999999995E-14</v>
      </c>
      <c r="F116" s="45">
        <f t="shared" si="8"/>
        <v>2768.9</v>
      </c>
      <c r="G116" s="8">
        <f t="shared" si="11"/>
        <v>1.01327E-12</v>
      </c>
      <c r="H116" s="1">
        <f t="shared" si="9"/>
        <v>8.4714999999999998E-13</v>
      </c>
      <c r="I116" s="46">
        <f t="shared" si="10"/>
        <v>1.6612E-13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7.25" thickBot="1" x14ac:dyDescent="0.35">
      <c r="A117" s="7">
        <v>2875</v>
      </c>
      <c r="B117" s="8">
        <v>7.8656000000000003E-13</v>
      </c>
      <c r="C117" s="8">
        <v>6.4864999999999997E-13</v>
      </c>
      <c r="D117" s="8">
        <v>1.3790999999999999E-13</v>
      </c>
      <c r="E117" s="1">
        <v>5.4625000000000001E-14</v>
      </c>
      <c r="F117" s="47">
        <f t="shared" si="8"/>
        <v>2875</v>
      </c>
      <c r="G117" s="48">
        <f t="shared" si="11"/>
        <v>8.4118499999999991E-13</v>
      </c>
      <c r="H117" s="49">
        <f t="shared" si="9"/>
        <v>7.0327499999999995E-13</v>
      </c>
      <c r="I117" s="50">
        <f t="shared" si="10"/>
        <v>1.3790999999999999E-13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7.25" thickBot="1" x14ac:dyDescent="0.35">
      <c r="A118">
        <v>2981.2</v>
      </c>
      <c r="B118" s="8">
        <v>6.5296999999999999E-13</v>
      </c>
      <c r="C118" s="8">
        <v>5.3848999999999996E-13</v>
      </c>
      <c r="D118" s="8">
        <v>1.1449E-13</v>
      </c>
      <c r="E118" s="8">
        <v>4.5347999999999998E-14</v>
      </c>
      <c r="F118" s="47">
        <f t="shared" si="8"/>
        <v>2981.2</v>
      </c>
      <c r="G118" s="48">
        <f t="shared" si="11"/>
        <v>6.9832799999999997E-13</v>
      </c>
      <c r="H118" s="49">
        <f t="shared" si="9"/>
        <v>5.8383799999999992E-13</v>
      </c>
      <c r="I118" s="50">
        <f t="shared" si="10"/>
        <v>1.1449E-13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7.25" thickBot="1" x14ac:dyDescent="0.35">
      <c r="A119">
        <v>3087.4</v>
      </c>
      <c r="B119" s="8">
        <v>5.4208000000000005E-13</v>
      </c>
      <c r="C119" s="8">
        <v>4.4703000000000001E-13</v>
      </c>
      <c r="D119" s="8">
        <v>9.5044000000000004E-14</v>
      </c>
      <c r="E119" s="8">
        <v>3.7646000000000003E-14</v>
      </c>
      <c r="F119" s="47">
        <f t="shared" si="8"/>
        <v>3087.4</v>
      </c>
      <c r="G119" s="48">
        <f t="shared" si="11"/>
        <v>5.7972000000000008E-13</v>
      </c>
      <c r="H119" s="49">
        <f t="shared" si="9"/>
        <v>4.8467600000000002E-13</v>
      </c>
      <c r="I119" s="50">
        <f t="shared" si="10"/>
        <v>9.5044000000000004E-14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7.25" thickBot="1" x14ac:dyDescent="0.35">
      <c r="A120">
        <v>3193.6</v>
      </c>
      <c r="B120" s="8">
        <v>4.5001999999999998E-13</v>
      </c>
      <c r="C120" s="8">
        <v>3.7111000000000002E-13</v>
      </c>
      <c r="D120" s="8">
        <v>7.8903E-14</v>
      </c>
      <c r="E120" s="8">
        <v>3.1253000000000002E-14</v>
      </c>
      <c r="F120" s="47">
        <f t="shared" si="8"/>
        <v>3193.6</v>
      </c>
      <c r="G120" s="48">
        <f t="shared" si="11"/>
        <v>4.8126600000000004E-13</v>
      </c>
      <c r="H120" s="49">
        <f t="shared" si="9"/>
        <v>4.0236300000000003E-13</v>
      </c>
      <c r="I120" s="50">
        <f t="shared" si="10"/>
        <v>7.8903E-14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7.25" thickBot="1" x14ac:dyDescent="0.35">
      <c r="A121">
        <v>3299.7</v>
      </c>
      <c r="B121" s="8">
        <v>3.7358999999999998E-13</v>
      </c>
      <c r="C121" s="8">
        <v>3.0809E-13</v>
      </c>
      <c r="D121" s="8">
        <v>6.5503000000000001E-14</v>
      </c>
      <c r="E121" s="8">
        <v>2.5945E-14</v>
      </c>
      <c r="F121" s="47">
        <f t="shared" si="8"/>
        <v>3299.7</v>
      </c>
      <c r="G121" s="48">
        <f t="shared" si="11"/>
        <v>3.9953799999999999E-13</v>
      </c>
      <c r="H121" s="49">
        <f t="shared" si="9"/>
        <v>3.34035E-13</v>
      </c>
      <c r="I121" s="50">
        <f t="shared" si="10"/>
        <v>6.5503000000000001E-14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7.25" thickBot="1" x14ac:dyDescent="0.35">
      <c r="A122">
        <v>3405.9</v>
      </c>
      <c r="B122" s="8">
        <v>3.1013999999999998E-13</v>
      </c>
      <c r="C122" s="8">
        <v>2.5576000000000001E-13</v>
      </c>
      <c r="D122" s="8">
        <v>5.4377999999999998E-14</v>
      </c>
      <c r="E122" s="8">
        <v>2.1538999999999999E-14</v>
      </c>
      <c r="F122" s="47">
        <f t="shared" si="8"/>
        <v>3405.9</v>
      </c>
      <c r="G122" s="48">
        <f t="shared" si="11"/>
        <v>3.3167700000000004E-13</v>
      </c>
      <c r="H122" s="49">
        <f t="shared" si="9"/>
        <v>2.7729900000000002E-13</v>
      </c>
      <c r="I122" s="50">
        <f t="shared" si="10"/>
        <v>5.4377999999999998E-14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7.25" thickBot="1" x14ac:dyDescent="0.35">
      <c r="A123">
        <v>3512.1</v>
      </c>
      <c r="B123" s="8">
        <v>2.5747000000000001E-13</v>
      </c>
      <c r="C123" s="8">
        <v>2.1232999999999999E-13</v>
      </c>
      <c r="D123" s="8">
        <v>4.5143E-14</v>
      </c>
      <c r="E123" s="8">
        <v>1.7880999999999998E-14</v>
      </c>
      <c r="F123" s="47">
        <f t="shared" si="8"/>
        <v>3512.1</v>
      </c>
      <c r="G123" s="48">
        <f t="shared" si="11"/>
        <v>2.7535400000000002E-13</v>
      </c>
      <c r="H123" s="49">
        <f t="shared" si="9"/>
        <v>2.3021100000000001E-13</v>
      </c>
      <c r="I123" s="50">
        <f t="shared" si="10"/>
        <v>4.5143E-14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7.25" thickBot="1" x14ac:dyDescent="0.35">
      <c r="A124">
        <v>3618.2</v>
      </c>
      <c r="B124" s="8">
        <v>2.1374000000000001E-13</v>
      </c>
      <c r="C124" s="8">
        <v>1.7626999999999999E-13</v>
      </c>
      <c r="D124" s="8">
        <v>3.7476000000000002E-14</v>
      </c>
      <c r="E124" s="8">
        <v>1.4843999999999999E-14</v>
      </c>
      <c r="F124" s="47">
        <f t="shared" si="8"/>
        <v>3618.2</v>
      </c>
      <c r="G124" s="48">
        <f t="shared" si="11"/>
        <v>2.2858999999999999E-13</v>
      </c>
      <c r="H124" s="49">
        <f t="shared" si="9"/>
        <v>1.9111399999999999E-13</v>
      </c>
      <c r="I124" s="50">
        <f t="shared" si="10"/>
        <v>3.7476000000000002E-14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7.25" thickBot="1" x14ac:dyDescent="0.35">
      <c r="A125">
        <v>3724.4</v>
      </c>
      <c r="B125" s="8">
        <v>1.7744E-13</v>
      </c>
      <c r="C125" s="8">
        <v>1.4632999999999999E-13</v>
      </c>
      <c r="D125" s="8">
        <v>3.1111999999999999E-14</v>
      </c>
      <c r="E125" s="8">
        <v>1.2322999999999999E-14</v>
      </c>
      <c r="F125" s="47">
        <f t="shared" si="8"/>
        <v>3724.4</v>
      </c>
      <c r="G125" s="48">
        <f t="shared" si="11"/>
        <v>1.89765E-13</v>
      </c>
      <c r="H125" s="49">
        <f t="shared" si="9"/>
        <v>1.58653E-13</v>
      </c>
      <c r="I125" s="50">
        <f t="shared" si="10"/>
        <v>3.1111999999999999E-14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7.25" thickBot="1" x14ac:dyDescent="0.35">
      <c r="A126">
        <v>3830.6</v>
      </c>
      <c r="B126" s="8">
        <v>1.4731000000000001E-13</v>
      </c>
      <c r="C126" s="8">
        <v>1.2148E-13</v>
      </c>
      <c r="D126" s="8">
        <v>2.5827999999999999E-14</v>
      </c>
      <c r="E126" s="8">
        <v>1.0229999999999999E-14</v>
      </c>
      <c r="F126" s="47">
        <f t="shared" si="8"/>
        <v>3830.6</v>
      </c>
      <c r="G126" s="48">
        <f t="shared" si="11"/>
        <v>1.5753800000000001E-13</v>
      </c>
      <c r="H126" s="49">
        <f t="shared" si="9"/>
        <v>1.3171E-13</v>
      </c>
      <c r="I126" s="50">
        <f t="shared" si="10"/>
        <v>2.5827999999999999E-14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7.25" thickBot="1" x14ac:dyDescent="0.35">
      <c r="A127">
        <v>3936.7</v>
      </c>
      <c r="B127" s="8">
        <v>1.2229E-13</v>
      </c>
      <c r="C127" s="8">
        <v>1.0084999999999999E-13</v>
      </c>
      <c r="D127" s="8">
        <v>2.1441000000000001E-14</v>
      </c>
      <c r="E127" s="8">
        <v>8.4927999999999995E-15</v>
      </c>
      <c r="F127" s="47">
        <f t="shared" si="8"/>
        <v>3936.7</v>
      </c>
      <c r="G127" s="48">
        <f t="shared" si="11"/>
        <v>1.307838E-13</v>
      </c>
      <c r="H127" s="49">
        <f t="shared" si="9"/>
        <v>1.0934279999999999E-13</v>
      </c>
      <c r="I127" s="50">
        <f t="shared" si="10"/>
        <v>2.1441000000000001E-14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7.25" thickBot="1" x14ac:dyDescent="0.35">
      <c r="A128">
        <v>4042.9</v>
      </c>
      <c r="B128" s="8">
        <v>1.0152000000000001E-13</v>
      </c>
      <c r="C128" s="8">
        <v>8.3721000000000005E-14</v>
      </c>
      <c r="D128" s="8">
        <v>1.7800000000000001E-14</v>
      </c>
      <c r="E128" s="8">
        <v>7.0504999999999997E-15</v>
      </c>
      <c r="F128" s="47">
        <f t="shared" si="8"/>
        <v>4042.9</v>
      </c>
      <c r="G128" s="48">
        <f t="shared" si="11"/>
        <v>1.0857150000000001E-13</v>
      </c>
      <c r="H128" s="49">
        <f t="shared" si="9"/>
        <v>9.0771500000000009E-14</v>
      </c>
      <c r="I128" s="50">
        <f t="shared" si="10"/>
        <v>1.7800000000000001E-14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7.25" thickBot="1" x14ac:dyDescent="0.35">
      <c r="A129">
        <v>4149.1000000000004</v>
      </c>
      <c r="B129" s="8">
        <v>8.4279999999999995E-14</v>
      </c>
      <c r="C129" s="8">
        <v>6.9502999999999997E-14</v>
      </c>
      <c r="D129" s="8">
        <v>1.4776999999999999E-14</v>
      </c>
      <c r="E129" s="8">
        <v>5.8531000000000004E-15</v>
      </c>
      <c r="F129" s="47">
        <f t="shared" si="8"/>
        <v>4149.1000000000004</v>
      </c>
      <c r="G129" s="48">
        <f t="shared" si="11"/>
        <v>9.01331E-14</v>
      </c>
      <c r="H129" s="49">
        <f t="shared" si="9"/>
        <v>7.5356100000000002E-14</v>
      </c>
      <c r="I129" s="50">
        <f t="shared" si="10"/>
        <v>1.4776999999999999E-14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7.25" thickBot="1" x14ac:dyDescent="0.35">
      <c r="A130">
        <v>4255.2</v>
      </c>
      <c r="B130" s="8">
        <v>6.9967000000000001E-14</v>
      </c>
      <c r="C130" s="8">
        <v>5.7699E-14</v>
      </c>
      <c r="D130" s="8">
        <v>1.2267E-14</v>
      </c>
      <c r="E130" s="8">
        <v>4.8590999999999996E-15</v>
      </c>
      <c r="F130" s="47">
        <f t="shared" si="8"/>
        <v>4255.2</v>
      </c>
      <c r="G130" s="48">
        <f t="shared" si="11"/>
        <v>7.4825100000000006E-14</v>
      </c>
      <c r="H130" s="49">
        <f t="shared" si="9"/>
        <v>6.2558100000000002E-14</v>
      </c>
      <c r="I130" s="50">
        <f t="shared" si="10"/>
        <v>1.2267E-14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7.25" thickBot="1" x14ac:dyDescent="0.35">
      <c r="A131">
        <v>4320</v>
      </c>
      <c r="B131" s="8">
        <v>6.2428999999999996E-14</v>
      </c>
      <c r="C131" s="8">
        <v>5.1483000000000001E-14</v>
      </c>
      <c r="D131" s="8">
        <v>1.0946000000000001E-14</v>
      </c>
      <c r="E131" s="8">
        <v>4.3355999999999997E-15</v>
      </c>
      <c r="F131" s="47">
        <f t="shared" si="8"/>
        <v>4320</v>
      </c>
      <c r="G131" s="48">
        <f t="shared" si="11"/>
        <v>6.6764600000000003E-14</v>
      </c>
      <c r="H131" s="49">
        <f t="shared" si="9"/>
        <v>5.5818600000000002E-14</v>
      </c>
      <c r="I131" s="50">
        <f t="shared" si="10"/>
        <v>1.0946000000000001E-14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7698-C4E9-48DD-A228-236928D4FBA8}">
  <dimension ref="A1:BM602"/>
  <sheetViews>
    <sheetView topLeftCell="J1" zoomScale="70" zoomScaleNormal="70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19" max="19" width="9.125" bestFit="1" customWidth="1"/>
    <col min="20" max="20" width="11.125" bestFit="1" customWidth="1"/>
    <col min="21" max="21" width="11" bestFit="1" customWidth="1"/>
    <col min="22" max="22" width="13.5" bestFit="1" customWidth="1"/>
    <col min="28" max="28" width="18.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1.2736176240811999E-10</v>
      </c>
      <c r="B1" s="7" t="s">
        <v>0</v>
      </c>
      <c r="C1" s="8" t="s">
        <v>100</v>
      </c>
      <c r="D1" s="8" t="s">
        <v>101</v>
      </c>
      <c r="E1" s="8" t="s">
        <v>101</v>
      </c>
      <c r="F1" t="s">
        <v>101</v>
      </c>
      <c r="G1" t="s">
        <v>101</v>
      </c>
      <c r="H1" t="s">
        <v>102</v>
      </c>
      <c r="I1" t="s">
        <v>103</v>
      </c>
      <c r="J1" t="s">
        <v>104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1.2710463219999998E-10</v>
      </c>
      <c r="D2" s="1">
        <v>1.2710229999999999E-10</v>
      </c>
      <c r="E2" s="1">
        <v>2.3321999999999999E-15</v>
      </c>
      <c r="F2" s="1">
        <v>2.5712999999999999E-13</v>
      </c>
      <c r="G2" s="1">
        <v>2.0812000000000001E-19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38" si="0">(H2+F2)/$A$1*100</f>
        <v>0.20188948012202332</v>
      </c>
      <c r="R2" s="6">
        <f t="shared" ref="R2:R38" si="1">(G2+I2)/$A$1*100</f>
        <v>1.634085427721211E-7</v>
      </c>
      <c r="S2" s="10">
        <f t="shared" ref="S2:S38" si="2">J2/$A$1*100</f>
        <v>0</v>
      </c>
      <c r="T2" s="6">
        <f t="shared" ref="T2:V17" si="3">C2/$A$1*100</f>
        <v>99.798110356469422</v>
      </c>
      <c r="U2" s="6">
        <f t="shared" si="3"/>
        <v>99.796279194623125</v>
      </c>
      <c r="V2" s="6">
        <f t="shared" si="3"/>
        <v>1.8311618463056928E-3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2.7240000000000002</v>
      </c>
      <c r="C3" s="8">
        <v>1.2607389999999999E-10</v>
      </c>
      <c r="D3" s="1">
        <v>1.2195879999999999E-10</v>
      </c>
      <c r="E3" s="1">
        <v>4.1150999999999997E-12</v>
      </c>
      <c r="F3" s="1">
        <v>1.2131999999999999E-12</v>
      </c>
      <c r="G3" s="1">
        <v>9.3679999999999998E-18</v>
      </c>
      <c r="H3" s="1">
        <v>2.9560999999999999E-14</v>
      </c>
      <c r="I3" s="1">
        <v>1.9754000000000001E-15</v>
      </c>
      <c r="J3" s="1">
        <v>5.7021000000000001E-15</v>
      </c>
      <c r="K3" s="1"/>
      <c r="L3" s="1"/>
      <c r="N3" s="7"/>
      <c r="O3">
        <f t="shared" ref="O3:O38" si="4">B3/60</f>
        <v>4.5400000000000003E-2</v>
      </c>
      <c r="P3" s="6">
        <f t="shared" ref="P3:P38" si="5">(SUM(F3:J3)+C3)/$A$1*100</f>
        <v>99.970623412072385</v>
      </c>
      <c r="Q3" s="6">
        <f t="shared" si="0"/>
        <v>0.97577245831262738</v>
      </c>
      <c r="R3" s="6">
        <f t="shared" si="1"/>
        <v>1.5583703950640844E-3</v>
      </c>
      <c r="S3" s="10">
        <f t="shared" si="2"/>
        <v>4.4770894279305773E-3</v>
      </c>
      <c r="T3" s="6">
        <f t="shared" si="3"/>
        <v>98.988815493936741</v>
      </c>
      <c r="U3" s="6">
        <f t="shared" si="3"/>
        <v>95.75778294366981</v>
      </c>
      <c r="V3" s="6">
        <f t="shared" si="3"/>
        <v>3.2310325502669395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4.7720000000000002</v>
      </c>
      <c r="C4" s="8">
        <v>1.2578619999999999E-10</v>
      </c>
      <c r="D4" s="1">
        <v>1.216828E-10</v>
      </c>
      <c r="E4" s="1">
        <v>4.1033999999999997E-12</v>
      </c>
      <c r="F4" s="1">
        <v>1.4469E-12</v>
      </c>
      <c r="G4" s="1">
        <v>1.1115E-17</v>
      </c>
      <c r="H4" s="1">
        <v>7.8281000000000005E-14</v>
      </c>
      <c r="I4" s="1">
        <v>5.1736000000000003E-15</v>
      </c>
      <c r="J4" s="1">
        <v>9.9572999999999995E-15</v>
      </c>
      <c r="K4" s="1"/>
      <c r="L4" s="1"/>
      <c r="N4" s="7"/>
      <c r="O4">
        <f t="shared" si="4"/>
        <v>7.9533333333333331E-2</v>
      </c>
      <c r="P4" s="6">
        <f t="shared" si="5"/>
        <v>99.972331261397699</v>
      </c>
      <c r="Q4" s="6">
        <f t="shared" si="0"/>
        <v>1.1975187616458121</v>
      </c>
      <c r="R4" s="6">
        <f t="shared" si="1"/>
        <v>4.0708568270169032E-3</v>
      </c>
      <c r="S4" s="10">
        <f t="shared" si="2"/>
        <v>7.8181235966982565E-3</v>
      </c>
      <c r="T4" s="6">
        <f t="shared" si="3"/>
        <v>98.762923519328154</v>
      </c>
      <c r="U4" s="6">
        <f t="shared" si="3"/>
        <v>95.541077399728309</v>
      </c>
      <c r="V4" s="6">
        <f t="shared" si="3"/>
        <v>3.2218461195998542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6.82</v>
      </c>
      <c r="C5" s="8">
        <v>1.2555049999999997E-10</v>
      </c>
      <c r="D5" s="1">
        <v>1.2145909999999998E-10</v>
      </c>
      <c r="E5" s="1">
        <v>4.0914000000000001E-12</v>
      </c>
      <c r="F5" s="1">
        <v>1.6084000000000001E-12</v>
      </c>
      <c r="G5" s="1">
        <v>1.3278E-17</v>
      </c>
      <c r="H5" s="1">
        <v>1.3460999999999999E-13</v>
      </c>
      <c r="I5" s="1">
        <v>8.9364000000000006E-15</v>
      </c>
      <c r="J5" s="1">
        <v>1.42E-14</v>
      </c>
      <c r="K5" s="1"/>
      <c r="L5" s="1"/>
      <c r="N5" s="7"/>
      <c r="O5">
        <f t="shared" si="4"/>
        <v>0.11366666666666667</v>
      </c>
      <c r="P5" s="6">
        <f t="shared" si="5"/>
        <v>99.964586914261218</v>
      </c>
      <c r="Q5" s="6">
        <f t="shared" si="0"/>
        <v>1.3685504715415857</v>
      </c>
      <c r="R5" s="6">
        <f t="shared" si="1"/>
        <v>7.0269740546786046E-3</v>
      </c>
      <c r="S5" s="10">
        <f t="shared" si="2"/>
        <v>1.1149343202787428E-2</v>
      </c>
      <c r="T5" s="6">
        <f t="shared" si="3"/>
        <v>98.577860125462166</v>
      </c>
      <c r="U5" s="6">
        <f t="shared" si="3"/>
        <v>95.365435986033688</v>
      </c>
      <c r="V5" s="6">
        <f t="shared" si="3"/>
        <v>3.2124241394284847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8.8680000000000003</v>
      </c>
      <c r="C6" s="8">
        <v>1.253459E-10</v>
      </c>
      <c r="D6" s="1">
        <v>1.212663E-10</v>
      </c>
      <c r="E6" s="1">
        <v>4.0795999999999997E-12</v>
      </c>
      <c r="F6" s="1">
        <v>1.7384999999999999E-12</v>
      </c>
      <c r="G6" s="1">
        <v>1.5645E-17</v>
      </c>
      <c r="H6" s="1">
        <v>1.9656E-13</v>
      </c>
      <c r="I6" s="1">
        <v>1.3411E-14</v>
      </c>
      <c r="J6" s="1">
        <v>1.8431E-14</v>
      </c>
      <c r="K6" s="1"/>
      <c r="L6" s="1"/>
      <c r="N6" s="7"/>
      <c r="O6">
        <f t="shared" si="4"/>
        <v>0.14780000000000001</v>
      </c>
      <c r="P6" s="6">
        <f t="shared" si="5"/>
        <v>99.961570284365919</v>
      </c>
      <c r="Q6" s="6">
        <f t="shared" si="0"/>
        <v>1.5193414125342142</v>
      </c>
      <c r="R6" s="6">
        <f t="shared" si="1"/>
        <v>1.0542131913168296E-2</v>
      </c>
      <c r="S6" s="10">
        <f t="shared" si="2"/>
        <v>1.4471376378209513E-2</v>
      </c>
      <c r="T6" s="6">
        <f t="shared" si="3"/>
        <v>98.417215363540336</v>
      </c>
      <c r="U6" s="6">
        <f t="shared" si="3"/>
        <v>95.214056171280362</v>
      </c>
      <c r="V6" s="6">
        <f t="shared" si="3"/>
        <v>3.2031591922599709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0.7</v>
      </c>
      <c r="AH6" s="36">
        <v>0.7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10.916</v>
      </c>
      <c r="C7" s="8">
        <v>1.2514680000000002E-10</v>
      </c>
      <c r="D7" s="1">
        <v>1.2107870000000001E-10</v>
      </c>
      <c r="E7" s="1">
        <v>4.0680999999999996E-12</v>
      </c>
      <c r="F7" s="1">
        <v>1.8478999999999998E-12</v>
      </c>
      <c r="G7" s="1">
        <v>1.8192E-17</v>
      </c>
      <c r="H7" s="1">
        <v>2.6316000000000001E-13</v>
      </c>
      <c r="I7" s="1">
        <v>1.8663999999999999E-14</v>
      </c>
      <c r="J7" s="1">
        <v>2.2649E-14</v>
      </c>
      <c r="K7" s="1"/>
      <c r="L7" s="1"/>
      <c r="N7" s="7"/>
      <c r="O7">
        <f t="shared" si="4"/>
        <v>0.18193333333333334</v>
      </c>
      <c r="P7" s="6">
        <f t="shared" si="5"/>
        <v>99.950871270201588</v>
      </c>
      <c r="Q7" s="6">
        <f t="shared" si="0"/>
        <v>1.6575304550476355</v>
      </c>
      <c r="R7" s="6">
        <f t="shared" si="1"/>
        <v>1.4668603548476737E-2</v>
      </c>
      <c r="S7" s="10">
        <f t="shared" si="2"/>
        <v>1.7783202408445949E-2</v>
      </c>
      <c r="T7" s="6">
        <f t="shared" si="3"/>
        <v>98.260889009197044</v>
      </c>
      <c r="U7" s="6">
        <f t="shared" si="3"/>
        <v>95.066759214601291</v>
      </c>
      <c r="V7" s="6">
        <f t="shared" si="3"/>
        <v>3.1941297945957419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161</v>
      </c>
      <c r="AH7" s="1" t="s">
        <v>162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12.964</v>
      </c>
      <c r="C8" s="8">
        <v>1.2496540000000002E-10</v>
      </c>
      <c r="D8" s="1">
        <v>1.2090840000000001E-10</v>
      </c>
      <c r="E8" s="1">
        <v>4.0570000000000002E-12</v>
      </c>
      <c r="F8" s="1">
        <v>1.9428000000000002E-12</v>
      </c>
      <c r="G8" s="1">
        <v>2.0907000000000001E-17</v>
      </c>
      <c r="H8" s="1">
        <v>3.3378999999999998E-13</v>
      </c>
      <c r="I8" s="1">
        <v>2.4750999999999998E-14</v>
      </c>
      <c r="J8" s="1">
        <v>2.6855999999999999E-14</v>
      </c>
      <c r="K8" s="1"/>
      <c r="L8" s="1"/>
      <c r="M8" s="4"/>
      <c r="N8" s="7"/>
      <c r="O8">
        <f t="shared" si="4"/>
        <v>0.21606666666666668</v>
      </c>
      <c r="P8" s="6">
        <f t="shared" si="5"/>
        <v>99.946495321804989</v>
      </c>
      <c r="Q8" s="6">
        <f t="shared" si="0"/>
        <v>1.7874988198615376</v>
      </c>
      <c r="R8" s="6">
        <f t="shared" si="1"/>
        <v>1.9450034713417767E-2</v>
      </c>
      <c r="S8" s="10">
        <f t="shared" si="2"/>
        <v>2.1086391623525293E-2</v>
      </c>
      <c r="T8" s="6">
        <f t="shared" si="3"/>
        <v>98.118460075606492</v>
      </c>
      <c r="U8" s="6">
        <f t="shared" si="3"/>
        <v>94.933045612669261</v>
      </c>
      <c r="V8" s="6">
        <f t="shared" si="3"/>
        <v>3.1854144629372252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0.17</v>
      </c>
      <c r="AH8" s="37">
        <v>0.17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17.059999999999999</v>
      </c>
      <c r="C9" s="8">
        <v>1.2462700000000001E-10</v>
      </c>
      <c r="D9" s="1">
        <v>1.20591E-10</v>
      </c>
      <c r="E9" s="1">
        <v>4.0360000000000002E-12</v>
      </c>
      <c r="F9" s="1">
        <v>2.1081999999999998E-12</v>
      </c>
      <c r="G9" s="1">
        <v>2.6635E-17</v>
      </c>
      <c r="H9" s="1">
        <v>4.8546999999999995E-13</v>
      </c>
      <c r="I9" s="1">
        <v>3.9616E-14</v>
      </c>
      <c r="J9" s="1">
        <v>3.5237E-14</v>
      </c>
      <c r="K9" s="1"/>
      <c r="L9" s="1"/>
      <c r="N9" s="7"/>
      <c r="O9">
        <f t="shared" si="4"/>
        <v>0.28433333333333333</v>
      </c>
      <c r="P9" s="6">
        <f t="shared" si="5"/>
        <v>99.948012047047669</v>
      </c>
      <c r="Q9" s="6">
        <f t="shared" si="0"/>
        <v>2.0364589425896948</v>
      </c>
      <c r="R9" s="6">
        <f t="shared" si="1"/>
        <v>3.1126010075903734E-2</v>
      </c>
      <c r="S9" s="10">
        <f t="shared" si="2"/>
        <v>2.7666859608212718E-2</v>
      </c>
      <c r="T9" s="6">
        <f t="shared" si="3"/>
        <v>97.852760234773868</v>
      </c>
      <c r="U9" s="6">
        <f t="shared" si="3"/>
        <v>94.683834237136537</v>
      </c>
      <c r="V9" s="6">
        <f t="shared" si="3"/>
        <v>3.1689259976373285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4.7699999999999996</v>
      </c>
      <c r="AH9" s="37">
        <v>4.7699999999999996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21.155999999999999</v>
      </c>
      <c r="C10" s="8">
        <v>1.242889E-10</v>
      </c>
      <c r="D10" s="1">
        <v>1.2027219999999999E-10</v>
      </c>
      <c r="E10" s="1">
        <v>4.0167E-12</v>
      </c>
      <c r="F10" s="1">
        <v>2.2419999999999999E-12</v>
      </c>
      <c r="G10" s="1">
        <v>3.2695000000000001E-17</v>
      </c>
      <c r="H10" s="1">
        <v>6.4932E-13</v>
      </c>
      <c r="I10" s="1">
        <v>5.8242000000000006E-14</v>
      </c>
      <c r="J10" s="1">
        <v>4.3575E-14</v>
      </c>
      <c r="K10" s="1"/>
      <c r="L10" s="1"/>
      <c r="N10" s="7"/>
      <c r="O10">
        <f t="shared" si="4"/>
        <v>0.35259999999999997</v>
      </c>
      <c r="P10" s="6">
        <f t="shared" si="5"/>
        <v>99.937428069765062</v>
      </c>
      <c r="Q10" s="6">
        <f t="shared" si="0"/>
        <v>2.2701633090903766</v>
      </c>
      <c r="R10" s="6">
        <f t="shared" si="1"/>
        <v>4.575525173188455E-2</v>
      </c>
      <c r="S10" s="10">
        <f t="shared" si="2"/>
        <v>3.4213565497286068E-2</v>
      </c>
      <c r="T10" s="6">
        <f t="shared" si="3"/>
        <v>97.587295943445511</v>
      </c>
      <c r="U10" s="6">
        <f t="shared" si="3"/>
        <v>94.433523630583807</v>
      </c>
      <c r="V10" s="6">
        <f t="shared" si="3"/>
        <v>3.1537723128617086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2.8999999999999998E-7</v>
      </c>
      <c r="AH10" s="37">
        <v>2.8999999999999998E-7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29.347999999999999</v>
      </c>
      <c r="C11" s="8">
        <v>1.236602E-10</v>
      </c>
      <c r="D11" s="1">
        <v>1.196779E-10</v>
      </c>
      <c r="E11" s="1">
        <v>3.9823000000000001E-12</v>
      </c>
      <c r="F11" s="1">
        <v>2.4446999999999999E-12</v>
      </c>
      <c r="G11" s="1">
        <v>4.4834999999999999E-17</v>
      </c>
      <c r="H11" s="1">
        <v>1.0051E-12</v>
      </c>
      <c r="I11" s="1">
        <v>1.0721E-13</v>
      </c>
      <c r="J11" s="1">
        <v>6.0141000000000006E-14</v>
      </c>
      <c r="K11" s="1"/>
      <c r="L11" s="1"/>
      <c r="N11" s="7"/>
      <c r="O11">
        <f t="shared" si="4"/>
        <v>0.48913333333333331</v>
      </c>
      <c r="P11" s="6">
        <f t="shared" si="5"/>
        <v>99.933758318411421</v>
      </c>
      <c r="Q11" s="6">
        <f t="shared" si="0"/>
        <v>2.7086622662659208</v>
      </c>
      <c r="R11" s="6">
        <f t="shared" si="1"/>
        <v>8.4212744054460359E-2</v>
      </c>
      <c r="S11" s="10">
        <f t="shared" si="2"/>
        <v>4.7220609123861883E-2</v>
      </c>
      <c r="T11" s="6">
        <f t="shared" si="3"/>
        <v>97.093662698967179</v>
      </c>
      <c r="U11" s="6">
        <f t="shared" si="3"/>
        <v>93.966900062596721</v>
      </c>
      <c r="V11" s="6">
        <f t="shared" si="3"/>
        <v>3.126762636370449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37.54</v>
      </c>
      <c r="C12" s="8">
        <v>1.2304769999999999E-10</v>
      </c>
      <c r="D12" s="1">
        <v>1.190951E-10</v>
      </c>
      <c r="E12" s="1">
        <v>3.9525999999999999E-12</v>
      </c>
      <c r="F12" s="1">
        <v>2.5802999999999998E-12</v>
      </c>
      <c r="G12" s="1">
        <v>5.6093999999999997E-17</v>
      </c>
      <c r="H12" s="1">
        <v>1.3899E-12</v>
      </c>
      <c r="I12" s="1">
        <v>1.7128E-13</v>
      </c>
      <c r="J12" s="1">
        <v>7.6575000000000004E-14</v>
      </c>
      <c r="K12" s="1"/>
      <c r="L12" s="1"/>
      <c r="N12" s="7"/>
      <c r="O12">
        <f t="shared" si="4"/>
        <v>0.6256666666666667</v>
      </c>
      <c r="P12" s="6">
        <f t="shared" si="5"/>
        <v>99.924662385078705</v>
      </c>
      <c r="Q12" s="6">
        <f t="shared" si="0"/>
        <v>3.117262139697651</v>
      </c>
      <c r="R12" s="6">
        <f t="shared" si="1"/>
        <v>0.13452710669232731</v>
      </c>
      <c r="S12" s="10">
        <f t="shared" si="2"/>
        <v>6.0124010968552632E-2</v>
      </c>
      <c r="T12" s="6">
        <f t="shared" si="3"/>
        <v>96.612749127720178</v>
      </c>
      <c r="U12" s="6">
        <f t="shared" si="3"/>
        <v>93.509305892273872</v>
      </c>
      <c r="V12" s="6">
        <f t="shared" si="3"/>
        <v>3.1034432354463091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45.731999999999999</v>
      </c>
      <c r="C13" s="8">
        <v>1.224568E-10</v>
      </c>
      <c r="D13" s="1">
        <v>1.1853059999999999E-10</v>
      </c>
      <c r="E13" s="1">
        <v>3.9262E-12</v>
      </c>
      <c r="F13" s="1">
        <v>2.6689000000000001E-12</v>
      </c>
      <c r="G13" s="1">
        <v>6.5591000000000002E-17</v>
      </c>
      <c r="H13" s="1">
        <v>1.7943999999999999E-12</v>
      </c>
      <c r="I13" s="1">
        <v>2.4868000000000001E-13</v>
      </c>
      <c r="J13" s="1">
        <v>9.2892000000000002E-14</v>
      </c>
      <c r="K13" s="1"/>
      <c r="L13" s="1"/>
      <c r="N13" s="7"/>
      <c r="O13">
        <f t="shared" si="4"/>
        <v>0.76219999999999999</v>
      </c>
      <c r="P13" s="6">
        <f t="shared" si="5"/>
        <v>99.921464013037536</v>
      </c>
      <c r="Q13" s="6">
        <f t="shared" si="0"/>
        <v>3.5044270082395164</v>
      </c>
      <c r="R13" s="6">
        <f t="shared" si="1"/>
        <v>0.19530633550980223</v>
      </c>
      <c r="S13" s="10">
        <f t="shared" si="2"/>
        <v>7.2935548506572523E-2</v>
      </c>
      <c r="T13" s="6">
        <f t="shared" si="3"/>
        <v>96.148795120781656</v>
      </c>
      <c r="U13" s="6">
        <f t="shared" si="3"/>
        <v>93.066080241712356</v>
      </c>
      <c r="V13" s="6">
        <f t="shared" si="3"/>
        <v>3.0827148790692958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53.923999999999999</v>
      </c>
      <c r="C14" s="8">
        <v>1.218788E-10</v>
      </c>
      <c r="D14" s="1">
        <v>1.179767E-10</v>
      </c>
      <c r="E14" s="1">
        <v>3.9020999999999997E-12</v>
      </c>
      <c r="F14" s="1">
        <v>2.7247999999999999E-12</v>
      </c>
      <c r="G14" s="1">
        <v>7.2922999999999999E-17</v>
      </c>
      <c r="H14" s="1">
        <v>2.2120999999999998E-12</v>
      </c>
      <c r="I14" s="1">
        <v>3.3694999999999999E-13</v>
      </c>
      <c r="J14" s="1">
        <v>1.091E-13</v>
      </c>
      <c r="K14" s="1"/>
      <c r="L14" s="1"/>
      <c r="N14" s="7"/>
      <c r="O14">
        <f t="shared" si="4"/>
        <v>0.89873333333333327</v>
      </c>
      <c r="P14" s="6">
        <f t="shared" si="5"/>
        <v>99.921531012738569</v>
      </c>
      <c r="Q14" s="6">
        <f t="shared" si="0"/>
        <v>3.8762811590029056</v>
      </c>
      <c r="R14" s="6">
        <f t="shared" si="1"/>
        <v>0.26461860815025356</v>
      </c>
      <c r="S14" s="10">
        <f t="shared" si="2"/>
        <v>8.5661503058035798E-2</v>
      </c>
      <c r="T14" s="6">
        <f t="shared" si="3"/>
        <v>95.694969742527363</v>
      </c>
      <c r="U14" s="6">
        <f t="shared" si="3"/>
        <v>92.631177340302216</v>
      </c>
      <c r="V14" s="6">
        <f t="shared" si="3"/>
        <v>3.0637924022251282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62.116</v>
      </c>
      <c r="C15" s="8">
        <v>1.212998E-10</v>
      </c>
      <c r="D15" s="1">
        <v>1.174201E-10</v>
      </c>
      <c r="E15" s="1">
        <v>3.8797000000000001E-12</v>
      </c>
      <c r="F15" s="1">
        <v>2.7581000000000001E-12</v>
      </c>
      <c r="G15" s="1">
        <v>7.8479000000000003E-17</v>
      </c>
      <c r="H15" s="1">
        <v>2.6380999999999998E-12</v>
      </c>
      <c r="I15" s="1">
        <v>4.3364999999999997E-13</v>
      </c>
      <c r="J15" s="1">
        <v>1.2522E-13</v>
      </c>
      <c r="K15" s="1"/>
      <c r="L15" s="1"/>
      <c r="N15" s="7"/>
      <c r="O15">
        <f t="shared" si="4"/>
        <v>1.0352666666666666</v>
      </c>
      <c r="P15" s="6">
        <f t="shared" si="5"/>
        <v>99.916133439817102</v>
      </c>
      <c r="Q15" s="6">
        <f t="shared" si="0"/>
        <v>4.2369074500620787</v>
      </c>
      <c r="R15" s="6">
        <f t="shared" si="1"/>
        <v>0.34054842740802671</v>
      </c>
      <c r="S15" s="10">
        <f t="shared" si="2"/>
        <v>9.8318363088242364E-2</v>
      </c>
      <c r="T15" s="6">
        <f t="shared" si="3"/>
        <v>95.240359199258762</v>
      </c>
      <c r="U15" s="6">
        <f t="shared" si="3"/>
        <v>92.194154493353537</v>
      </c>
      <c r="V15" s="6">
        <f t="shared" si="3"/>
        <v>3.0462047059052382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0.05</v>
      </c>
      <c r="AH15" s="37">
        <v>0.05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70.308000000000007</v>
      </c>
      <c r="C16" s="8">
        <v>1.2073109999999999E-10</v>
      </c>
      <c r="D16" s="1">
        <v>1.1687260000000001E-10</v>
      </c>
      <c r="E16" s="1">
        <v>3.8585000000000002E-12</v>
      </c>
      <c r="F16" s="1">
        <v>2.7760999999999999E-12</v>
      </c>
      <c r="G16" s="1">
        <v>8.2476000000000004E-17</v>
      </c>
      <c r="H16" s="1">
        <v>3.0690999999999999E-12</v>
      </c>
      <c r="I16" s="1">
        <v>5.3665999999999996E-13</v>
      </c>
      <c r="J16" s="1">
        <v>1.4125E-13</v>
      </c>
      <c r="K16" s="1"/>
      <c r="L16" s="1"/>
      <c r="N16" s="7"/>
      <c r="O16">
        <f t="shared" si="4"/>
        <v>1.1718000000000002</v>
      </c>
      <c r="P16" s="6">
        <f t="shared" si="5"/>
        <v>99.91561836921224</v>
      </c>
      <c r="Q16" s="6">
        <f t="shared" si="0"/>
        <v>4.5894465414741594</v>
      </c>
      <c r="R16" s="6">
        <f t="shared" si="1"/>
        <v>0.42143141383365446</v>
      </c>
      <c r="S16" s="10">
        <f t="shared" si="2"/>
        <v>0.11090455826716368</v>
      </c>
      <c r="T16" s="6">
        <f t="shared" si="3"/>
        <v>94.793835855637269</v>
      </c>
      <c r="U16" s="6">
        <f t="shared" si="3"/>
        <v>91.764276648034794</v>
      </c>
      <c r="V16" s="6">
        <f t="shared" si="3"/>
        <v>3.0295592076024858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86.691999999999993</v>
      </c>
      <c r="C17" s="8">
        <v>1.1959120000000002E-10</v>
      </c>
      <c r="D17" s="1">
        <v>1.1577280000000001E-10</v>
      </c>
      <c r="E17" s="1">
        <v>3.8184E-12</v>
      </c>
      <c r="F17" s="1">
        <v>2.7876999999999999E-12</v>
      </c>
      <c r="G17" s="1">
        <v>8.6521000000000004E-17</v>
      </c>
      <c r="H17" s="1">
        <v>3.9373999999999998E-12</v>
      </c>
      <c r="I17" s="1">
        <v>7.5515999999999999E-13</v>
      </c>
      <c r="J17" s="1">
        <v>1.7305E-13</v>
      </c>
      <c r="K17" s="1"/>
      <c r="L17" s="1"/>
      <c r="N17" s="7"/>
      <c r="O17">
        <f t="shared" si="4"/>
        <v>1.4448666666666665</v>
      </c>
      <c r="P17" s="6">
        <f t="shared" si="5"/>
        <v>99.908005444566228</v>
      </c>
      <c r="Q17" s="6">
        <f t="shared" si="0"/>
        <v>5.2803132375398398</v>
      </c>
      <c r="R17" s="6">
        <f t="shared" si="1"/>
        <v>0.59299314544649318</v>
      </c>
      <c r="S17" s="10">
        <f t="shared" si="2"/>
        <v>0.13587280572129329</v>
      </c>
      <c r="T17" s="6">
        <f t="shared" si="3"/>
        <v>93.898826255858609</v>
      </c>
      <c r="U17" s="6">
        <f t="shared" si="3"/>
        <v>90.900752165328754</v>
      </c>
      <c r="V17" s="6">
        <f t="shared" si="3"/>
        <v>2.9980740905298253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103.08</v>
      </c>
      <c r="C18" s="8">
        <v>1.184604E-10</v>
      </c>
      <c r="D18" s="1">
        <v>1.146801E-10</v>
      </c>
      <c r="E18" s="1">
        <v>3.7803E-12</v>
      </c>
      <c r="F18" s="1">
        <v>2.7773999999999999E-12</v>
      </c>
      <c r="G18" s="1">
        <v>8.9040000000000001E-17</v>
      </c>
      <c r="H18" s="1">
        <v>4.8075000000000003E-12</v>
      </c>
      <c r="I18" s="1">
        <v>9.8436000000000006E-13</v>
      </c>
      <c r="J18" s="1">
        <v>2.0452E-13</v>
      </c>
      <c r="K18" s="1"/>
      <c r="L18" s="1"/>
      <c r="N18" s="7"/>
      <c r="O18">
        <f t="shared" si="4"/>
        <v>1.718</v>
      </c>
      <c r="P18" s="6">
        <f t="shared" si="5"/>
        <v>99.899896667799354</v>
      </c>
      <c r="Q18" s="6">
        <f t="shared" si="0"/>
        <v>5.9553981168184755</v>
      </c>
      <c r="R18" s="6">
        <f t="shared" si="1"/>
        <v>0.77295494455032465</v>
      </c>
      <c r="S18" s="10">
        <f t="shared" si="2"/>
        <v>0.16058194872071019</v>
      </c>
      <c r="T18" s="6">
        <f t="shared" ref="T18:V38" si="6">C18/$A$1*100</f>
        <v>93.010961657709842</v>
      </c>
      <c r="U18" s="6">
        <f t="shared" si="6"/>
        <v>90.042802354224122</v>
      </c>
      <c r="V18" s="6">
        <f t="shared" si="6"/>
        <v>2.9681593034857263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119.46</v>
      </c>
      <c r="C19" s="8">
        <v>1.1734260000000001E-10</v>
      </c>
      <c r="D19" s="1">
        <v>1.13599E-10</v>
      </c>
      <c r="E19" s="1">
        <v>3.7436000000000003E-12</v>
      </c>
      <c r="F19" s="1">
        <v>2.7567000000000002E-12</v>
      </c>
      <c r="G19" s="1">
        <v>9.1229E-17</v>
      </c>
      <c r="H19" s="1">
        <v>5.6733000000000001E-12</v>
      </c>
      <c r="I19" s="1">
        <v>1.2188E-12</v>
      </c>
      <c r="J19" s="1">
        <v>2.3568000000000001E-13</v>
      </c>
      <c r="K19" s="1"/>
      <c r="L19" s="1"/>
      <c r="N19" s="7"/>
      <c r="O19">
        <f t="shared" si="4"/>
        <v>1.9909999999999999</v>
      </c>
      <c r="P19" s="6">
        <f t="shared" si="5"/>
        <v>99.894323714924184</v>
      </c>
      <c r="Q19" s="6">
        <f t="shared" si="0"/>
        <v>6.6189410703871854</v>
      </c>
      <c r="R19" s="6">
        <f t="shared" si="1"/>
        <v>0.9570307492245328</v>
      </c>
      <c r="S19" s="10">
        <f t="shared" si="2"/>
        <v>0.18504769056570008</v>
      </c>
      <c r="T19" s="6">
        <f t="shared" si="6"/>
        <v>92.133304204746764</v>
      </c>
      <c r="U19" s="6">
        <f t="shared" si="6"/>
        <v>89.193960457285144</v>
      </c>
      <c r="V19" s="6">
        <f t="shared" si="6"/>
        <v>2.9393437474616211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135.84</v>
      </c>
      <c r="C20" s="8">
        <v>1.1623110000000001E-10</v>
      </c>
      <c r="D20" s="1">
        <v>1.1252350000000001E-10</v>
      </c>
      <c r="E20" s="1">
        <v>3.7076000000000001E-12</v>
      </c>
      <c r="F20" s="1">
        <v>2.7319000000000001E-12</v>
      </c>
      <c r="G20" s="1">
        <v>9.1792999999999998E-17</v>
      </c>
      <c r="H20" s="1">
        <v>6.5322E-12</v>
      </c>
      <c r="I20" s="1">
        <v>1.4550999999999999E-12</v>
      </c>
      <c r="J20" s="1">
        <v>2.6655000000000001E-13</v>
      </c>
      <c r="K20" s="1"/>
      <c r="L20" s="1"/>
      <c r="N20" s="7"/>
      <c r="O20">
        <f t="shared" si="4"/>
        <v>2.2640000000000002</v>
      </c>
      <c r="P20" s="6">
        <f t="shared" si="5"/>
        <v>99.886291919661176</v>
      </c>
      <c r="Q20" s="6">
        <f t="shared" si="0"/>
        <v>7.2738472087988049</v>
      </c>
      <c r="R20" s="6">
        <f t="shared" si="1"/>
        <v>1.1425656849321548</v>
      </c>
      <c r="S20" s="10">
        <f t="shared" si="2"/>
        <v>0.2092857345565485</v>
      </c>
      <c r="T20" s="6">
        <f t="shared" si="6"/>
        <v>91.260593291373652</v>
      </c>
      <c r="U20" s="6">
        <f t="shared" si="6"/>
        <v>88.349515484426149</v>
      </c>
      <c r="V20" s="6">
        <f t="shared" si="6"/>
        <v>2.9110778069475121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152.22999999999999</v>
      </c>
      <c r="C21" s="8">
        <v>1.1513319999999999E-10</v>
      </c>
      <c r="D21" s="1">
        <v>1.114609E-10</v>
      </c>
      <c r="E21" s="1">
        <v>3.6723E-12</v>
      </c>
      <c r="F21" s="1">
        <v>2.7060999999999999E-12</v>
      </c>
      <c r="G21" s="1">
        <v>9.1212999999999997E-17</v>
      </c>
      <c r="H21" s="1">
        <v>7.3832999999999999E-12</v>
      </c>
      <c r="I21" s="1">
        <v>1.6914E-12</v>
      </c>
      <c r="J21" s="1">
        <v>2.9712E-13</v>
      </c>
      <c r="K21" s="1"/>
      <c r="L21" s="1"/>
      <c r="N21" s="7"/>
      <c r="O21">
        <f t="shared" si="4"/>
        <v>2.5371666666666663</v>
      </c>
      <c r="P21" s="6">
        <f t="shared" si="5"/>
        <v>99.881792468733607</v>
      </c>
      <c r="Q21" s="6">
        <f t="shared" si="0"/>
        <v>7.921843895084753</v>
      </c>
      <c r="R21" s="6">
        <f t="shared" si="1"/>
        <v>1.3280997224110007</v>
      </c>
      <c r="S21" s="10">
        <f t="shared" si="2"/>
        <v>0.23328822904311272</v>
      </c>
      <c r="T21" s="6">
        <f t="shared" si="6"/>
        <v>90.398560622194751</v>
      </c>
      <c r="U21" s="6">
        <f t="shared" si="6"/>
        <v>87.515199140251354</v>
      </c>
      <c r="V21" s="6">
        <f t="shared" si="6"/>
        <v>2.8833614819433993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185</v>
      </c>
      <c r="C22" s="8">
        <v>1.129621E-10</v>
      </c>
      <c r="D22" s="1">
        <v>1.093594E-10</v>
      </c>
      <c r="E22" s="1">
        <v>3.6027E-12</v>
      </c>
      <c r="F22" s="1">
        <v>2.6548E-12</v>
      </c>
      <c r="G22" s="1">
        <v>8.8062000000000005E-17</v>
      </c>
      <c r="H22" s="1">
        <v>9.0612999999999998E-12</v>
      </c>
      <c r="I22" s="1">
        <v>2.1601000000000001E-12</v>
      </c>
      <c r="J22" s="1">
        <v>3.5737999999999999E-13</v>
      </c>
      <c r="K22" s="1"/>
      <c r="L22" s="1"/>
      <c r="N22" s="7"/>
      <c r="O22">
        <f t="shared" si="4"/>
        <v>3.0833333333333335</v>
      </c>
      <c r="P22" s="6">
        <f t="shared" si="5"/>
        <v>99.869667046858169</v>
      </c>
      <c r="Q22" s="6">
        <f t="shared" si="0"/>
        <v>9.1990718238153377</v>
      </c>
      <c r="R22" s="6">
        <f t="shared" si="1"/>
        <v>1.696104090549454</v>
      </c>
      <c r="S22" s="10">
        <f t="shared" si="2"/>
        <v>0.280602272803674</v>
      </c>
      <c r="T22" s="6">
        <f t="shared" si="6"/>
        <v>88.693888859689693</v>
      </c>
      <c r="U22" s="6">
        <f t="shared" si="6"/>
        <v>85.865174862740247</v>
      </c>
      <c r="V22" s="6">
        <f t="shared" si="6"/>
        <v>2.8287139969494555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250.53</v>
      </c>
      <c r="C23" s="8">
        <v>1.088027E-10</v>
      </c>
      <c r="D23" s="1">
        <v>1.053326E-10</v>
      </c>
      <c r="E23" s="1">
        <v>3.4700999999999999E-12</v>
      </c>
      <c r="F23" s="1">
        <v>2.5566999999999998E-12</v>
      </c>
      <c r="G23" s="1">
        <v>8.5209999999999996E-17</v>
      </c>
      <c r="H23" s="1">
        <v>1.2324E-11</v>
      </c>
      <c r="I23" s="1">
        <v>3.0743999999999999E-12</v>
      </c>
      <c r="J23" s="1">
        <v>4.7456999999999997E-13</v>
      </c>
      <c r="K23" s="1"/>
      <c r="L23" s="1"/>
      <c r="N23" s="7"/>
      <c r="O23">
        <f t="shared" si="4"/>
        <v>4.1755000000000004</v>
      </c>
      <c r="P23" s="6">
        <f t="shared" si="5"/>
        <v>99.898472511941506</v>
      </c>
      <c r="Q23" s="6">
        <f t="shared" si="0"/>
        <v>11.68380502800837</v>
      </c>
      <c r="R23" s="6">
        <f t="shared" si="1"/>
        <v>2.4139782238157732</v>
      </c>
      <c r="S23" s="10">
        <f t="shared" si="2"/>
        <v>0.37261576082724152</v>
      </c>
      <c r="T23" s="6">
        <f t="shared" si="6"/>
        <v>85.428073499290107</v>
      </c>
      <c r="U23" s="6">
        <f t="shared" si="6"/>
        <v>82.703472383234299</v>
      </c>
      <c r="V23" s="6">
        <f t="shared" si="6"/>
        <v>2.7246011160558208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165</v>
      </c>
      <c r="AH23" s="1" t="s">
        <v>171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316.07</v>
      </c>
      <c r="C24" s="8">
        <v>1.048012E-10</v>
      </c>
      <c r="D24" s="1">
        <v>1.014587E-10</v>
      </c>
      <c r="E24" s="1">
        <v>3.3424999999999999E-12</v>
      </c>
      <c r="F24" s="1">
        <v>2.4626E-12</v>
      </c>
      <c r="G24" s="1">
        <v>8.4304999999999996E-17</v>
      </c>
      <c r="H24" s="1">
        <v>1.5466000000000001E-11</v>
      </c>
      <c r="I24" s="1">
        <v>3.9563E-12</v>
      </c>
      <c r="J24" s="1">
        <v>5.8743999999999997E-13</v>
      </c>
      <c r="K24" s="1"/>
      <c r="L24" s="1"/>
      <c r="N24" s="7"/>
      <c r="O24">
        <f t="shared" si="4"/>
        <v>5.2678333333333329</v>
      </c>
      <c r="P24" s="6">
        <f t="shared" si="5"/>
        <v>99.930797045005107</v>
      </c>
      <c r="Q24" s="6">
        <f t="shared" si="0"/>
        <v>14.076909475034839</v>
      </c>
      <c r="R24" s="6">
        <f t="shared" si="1"/>
        <v>3.106414539335677</v>
      </c>
      <c r="S24" s="10">
        <f t="shared" si="2"/>
        <v>0.46123733598911598</v>
      </c>
      <c r="T24" s="6">
        <f t="shared" si="6"/>
        <v>82.286235694645484</v>
      </c>
      <c r="U24" s="6">
        <f t="shared" si="6"/>
        <v>79.661821634411893</v>
      </c>
      <c r="V24" s="6">
        <f t="shared" si="6"/>
        <v>2.6244140602335899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447.14</v>
      </c>
      <c r="C25" s="8">
        <v>9.7361299999999988E-11</v>
      </c>
      <c r="D25" s="1">
        <v>9.4256099999999991E-11</v>
      </c>
      <c r="E25" s="1">
        <v>3.1052000000000001E-12</v>
      </c>
      <c r="F25" s="1">
        <v>2.2877E-12</v>
      </c>
      <c r="G25" s="1">
        <v>7.8186E-17</v>
      </c>
      <c r="H25" s="1">
        <v>2.1412000000000001E-11</v>
      </c>
      <c r="I25" s="1">
        <v>5.6270000000000002E-12</v>
      </c>
      <c r="J25" s="1">
        <v>8.0108999999999997E-13</v>
      </c>
      <c r="K25" s="1"/>
      <c r="L25" s="1"/>
      <c r="N25" s="7"/>
      <c r="O25">
        <f t="shared" si="4"/>
        <v>7.4523333333333328</v>
      </c>
      <c r="P25" s="6">
        <f t="shared" si="5"/>
        <v>100.10003455940861</v>
      </c>
      <c r="Q25" s="6">
        <f t="shared" si="0"/>
        <v>18.60817528895079</v>
      </c>
      <c r="R25" s="6">
        <f t="shared" si="1"/>
        <v>4.4181849242698954</v>
      </c>
      <c r="S25" s="10">
        <f t="shared" si="2"/>
        <v>0.6289878412902099</v>
      </c>
      <c r="T25" s="6">
        <f t="shared" si="6"/>
        <v>76.444686504897703</v>
      </c>
      <c r="U25" s="6">
        <f t="shared" si="6"/>
        <v>74.006592102552958</v>
      </c>
      <c r="V25" s="6">
        <f t="shared" si="6"/>
        <v>2.4380944023447553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578.21</v>
      </c>
      <c r="C26" s="8">
        <v>9.0449899999999989E-11</v>
      </c>
      <c r="D26" s="1">
        <v>8.756509999999999E-11</v>
      </c>
      <c r="E26" s="1">
        <v>2.8848E-12</v>
      </c>
      <c r="F26" s="1">
        <v>2.1253999999999998E-12</v>
      </c>
      <c r="G26" s="1">
        <v>7.3097000000000005E-17</v>
      </c>
      <c r="H26" s="1">
        <v>2.6937E-11</v>
      </c>
      <c r="I26" s="1">
        <v>7.1793000000000003E-12</v>
      </c>
      <c r="J26" s="1">
        <v>9.9958000000000007E-13</v>
      </c>
      <c r="K26" s="1"/>
      <c r="L26" s="1"/>
      <c r="N26" s="7"/>
      <c r="O26">
        <f t="shared" si="4"/>
        <v>9.6368333333333336</v>
      </c>
      <c r="P26" s="6">
        <f t="shared" si="5"/>
        <v>100.25870456143984</v>
      </c>
      <c r="Q26" s="6">
        <f t="shared" si="0"/>
        <v>22.818779711034463</v>
      </c>
      <c r="R26" s="6">
        <f t="shared" si="1"/>
        <v>5.6369925802332315</v>
      </c>
      <c r="S26" s="10">
        <f t="shared" si="2"/>
        <v>0.78483524497480694</v>
      </c>
      <c r="T26" s="6">
        <f t="shared" si="6"/>
        <v>71.018097025197363</v>
      </c>
      <c r="U26" s="6">
        <f t="shared" si="6"/>
        <v>68.753052992000093</v>
      </c>
      <c r="V26" s="6">
        <f t="shared" si="6"/>
        <v>2.2650440331972659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709.28</v>
      </c>
      <c r="C27" s="8">
        <v>8.4029099999999991E-11</v>
      </c>
      <c r="D27" s="1">
        <v>8.1349099999999993E-11</v>
      </c>
      <c r="E27" s="1">
        <v>2.6799999999999999E-12</v>
      </c>
      <c r="F27" s="1">
        <v>1.9745000000000001E-12</v>
      </c>
      <c r="G27" s="1">
        <v>6.7760000000000003E-17</v>
      </c>
      <c r="H27" s="1">
        <v>3.2069999999999999E-11</v>
      </c>
      <c r="I27" s="1">
        <v>8.6217000000000007E-12</v>
      </c>
      <c r="J27" s="1">
        <v>1.184E-12</v>
      </c>
      <c r="K27" s="1"/>
      <c r="L27" s="1"/>
      <c r="N27" s="7"/>
      <c r="O27">
        <f t="shared" si="4"/>
        <v>11.821333333333333</v>
      </c>
      <c r="P27" s="6">
        <f t="shared" si="5"/>
        <v>100.40640561350067</v>
      </c>
      <c r="Q27" s="6">
        <f t="shared" si="0"/>
        <v>26.730550328682856</v>
      </c>
      <c r="R27" s="6">
        <f t="shared" si="1"/>
        <v>6.7695104064061828</v>
      </c>
      <c r="S27" s="10">
        <f t="shared" si="2"/>
        <v>0.92963537690847287</v>
      </c>
      <c r="T27" s="6">
        <f t="shared" si="6"/>
        <v>65.976709501503166</v>
      </c>
      <c r="U27" s="6">
        <f t="shared" si="6"/>
        <v>63.872467263230618</v>
      </c>
      <c r="V27" s="6">
        <f t="shared" si="6"/>
        <v>2.104242238272557</v>
      </c>
      <c r="X27" s="5"/>
      <c r="Y27" s="68" t="s">
        <v>135</v>
      </c>
      <c r="Z27" s="69"/>
      <c r="AA27" s="70"/>
      <c r="AB27" s="71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971.43</v>
      </c>
      <c r="C28" s="8">
        <v>7.2236600000000003E-11</v>
      </c>
      <c r="D28" s="1">
        <v>6.9932700000000006E-11</v>
      </c>
      <c r="E28" s="1">
        <v>2.3038999999999999E-12</v>
      </c>
      <c r="F28" s="1">
        <v>1.6974E-12</v>
      </c>
      <c r="G28" s="1">
        <v>5.6758E-17</v>
      </c>
      <c r="H28" s="1">
        <v>4.1263000000000001E-11</v>
      </c>
      <c r="I28" s="1">
        <v>1.1204E-11</v>
      </c>
      <c r="J28" s="1">
        <v>1.5142999999999999E-12</v>
      </c>
      <c r="K28" s="1"/>
      <c r="L28" s="1"/>
      <c r="N28" s="7"/>
      <c r="O28">
        <f t="shared" si="4"/>
        <v>16.1905</v>
      </c>
      <c r="P28" s="6">
        <f t="shared" si="5"/>
        <v>100.4346629156293</v>
      </c>
      <c r="Q28" s="6">
        <f t="shared" si="0"/>
        <v>33.731003079509094</v>
      </c>
      <c r="R28" s="6">
        <f t="shared" si="1"/>
        <v>8.7970333843980182</v>
      </c>
      <c r="S28" s="10">
        <f t="shared" si="2"/>
        <v>1.1889753811254227</v>
      </c>
      <c r="T28" s="6">
        <f t="shared" si="6"/>
        <v>56.717651070596787</v>
      </c>
      <c r="U28" s="6">
        <f t="shared" si="6"/>
        <v>54.908709394195242</v>
      </c>
      <c r="V28" s="6">
        <f t="shared" si="6"/>
        <v>1.8089416764015462</v>
      </c>
      <c r="X28" s="5"/>
      <c r="Y28" s="72"/>
      <c r="Z28" s="73"/>
      <c r="AA28" s="74"/>
      <c r="AB28" s="7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1233.5999999999999</v>
      </c>
      <c r="C29" s="8">
        <v>6.1992900000000004E-11</v>
      </c>
      <c r="D29" s="1">
        <v>6.0015700000000002E-11</v>
      </c>
      <c r="E29" s="1">
        <v>1.9772000000000001E-12</v>
      </c>
      <c r="F29" s="1">
        <v>1.4567E-12</v>
      </c>
      <c r="G29" s="1">
        <v>4.8313999999999997E-17</v>
      </c>
      <c r="H29" s="1">
        <v>4.9160999999999997E-11</v>
      </c>
      <c r="I29" s="1">
        <v>1.3420000000000001E-11</v>
      </c>
      <c r="J29" s="1">
        <v>1.798E-12</v>
      </c>
      <c r="K29" s="1"/>
      <c r="L29" s="1"/>
      <c r="N29" s="7"/>
      <c r="O29">
        <f t="shared" si="4"/>
        <v>20.56</v>
      </c>
      <c r="P29" s="6">
        <f t="shared" si="5"/>
        <v>100.36658247895778</v>
      </c>
      <c r="Q29" s="6">
        <f t="shared" si="0"/>
        <v>39.743247143361494</v>
      </c>
      <c r="R29" s="6">
        <f t="shared" si="1"/>
        <v>10.536952426110901</v>
      </c>
      <c r="S29" s="10">
        <f t="shared" si="2"/>
        <v>1.411726695676887</v>
      </c>
      <c r="T29" s="6">
        <f t="shared" si="6"/>
        <v>48.674656213808511</v>
      </c>
      <c r="U29" s="6">
        <f t="shared" si="6"/>
        <v>47.122227947572497</v>
      </c>
      <c r="V29" s="6">
        <f t="shared" si="6"/>
        <v>1.5524282662360074</v>
      </c>
      <c r="X29" s="5"/>
      <c r="Y29" s="76" t="s">
        <v>143</v>
      </c>
      <c r="Z29" s="73"/>
      <c r="AA29" s="74"/>
      <c r="AB29" s="7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1495.7</v>
      </c>
      <c r="C30" s="8">
        <v>5.3167300000000001E-11</v>
      </c>
      <c r="D30" s="1">
        <v>5.1471600000000004E-11</v>
      </c>
      <c r="E30" s="1">
        <v>1.6956999999999999E-12</v>
      </c>
      <c r="F30" s="1">
        <v>1.2492999999999999E-12</v>
      </c>
      <c r="G30" s="1">
        <v>4.228E-17</v>
      </c>
      <c r="H30" s="1">
        <v>5.5936000000000001E-11</v>
      </c>
      <c r="I30" s="1">
        <v>1.5322999999999998E-11</v>
      </c>
      <c r="J30" s="1">
        <v>2.0414000000000002E-12</v>
      </c>
      <c r="K30" s="1"/>
      <c r="L30" s="1"/>
      <c r="N30" s="7"/>
      <c r="O30">
        <f t="shared" si="4"/>
        <v>24.928333333333335</v>
      </c>
      <c r="P30" s="6">
        <f t="shared" si="5"/>
        <v>100.27895332567836</v>
      </c>
      <c r="Q30" s="6">
        <f t="shared" si="0"/>
        <v>44.89989689115211</v>
      </c>
      <c r="R30" s="6">
        <f t="shared" si="1"/>
        <v>12.031116710601573</v>
      </c>
      <c r="S30" s="10">
        <f t="shared" si="2"/>
        <v>1.6028358601528352</v>
      </c>
      <c r="T30" s="6">
        <f t="shared" si="6"/>
        <v>41.745103863771831</v>
      </c>
      <c r="U30" s="6">
        <f t="shared" si="6"/>
        <v>40.413699549055877</v>
      </c>
      <c r="V30" s="6">
        <f t="shared" si="6"/>
        <v>1.3314043147159607</v>
      </c>
      <c r="X30" s="5"/>
      <c r="Y30" s="76" t="s">
        <v>144</v>
      </c>
      <c r="Z30" s="73"/>
      <c r="AA30" s="74"/>
      <c r="AB30" s="7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1927.7</v>
      </c>
      <c r="C31" s="8">
        <v>4.1166999999999999E-11</v>
      </c>
      <c r="D31" s="1">
        <v>3.9853999999999999E-11</v>
      </c>
      <c r="E31" s="1">
        <v>1.313E-12</v>
      </c>
      <c r="F31" s="1">
        <v>9.6733000000000008E-13</v>
      </c>
      <c r="G31" s="1">
        <v>3.2542999999999997E-17</v>
      </c>
      <c r="H31" s="1">
        <v>6.5082000000000001E-11</v>
      </c>
      <c r="I31" s="1">
        <v>1.7892E-11</v>
      </c>
      <c r="J31" s="1">
        <v>2.3700000000000002E-12</v>
      </c>
      <c r="K31" s="1"/>
      <c r="L31" s="1"/>
      <c r="N31" s="7"/>
      <c r="O31">
        <f t="shared" si="4"/>
        <v>32.128333333333337</v>
      </c>
      <c r="P31" s="6">
        <f t="shared" si="5"/>
        <v>100.0915503465682</v>
      </c>
      <c r="Q31" s="6">
        <f t="shared" si="0"/>
        <v>51.859623132687581</v>
      </c>
      <c r="R31" s="6">
        <f t="shared" si="1"/>
        <v>14.04819798713722</v>
      </c>
      <c r="S31" s="57">
        <f t="shared" si="2"/>
        <v>1.8608410838455076</v>
      </c>
      <c r="T31" s="6">
        <f t="shared" si="6"/>
        <v>32.322888142897888</v>
      </c>
      <c r="U31" s="6">
        <f t="shared" si="6"/>
        <v>31.291966479147192</v>
      </c>
      <c r="V31" s="6">
        <f t="shared" si="6"/>
        <v>1.0309216637506966</v>
      </c>
      <c r="X31" s="5"/>
      <c r="Y31" s="76" t="s">
        <v>145</v>
      </c>
      <c r="Z31" s="73"/>
      <c r="AA31" s="74"/>
      <c r="AB31" s="7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2316.5</v>
      </c>
      <c r="C32" s="8">
        <v>3.2683299999999996E-11</v>
      </c>
      <c r="D32" s="1">
        <v>3.1640899999999996E-11</v>
      </c>
      <c r="E32" s="1">
        <v>1.0424000000000001E-12</v>
      </c>
      <c r="F32" s="1">
        <v>7.6799999999999996E-13</v>
      </c>
      <c r="G32" s="1">
        <v>2.5329000000000001E-17</v>
      </c>
      <c r="H32" s="1">
        <v>7.1526000000000002E-11</v>
      </c>
      <c r="I32" s="1">
        <v>1.9700999999999999E-11</v>
      </c>
      <c r="J32" s="1">
        <v>2.6015000000000002E-12</v>
      </c>
      <c r="K32" s="1"/>
      <c r="L32" s="1"/>
      <c r="N32" s="7"/>
      <c r="O32">
        <f t="shared" si="4"/>
        <v>38.608333333333334</v>
      </c>
      <c r="P32" s="6">
        <f t="shared" si="5"/>
        <v>99.935665872102618</v>
      </c>
      <c r="Q32" s="6">
        <f t="shared" si="0"/>
        <v>56.762719542416505</v>
      </c>
      <c r="R32" s="6">
        <f t="shared" si="1"/>
        <v>15.468555833790781</v>
      </c>
      <c r="S32" s="57">
        <f t="shared" si="2"/>
        <v>2.0426067846515137</v>
      </c>
      <c r="T32" s="6">
        <f t="shared" si="6"/>
        <v>25.661783711243825</v>
      </c>
      <c r="U32" s="6">
        <f t="shared" si="6"/>
        <v>24.843327700357516</v>
      </c>
      <c r="V32" s="6">
        <f t="shared" si="6"/>
        <v>0.81845601088631104</v>
      </c>
      <c r="X32" s="5"/>
      <c r="Y32" s="76" t="s">
        <v>146</v>
      </c>
      <c r="Z32" s="73"/>
      <c r="AA32" s="74"/>
      <c r="AB32" s="7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2705.3</v>
      </c>
      <c r="C33" s="8">
        <v>2.5943939999999999E-11</v>
      </c>
      <c r="D33" s="1">
        <v>2.5116499999999999E-11</v>
      </c>
      <c r="E33" s="1">
        <v>8.2743999999999996E-13</v>
      </c>
      <c r="F33" s="1">
        <v>6.0963E-13</v>
      </c>
      <c r="G33" s="1">
        <v>2.0221999999999999E-17</v>
      </c>
      <c r="H33" s="1">
        <v>7.6641999999999998E-11</v>
      </c>
      <c r="I33" s="1">
        <v>2.1137000000000001E-11</v>
      </c>
      <c r="J33" s="1">
        <v>2.7852999999999999E-12</v>
      </c>
      <c r="K33" s="1"/>
      <c r="L33" s="1"/>
      <c r="N33" s="7"/>
      <c r="O33">
        <f t="shared" si="4"/>
        <v>45.088333333333338</v>
      </c>
      <c r="P33" s="6">
        <f t="shared" si="5"/>
        <v>99.808520091502416</v>
      </c>
      <c r="Q33" s="6">
        <f t="shared" si="0"/>
        <v>60.655277172165455</v>
      </c>
      <c r="R33" s="6">
        <f t="shared" si="1"/>
        <v>16.59604878446029</v>
      </c>
      <c r="S33" s="57">
        <f t="shared" si="2"/>
        <v>2.1869201142763255</v>
      </c>
      <c r="T33" s="6">
        <f t="shared" si="6"/>
        <v>20.370274020600341</v>
      </c>
      <c r="U33" s="6">
        <f t="shared" si="6"/>
        <v>19.720597081183833</v>
      </c>
      <c r="V33" s="6">
        <f t="shared" si="6"/>
        <v>0.64967693941650906</v>
      </c>
      <c r="X33" s="5"/>
      <c r="Y33" s="72"/>
      <c r="Z33" s="73"/>
      <c r="AA33" s="74"/>
      <c r="AB33" s="7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3094.1</v>
      </c>
      <c r="C34" s="8">
        <v>2.0592460000000002E-11</v>
      </c>
      <c r="D34" s="1">
        <v>1.99357E-11</v>
      </c>
      <c r="E34" s="1">
        <v>6.5676000000000002E-13</v>
      </c>
      <c r="F34" s="1">
        <v>4.8387000000000004E-13</v>
      </c>
      <c r="G34" s="1">
        <v>1.6308999999999998E-17</v>
      </c>
      <c r="H34" s="1">
        <v>8.0703000000000003E-11</v>
      </c>
      <c r="I34" s="1">
        <v>2.2277E-11</v>
      </c>
      <c r="J34" s="1">
        <v>2.9311999999999999E-12</v>
      </c>
      <c r="K34" s="1"/>
      <c r="L34" s="1"/>
      <c r="N34" s="7"/>
      <c r="O34">
        <f t="shared" si="4"/>
        <v>51.568333333333335</v>
      </c>
      <c r="P34" s="6">
        <f t="shared" si="5"/>
        <v>99.706178611190339</v>
      </c>
      <c r="Q34" s="6">
        <f t="shared" si="0"/>
        <v>63.745089942963851</v>
      </c>
      <c r="R34" s="6">
        <f t="shared" si="1"/>
        <v>17.491133828389707</v>
      </c>
      <c r="S34" s="57">
        <f t="shared" si="2"/>
        <v>2.3014756898598949</v>
      </c>
      <c r="T34" s="6">
        <f t="shared" si="6"/>
        <v>16.168479149976903</v>
      </c>
      <c r="U34" s="6">
        <f t="shared" si="6"/>
        <v>15.652814175197841</v>
      </c>
      <c r="V34" s="6">
        <f t="shared" si="6"/>
        <v>0.51566497477906137</v>
      </c>
      <c r="X34" s="5"/>
      <c r="Y34" s="72"/>
      <c r="Z34" s="73"/>
      <c r="AA34" s="74"/>
      <c r="AB34" s="7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3482.9</v>
      </c>
      <c r="C35" s="8">
        <v>1.6343859999999997E-11</v>
      </c>
      <c r="D35" s="1">
        <v>1.5822599999999998E-11</v>
      </c>
      <c r="E35" s="1">
        <v>5.2126000000000004E-13</v>
      </c>
      <c r="F35" s="1">
        <v>3.8404E-13</v>
      </c>
      <c r="G35" s="1">
        <v>1.2868E-17</v>
      </c>
      <c r="H35" s="1">
        <v>8.3926000000000006E-11</v>
      </c>
      <c r="I35" s="1">
        <v>2.3181999999999999E-11</v>
      </c>
      <c r="J35" s="1">
        <v>3.0469999999999998E-12</v>
      </c>
      <c r="K35" s="1"/>
      <c r="L35" s="1"/>
      <c r="N35" s="7"/>
      <c r="O35">
        <f t="shared" si="4"/>
        <v>58.048333333333332</v>
      </c>
      <c r="P35" s="6">
        <f t="shared" si="5"/>
        <v>99.624024093993341</v>
      </c>
      <c r="Q35" s="6">
        <f t="shared" si="0"/>
        <v>66.197293760615224</v>
      </c>
      <c r="R35" s="6">
        <f t="shared" si="1"/>
        <v>18.201705464561019</v>
      </c>
      <c r="S35" s="57">
        <f t="shared" si="2"/>
        <v>2.392397798513612</v>
      </c>
      <c r="T35" s="6">
        <f t="shared" si="6"/>
        <v>12.832627070303474</v>
      </c>
      <c r="U35" s="6">
        <f t="shared" si="6"/>
        <v>12.423351954959461</v>
      </c>
      <c r="V35" s="6">
        <f t="shared" si="6"/>
        <v>0.4092751153440124</v>
      </c>
      <c r="X35" s="5"/>
      <c r="Y35" s="77" t="s">
        <v>141</v>
      </c>
      <c r="Z35" s="78" t="s">
        <v>136</v>
      </c>
      <c r="AA35" s="79"/>
      <c r="AB35" s="90">
        <v>0.35663368410212098</v>
      </c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3871.7</v>
      </c>
      <c r="C36" s="8">
        <v>1.297143E-11</v>
      </c>
      <c r="D36" s="1">
        <v>1.255772E-11</v>
      </c>
      <c r="E36" s="1">
        <v>4.1371000000000001E-13</v>
      </c>
      <c r="F36" s="1">
        <v>3.0480999999999999E-13</v>
      </c>
      <c r="G36" s="1">
        <v>1.0127E-17</v>
      </c>
      <c r="H36" s="1">
        <v>8.6484000000000003E-11</v>
      </c>
      <c r="I36" s="1">
        <v>2.39E-11</v>
      </c>
      <c r="J36" s="1">
        <v>3.1388999999999999E-12</v>
      </c>
      <c r="K36" s="1"/>
      <c r="L36" s="1"/>
      <c r="N36" s="7"/>
      <c r="O36">
        <f t="shared" si="4"/>
        <v>64.528333333333336</v>
      </c>
      <c r="P36" s="6">
        <f t="shared" si="5"/>
        <v>99.558256520259874</v>
      </c>
      <c r="Q36" s="6">
        <f t="shared" si="0"/>
        <v>68.14353724306406</v>
      </c>
      <c r="R36" s="6">
        <f t="shared" si="1"/>
        <v>18.765451792677332</v>
      </c>
      <c r="S36" s="57">
        <f t="shared" si="2"/>
        <v>2.4645544633260181</v>
      </c>
      <c r="T36" s="6">
        <f t="shared" si="6"/>
        <v>10.18471302119246</v>
      </c>
      <c r="U36" s="6">
        <f t="shared" si="6"/>
        <v>9.8598824031343479</v>
      </c>
      <c r="V36" s="6">
        <f t="shared" si="6"/>
        <v>0.32483061805811175</v>
      </c>
      <c r="X36" s="5"/>
      <c r="Y36" s="81"/>
      <c r="Z36" s="82" t="s">
        <v>137</v>
      </c>
      <c r="AA36" s="79"/>
      <c r="AB36" s="90">
        <v>75.8694469729801</v>
      </c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4260.5</v>
      </c>
      <c r="C37" s="8">
        <v>1.029521E-11</v>
      </c>
      <c r="D37" s="1">
        <v>9.9668600000000006E-12</v>
      </c>
      <c r="E37" s="1">
        <v>3.2835000000000001E-13</v>
      </c>
      <c r="F37" s="1">
        <v>2.4191999999999999E-13</v>
      </c>
      <c r="G37" s="1">
        <v>8.0604999999999996E-18</v>
      </c>
      <c r="H37" s="1">
        <v>8.8513999999999995E-11</v>
      </c>
      <c r="I37" s="1">
        <v>2.4470000000000001E-11</v>
      </c>
      <c r="J37" s="1">
        <v>3.2118000000000001E-12</v>
      </c>
      <c r="K37" s="1"/>
      <c r="L37" s="1"/>
      <c r="N37" s="7"/>
      <c r="O37">
        <f t="shared" si="4"/>
        <v>71.00833333333334</v>
      </c>
      <c r="P37" s="6">
        <f t="shared" si="5"/>
        <v>99.506269122120841</v>
      </c>
      <c r="Q37" s="6">
        <f t="shared" si="0"/>
        <v>69.688043194305976</v>
      </c>
      <c r="R37" s="6">
        <f t="shared" si="1"/>
        <v>19.212994228273892</v>
      </c>
      <c r="S37" s="56">
        <f t="shared" si="2"/>
        <v>2.521792992867089</v>
      </c>
      <c r="T37" s="6">
        <f t="shared" si="6"/>
        <v>8.0834387066738849</v>
      </c>
      <c r="U37" s="1">
        <f t="shared" si="6"/>
        <v>7.8256297742347822</v>
      </c>
      <c r="V37" s="1">
        <f t="shared" si="6"/>
        <v>0.25780893243910225</v>
      </c>
      <c r="X37" s="5"/>
      <c r="Y37" s="81"/>
      <c r="Z37" s="82" t="s">
        <v>138</v>
      </c>
      <c r="AA37" s="79"/>
      <c r="AB37" s="90">
        <v>1.5760786368460299E-2</v>
      </c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4320</v>
      </c>
      <c r="C38" s="8">
        <v>9.9344900000000004E-12</v>
      </c>
      <c r="D38" s="1">
        <v>9.6176500000000003E-12</v>
      </c>
      <c r="E38" s="1">
        <v>3.1683999999999999E-13</v>
      </c>
      <c r="F38" s="1">
        <v>2.3344000000000001E-13</v>
      </c>
      <c r="G38" s="1">
        <v>7.7823000000000006E-18</v>
      </c>
      <c r="H38" s="1">
        <v>8.8783999999999998E-11</v>
      </c>
      <c r="I38" s="1">
        <v>2.4546E-11</v>
      </c>
      <c r="J38" s="1">
        <v>3.2215E-12</v>
      </c>
      <c r="K38" s="1"/>
      <c r="L38" s="1"/>
      <c r="N38" s="7"/>
      <c r="O38" s="51">
        <f t="shared" si="4"/>
        <v>72</v>
      </c>
      <c r="P38" s="52">
        <f t="shared" si="5"/>
        <v>99.495669175995133</v>
      </c>
      <c r="Q38" s="52">
        <f t="shared" si="0"/>
        <v>69.893379548840684</v>
      </c>
      <c r="R38" s="52">
        <f t="shared" si="1"/>
        <v>19.272666550926328</v>
      </c>
      <c r="S38" s="53">
        <f t="shared" si="2"/>
        <v>2.5294090935056128</v>
      </c>
      <c r="T38" s="52">
        <f t="shared" si="6"/>
        <v>7.8002139827225134</v>
      </c>
      <c r="U38" s="1">
        <f t="shared" si="6"/>
        <v>7.5514422995977828</v>
      </c>
      <c r="V38" s="1">
        <f t="shared" si="6"/>
        <v>0.24877168312473019</v>
      </c>
      <c r="X38" s="5"/>
      <c r="Y38" s="81"/>
      <c r="Z38" s="82" t="s">
        <v>139</v>
      </c>
      <c r="AA38" s="79"/>
      <c r="AB38" s="90">
        <v>7.2395851658219597</v>
      </c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2344.1999999999998</v>
      </c>
      <c r="C39" s="8">
        <v>2.1333999999999998E-12</v>
      </c>
      <c r="D39" s="1">
        <v>1.7836399999999999E-12</v>
      </c>
      <c r="E39" s="1">
        <v>3.4976000000000002E-13</v>
      </c>
      <c r="F39" s="1">
        <v>4.3499000000000001E-14</v>
      </c>
      <c r="G39" s="1">
        <v>1.9162E-17</v>
      </c>
      <c r="H39" s="1">
        <v>2.7931E-11</v>
      </c>
      <c r="I39" s="1">
        <v>1.0003E-10</v>
      </c>
      <c r="J39" s="1">
        <v>1.1756E-12</v>
      </c>
      <c r="K39" s="1"/>
      <c r="L39" s="1"/>
      <c r="N39" s="7"/>
      <c r="P39" s="6"/>
      <c r="Q39" s="6"/>
      <c r="R39" s="6"/>
      <c r="S39" s="5"/>
      <c r="T39" s="6"/>
      <c r="U39" s="1"/>
      <c r="V39" s="1"/>
      <c r="X39" s="5"/>
      <c r="Y39" s="81"/>
      <c r="Z39" s="82" t="s">
        <v>140</v>
      </c>
      <c r="AA39" s="79"/>
      <c r="AB39" s="90">
        <v>3.5110125881876099E-2</v>
      </c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2450.4</v>
      </c>
      <c r="C40" s="8">
        <v>1.7710699999999998E-12</v>
      </c>
      <c r="D40" s="1">
        <v>1.4807099999999999E-12</v>
      </c>
      <c r="E40" s="1">
        <v>2.9035999999999999E-13</v>
      </c>
      <c r="F40" s="1">
        <v>3.6112000000000003E-14</v>
      </c>
      <c r="G40" s="1">
        <v>1.5879999999999999E-17</v>
      </c>
      <c r="H40" s="1">
        <v>2.8012E-11</v>
      </c>
      <c r="I40" s="1">
        <v>1.0031E-10</v>
      </c>
      <c r="J40" s="1">
        <v>1.1789999999999999E-12</v>
      </c>
      <c r="K40" s="1"/>
      <c r="L40" s="1"/>
      <c r="N40" s="7"/>
      <c r="P40" s="6"/>
      <c r="Q40" s="6"/>
      <c r="R40" s="6"/>
      <c r="S40" s="5"/>
      <c r="T40" s="6"/>
      <c r="U40" s="1"/>
      <c r="V40" s="1"/>
      <c r="X40" s="5"/>
      <c r="Y40" s="81"/>
      <c r="Z40" s="103" t="s">
        <v>151</v>
      </c>
      <c r="AA40" s="85"/>
      <c r="AB40" s="109">
        <v>8.6161294333951197</v>
      </c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2556.5</v>
      </c>
      <c r="C41" s="8">
        <v>1.4702149999999999E-12</v>
      </c>
      <c r="D41" s="1">
        <v>1.229175E-12</v>
      </c>
      <c r="E41" s="1">
        <v>2.4104E-13</v>
      </c>
      <c r="F41" s="1">
        <v>2.9978999999999999E-14</v>
      </c>
      <c r="G41" s="1">
        <v>1.3175E-17</v>
      </c>
      <c r="H41" s="1">
        <v>2.8078999999999999E-11</v>
      </c>
      <c r="I41" s="1">
        <v>1.0055E-10</v>
      </c>
      <c r="J41" s="1">
        <v>1.1818000000000001E-12</v>
      </c>
      <c r="K41" s="1"/>
      <c r="L41" s="1"/>
      <c r="N41" s="7"/>
      <c r="P41" s="6"/>
      <c r="Q41" s="6"/>
      <c r="R41" s="6"/>
      <c r="S41" s="5"/>
      <c r="T41" s="6"/>
      <c r="U41" s="1"/>
      <c r="V41" s="1"/>
      <c r="X41" s="5"/>
      <c r="Y41" s="81"/>
      <c r="Z41" s="103" t="s">
        <v>152</v>
      </c>
      <c r="AA41" s="85"/>
      <c r="AB41" s="109">
        <v>-7.2395851658219597</v>
      </c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2662.7</v>
      </c>
      <c r="C42" s="8">
        <v>1.220561E-12</v>
      </c>
      <c r="D42" s="1">
        <v>1.0204509999999999E-12</v>
      </c>
      <c r="E42" s="1">
        <v>2.0010999999999999E-13</v>
      </c>
      <c r="F42" s="1">
        <v>2.4886999999999999E-14</v>
      </c>
      <c r="G42" s="1">
        <v>1.0954E-17</v>
      </c>
      <c r="H42" s="1">
        <v>2.8133999999999999E-11</v>
      </c>
      <c r="I42" s="1">
        <v>1.0075E-10</v>
      </c>
      <c r="J42" s="1">
        <v>1.1841E-12</v>
      </c>
      <c r="K42" s="1"/>
      <c r="L42" s="1"/>
      <c r="N42" s="7"/>
      <c r="P42" s="6"/>
      <c r="Q42" s="6"/>
      <c r="R42" s="6"/>
      <c r="S42" s="5"/>
      <c r="T42" s="6"/>
      <c r="U42" s="1"/>
      <c r="V42" s="1"/>
      <c r="X42" s="5"/>
      <c r="Y42" s="81"/>
      <c r="Z42" s="103" t="s">
        <v>153</v>
      </c>
      <c r="AA42" s="85"/>
      <c r="AB42" s="109">
        <v>2.6094783687634102</v>
      </c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2768.9</v>
      </c>
      <c r="C43" s="8">
        <v>1.01327E-12</v>
      </c>
      <c r="D43" s="8">
        <v>8.4714999999999998E-13</v>
      </c>
      <c r="E43" s="8">
        <v>1.6612E-13</v>
      </c>
      <c r="F43" s="1">
        <v>2.0661E-14</v>
      </c>
      <c r="G43" s="1">
        <v>9.0828999999999996E-18</v>
      </c>
      <c r="H43" s="1">
        <v>2.818E-11</v>
      </c>
      <c r="I43" s="1">
        <v>1.0092E-10</v>
      </c>
      <c r="J43" s="1">
        <v>1.186E-12</v>
      </c>
      <c r="K43" s="1"/>
      <c r="L43" s="1"/>
      <c r="N43" s="7"/>
      <c r="P43" s="6"/>
      <c r="Q43" s="6"/>
      <c r="R43" s="6"/>
      <c r="S43" s="5"/>
      <c r="T43" s="6"/>
      <c r="U43" s="1"/>
      <c r="V43" s="1"/>
      <c r="X43" s="5"/>
      <c r="Y43" s="81"/>
      <c r="Z43" s="103" t="s">
        <v>154</v>
      </c>
      <c r="AA43" s="85"/>
      <c r="AB43" s="109">
        <v>-3.5110125881876099E-2</v>
      </c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x14ac:dyDescent="0.3">
      <c r="B44" s="7">
        <v>2875</v>
      </c>
      <c r="C44" s="8">
        <v>8.4118499999999991E-13</v>
      </c>
      <c r="D44" s="8">
        <v>7.0327499999999995E-13</v>
      </c>
      <c r="E44" s="8">
        <v>1.3790999999999999E-13</v>
      </c>
      <c r="F44" s="1">
        <v>1.7152000000000001E-14</v>
      </c>
      <c r="G44" s="1">
        <v>7.5417999999999994E-18</v>
      </c>
      <c r="H44" s="1">
        <v>2.8218999999999998E-11</v>
      </c>
      <c r="I44" s="1">
        <v>1.0106E-10</v>
      </c>
      <c r="J44" s="1">
        <v>1.1875999999999999E-12</v>
      </c>
      <c r="K44" s="1"/>
      <c r="L44" s="1"/>
      <c r="N44" s="7"/>
      <c r="P44" s="6"/>
      <c r="Q44" s="6"/>
      <c r="R44" s="6"/>
      <c r="S44" s="5"/>
      <c r="T44" s="6"/>
      <c r="U44" s="1"/>
      <c r="V44" s="1"/>
      <c r="X44" s="5"/>
      <c r="Y44" s="81"/>
      <c r="Z44" s="101"/>
      <c r="AA44" s="83"/>
      <c r="AB44" s="110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2981.2</v>
      </c>
      <c r="C45" s="8">
        <v>6.9832799999999997E-13</v>
      </c>
      <c r="D45" s="8">
        <v>5.8383799999999992E-13</v>
      </c>
      <c r="E45" s="8">
        <v>1.1449E-13</v>
      </c>
      <c r="F45" s="1">
        <v>1.4239000000000001E-14</v>
      </c>
      <c r="G45" s="1">
        <v>6.2728000000000002E-18</v>
      </c>
      <c r="H45" s="1">
        <v>2.8249999999999999E-11</v>
      </c>
      <c r="I45" s="1">
        <v>1.0117E-10</v>
      </c>
      <c r="J45" s="8">
        <v>1.1888999999999999E-12</v>
      </c>
      <c r="K45" s="1"/>
      <c r="L45" s="1"/>
      <c r="N45" s="7"/>
      <c r="P45" s="6"/>
      <c r="Q45" s="6"/>
      <c r="R45" s="6"/>
      <c r="S45" s="5"/>
      <c r="T45" s="6"/>
      <c r="U45" s="1"/>
      <c r="V45" s="1"/>
      <c r="X45" s="5"/>
      <c r="Y45" s="77" t="s">
        <v>142</v>
      </c>
      <c r="Z45" s="102" t="s">
        <v>136</v>
      </c>
      <c r="AA45" s="83"/>
      <c r="AB45" s="111">
        <v>6.8220846511043501E-3</v>
      </c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>
        <v>3087.4</v>
      </c>
      <c r="C46" s="8">
        <v>5.7972000000000008E-13</v>
      </c>
      <c r="D46" s="8">
        <v>4.8467600000000002E-13</v>
      </c>
      <c r="E46" s="8">
        <v>9.5044000000000004E-14</v>
      </c>
      <c r="F46" s="1">
        <v>1.1821E-14</v>
      </c>
      <c r="G46" s="1">
        <v>5.1964000000000003E-18</v>
      </c>
      <c r="H46" s="1">
        <v>2.8277000000000002E-11</v>
      </c>
      <c r="I46" s="1">
        <v>1.0127E-10</v>
      </c>
      <c r="J46" s="8">
        <v>1.1900999999999999E-12</v>
      </c>
      <c r="K46" s="1"/>
      <c r="L46" s="1"/>
      <c r="N46" s="7"/>
      <c r="P46" s="6"/>
      <c r="Q46" s="6"/>
      <c r="R46" s="6"/>
      <c r="S46" s="5"/>
      <c r="T46" s="6"/>
      <c r="U46" s="1"/>
      <c r="V46" s="1"/>
      <c r="X46" s="5"/>
      <c r="Y46" s="81"/>
      <c r="Z46" s="102" t="s">
        <v>137</v>
      </c>
      <c r="AA46" s="83"/>
      <c r="AB46" s="111">
        <v>21.004568067335502</v>
      </c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3193.6</v>
      </c>
      <c r="C47" s="8">
        <v>4.8126600000000004E-13</v>
      </c>
      <c r="D47" s="8">
        <v>4.0236300000000003E-13</v>
      </c>
      <c r="E47" s="8">
        <v>7.8903E-14</v>
      </c>
      <c r="F47" s="1">
        <v>9.8131999999999994E-15</v>
      </c>
      <c r="G47" s="1">
        <v>4.3106999999999997E-18</v>
      </c>
      <c r="H47" s="1">
        <v>2.8299E-11</v>
      </c>
      <c r="I47" s="1">
        <v>1.0134E-10</v>
      </c>
      <c r="J47" s="8">
        <v>1.1910000000000001E-12</v>
      </c>
      <c r="K47" s="1"/>
      <c r="L47" s="1"/>
      <c r="N47" s="7"/>
      <c r="P47" s="6"/>
      <c r="Q47" s="6"/>
      <c r="R47" s="6"/>
      <c r="S47" s="5"/>
      <c r="T47" s="6"/>
      <c r="U47" s="1"/>
      <c r="V47" s="1"/>
      <c r="X47" s="5"/>
      <c r="Y47" s="81"/>
      <c r="Z47" s="102" t="s">
        <v>138</v>
      </c>
      <c r="AA47" s="83"/>
      <c r="AB47" s="111">
        <v>-2.5428492981442199E-2</v>
      </c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8.75" x14ac:dyDescent="0.3">
      <c r="B48" s="7">
        <v>3299.7</v>
      </c>
      <c r="C48" s="8">
        <v>3.9953799999999999E-13</v>
      </c>
      <c r="D48" s="8">
        <v>3.34035E-13</v>
      </c>
      <c r="E48" s="8">
        <v>6.5503000000000001E-14</v>
      </c>
      <c r="F48" s="1">
        <v>8.1466000000000003E-15</v>
      </c>
      <c r="G48" s="1">
        <v>3.5914E-18</v>
      </c>
      <c r="H48" s="1">
        <v>2.8316999999999999E-11</v>
      </c>
      <c r="I48" s="1">
        <v>1.0141E-10</v>
      </c>
      <c r="J48" s="8">
        <v>1.1917000000000001E-12</v>
      </c>
      <c r="K48" s="1"/>
      <c r="L48" s="1"/>
      <c r="N48" s="7"/>
      <c r="P48" s="6"/>
      <c r="Q48" s="6"/>
      <c r="R48" s="6"/>
      <c r="S48" s="5"/>
      <c r="T48" s="6"/>
      <c r="U48" s="1"/>
      <c r="V48" s="1"/>
      <c r="X48" s="5"/>
      <c r="Y48" s="81"/>
      <c r="Z48" s="102" t="s">
        <v>139</v>
      </c>
      <c r="AA48" s="83"/>
      <c r="AB48" s="111">
        <v>1.5811818474622099</v>
      </c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 ht="18.75" x14ac:dyDescent="0.3">
      <c r="B49">
        <v>3405.9</v>
      </c>
      <c r="C49">
        <v>3.3167700000000004E-13</v>
      </c>
      <c r="D49">
        <v>2.7729900000000002E-13</v>
      </c>
      <c r="E49">
        <v>5.4377999999999998E-14</v>
      </c>
      <c r="F49" s="1">
        <v>6.7629999999999997E-15</v>
      </c>
      <c r="G49" s="1">
        <v>2.9805E-18</v>
      </c>
      <c r="H49" s="1">
        <v>2.8331999999999998E-11</v>
      </c>
      <c r="I49" s="1">
        <v>1.0146E-10</v>
      </c>
      <c r="J49" s="1">
        <v>1.1924E-12</v>
      </c>
      <c r="N49" s="7"/>
      <c r="P49" s="6"/>
      <c r="Q49" s="6"/>
      <c r="R49" s="6"/>
      <c r="S49" s="5"/>
      <c r="T49" s="6"/>
      <c r="U49" s="1"/>
      <c r="V49" s="1"/>
      <c r="X49" s="5"/>
      <c r="Y49" s="81"/>
      <c r="Z49" s="102" t="s">
        <v>140</v>
      </c>
      <c r="AA49" s="83"/>
      <c r="AB49" s="111">
        <v>3.5105650659267899E-2</v>
      </c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 ht="18.75" x14ac:dyDescent="0.3">
      <c r="B50">
        <v>3512.1</v>
      </c>
      <c r="C50">
        <v>2.7535400000000002E-13</v>
      </c>
      <c r="D50">
        <v>2.3021100000000001E-13</v>
      </c>
      <c r="E50">
        <v>4.5143E-14</v>
      </c>
      <c r="F50" s="1">
        <v>5.6145E-15</v>
      </c>
      <c r="G50" s="1">
        <v>2.4683999999999999E-18</v>
      </c>
      <c r="H50" s="1">
        <v>2.8344000000000001E-11</v>
      </c>
      <c r="I50" s="1">
        <v>1.0150999999999999E-10</v>
      </c>
      <c r="J50" s="1">
        <v>1.1929000000000001E-12</v>
      </c>
      <c r="N50" s="7"/>
      <c r="P50" s="6"/>
      <c r="Q50" s="6"/>
      <c r="R50" s="6"/>
      <c r="S50" s="5"/>
      <c r="T50" s="6"/>
      <c r="U50" s="1"/>
      <c r="V50" s="1"/>
      <c r="X50" s="5"/>
      <c r="Y50" s="81"/>
      <c r="Z50" s="103" t="s">
        <v>151</v>
      </c>
      <c r="AA50" s="86"/>
      <c r="AB50" s="109">
        <v>-0.84425787428671195</v>
      </c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 ht="18.75" x14ac:dyDescent="0.3">
      <c r="B51">
        <v>3618.2</v>
      </c>
      <c r="C51">
        <v>2.2858999999999999E-13</v>
      </c>
      <c r="D51">
        <v>1.9111399999999999E-13</v>
      </c>
      <c r="E51">
        <v>3.7476000000000002E-14</v>
      </c>
      <c r="F51" s="1">
        <v>4.6608999999999997E-15</v>
      </c>
      <c r="G51" s="1">
        <v>2.0549000000000001E-18</v>
      </c>
      <c r="H51" s="1">
        <v>2.8354999999999999E-11</v>
      </c>
      <c r="I51" s="1">
        <v>1.0155E-10</v>
      </c>
      <c r="J51" s="1">
        <v>1.1933E-12</v>
      </c>
      <c r="N51" s="7"/>
      <c r="P51" s="6"/>
      <c r="Q51" s="6"/>
      <c r="R51" s="6"/>
      <c r="S51" s="5"/>
      <c r="T51" s="6"/>
      <c r="U51" s="1"/>
      <c r="V51" s="1"/>
      <c r="X51" s="5"/>
      <c r="Y51" s="81"/>
      <c r="Z51" s="103" t="s">
        <v>152</v>
      </c>
      <c r="AA51" s="86"/>
      <c r="AB51" s="109">
        <v>-1.5811818474622099</v>
      </c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 ht="18.75" x14ac:dyDescent="0.3">
      <c r="B52">
        <v>3724.4</v>
      </c>
      <c r="C52">
        <v>1.89765E-13</v>
      </c>
      <c r="D52">
        <v>1.58653E-13</v>
      </c>
      <c r="E52">
        <v>3.1111999999999999E-14</v>
      </c>
      <c r="F52" s="1">
        <v>3.8694000000000001E-15</v>
      </c>
      <c r="G52" s="1">
        <v>1.7084000000000001E-18</v>
      </c>
      <c r="H52" s="1">
        <v>2.8362999999999999E-11</v>
      </c>
      <c r="I52" s="1">
        <v>1.0158E-10</v>
      </c>
      <c r="J52" s="1">
        <v>1.1937000000000001E-12</v>
      </c>
      <c r="N52" s="7"/>
      <c r="P52" s="6"/>
      <c r="Q52" s="6"/>
      <c r="R52" s="6"/>
      <c r="S52" s="5"/>
      <c r="T52" s="6"/>
      <c r="U52" s="1"/>
      <c r="V52" s="1"/>
      <c r="X52" s="5"/>
      <c r="Y52" s="81"/>
      <c r="Z52" s="103" t="s">
        <v>153</v>
      </c>
      <c r="AA52" s="86"/>
      <c r="AB52" s="109">
        <v>0.75588388259480099</v>
      </c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 ht="18.75" x14ac:dyDescent="0.3">
      <c r="B53">
        <v>3830.6</v>
      </c>
      <c r="C53">
        <v>1.5753800000000001E-13</v>
      </c>
      <c r="D53">
        <v>1.3171E-13</v>
      </c>
      <c r="E53">
        <v>2.5827999999999999E-14</v>
      </c>
      <c r="F53" s="1">
        <v>3.2122E-15</v>
      </c>
      <c r="G53" s="1">
        <v>1.4175E-18</v>
      </c>
      <c r="H53" s="1">
        <v>2.8371E-11</v>
      </c>
      <c r="I53" s="1">
        <v>1.016E-10</v>
      </c>
      <c r="J53" s="1">
        <v>1.194E-12</v>
      </c>
      <c r="N53" s="7"/>
      <c r="P53" s="6"/>
      <c r="Q53" s="6"/>
      <c r="R53" s="6"/>
      <c r="S53" s="5"/>
      <c r="T53" s="6"/>
      <c r="U53" s="1"/>
      <c r="V53" s="1"/>
      <c r="X53" s="5"/>
      <c r="Y53" s="84"/>
      <c r="Z53" s="104" t="s">
        <v>154</v>
      </c>
      <c r="AA53" s="87"/>
      <c r="AB53" s="112">
        <v>-3.5105650659267899E-2</v>
      </c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 x14ac:dyDescent="0.3">
      <c r="B54">
        <v>3936.7</v>
      </c>
      <c r="C54">
        <v>1.307838E-13</v>
      </c>
      <c r="D54">
        <v>1.0934279999999999E-13</v>
      </c>
      <c r="E54">
        <v>2.1441000000000001E-14</v>
      </c>
      <c r="F54" s="1">
        <v>2.6667000000000001E-15</v>
      </c>
      <c r="G54" s="1">
        <v>1.1798000000000001E-18</v>
      </c>
      <c r="H54" s="1">
        <v>2.8377E-11</v>
      </c>
      <c r="I54" s="1">
        <v>1.0161999999999999E-10</v>
      </c>
      <c r="J54" s="1">
        <v>1.1941999999999999E-12</v>
      </c>
      <c r="N54" s="7"/>
      <c r="P54" s="6"/>
      <c r="Q54" s="6"/>
      <c r="R54" s="6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 x14ac:dyDescent="0.3">
      <c r="B55">
        <v>4042.9</v>
      </c>
      <c r="C55">
        <v>1.0857150000000001E-13</v>
      </c>
      <c r="D55">
        <v>9.0771500000000009E-14</v>
      </c>
      <c r="E55">
        <v>1.7800000000000001E-14</v>
      </c>
      <c r="F55" s="1">
        <v>2.2137999999999998E-15</v>
      </c>
      <c r="G55" s="1">
        <v>9.8220999999999999E-19</v>
      </c>
      <c r="H55" s="1">
        <v>2.8382000000000001E-11</v>
      </c>
      <c r="I55" s="1">
        <v>1.0164E-10</v>
      </c>
      <c r="J55" s="1">
        <v>1.1944E-12</v>
      </c>
      <c r="N55" s="7"/>
      <c r="P55" s="6"/>
      <c r="Q55" s="6"/>
      <c r="R55" s="6"/>
      <c r="S55" s="5"/>
      <c r="T55" s="6"/>
      <c r="U55" s="1"/>
      <c r="V55" s="1"/>
      <c r="X55" s="5"/>
      <c r="Y55" s="5"/>
      <c r="Z55" s="67" t="s">
        <v>148</v>
      </c>
      <c r="AA55" s="95">
        <v>8973.7743828574494</v>
      </c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 x14ac:dyDescent="0.3">
      <c r="B56">
        <v>4149.1000000000004</v>
      </c>
      <c r="C56">
        <v>9.01331E-14</v>
      </c>
      <c r="D56">
        <v>7.5356100000000002E-14</v>
      </c>
      <c r="E56">
        <v>1.4776999999999999E-14</v>
      </c>
      <c r="F56" s="1">
        <v>1.8378E-15</v>
      </c>
      <c r="G56" s="1">
        <v>8.1610000000000003E-19</v>
      </c>
      <c r="H56" s="1">
        <v>2.8386E-11</v>
      </c>
      <c r="I56" s="1">
        <v>1.0166E-10</v>
      </c>
      <c r="J56" s="1">
        <v>1.1946E-12</v>
      </c>
      <c r="N56" s="7"/>
      <c r="P56" s="6"/>
      <c r="Q56" s="6"/>
      <c r="R56" s="6"/>
      <c r="S56" s="5"/>
      <c r="T56" s="6"/>
      <c r="U56" s="1"/>
      <c r="V56" s="1"/>
      <c r="X56" s="5"/>
      <c r="Y56" s="5"/>
      <c r="Z56" s="67" t="s">
        <v>149</v>
      </c>
      <c r="AA56" s="95">
        <v>8615.5824345077508</v>
      </c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 ht="18.75" x14ac:dyDescent="0.3">
      <c r="B57">
        <v>4255.2</v>
      </c>
      <c r="C57">
        <v>7.4825100000000006E-14</v>
      </c>
      <c r="D57">
        <v>6.2558100000000002E-14</v>
      </c>
      <c r="E57">
        <v>1.2267E-14</v>
      </c>
      <c r="F57" s="1">
        <v>1.5256999999999999E-15</v>
      </c>
      <c r="G57" s="1">
        <v>6.789E-19</v>
      </c>
      <c r="H57" s="1">
        <v>2.8388999999999999E-11</v>
      </c>
      <c r="I57" s="1">
        <v>1.0167E-10</v>
      </c>
      <c r="J57" s="1">
        <v>1.1946999999999999E-12</v>
      </c>
      <c r="N57" s="7"/>
      <c r="P57" s="6"/>
      <c r="Q57" s="6"/>
      <c r="R57" s="6"/>
      <c r="S57" s="5"/>
      <c r="T57" s="6"/>
      <c r="U57" s="1"/>
      <c r="V57" s="1"/>
      <c r="X57" s="5"/>
      <c r="Y57" s="5"/>
      <c r="Z57" s="66" t="s">
        <v>150</v>
      </c>
      <c r="AA57" s="96">
        <f>AA56/AA55*100</f>
        <v>96.008458280008128</v>
      </c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 x14ac:dyDescent="0.3">
      <c r="B58">
        <v>4320</v>
      </c>
      <c r="C58">
        <v>6.6764600000000003E-14</v>
      </c>
      <c r="D58">
        <v>5.5818600000000002E-14</v>
      </c>
      <c r="E58">
        <v>1.0946000000000001E-14</v>
      </c>
      <c r="F58" s="1">
        <v>1.3613000000000001E-15</v>
      </c>
      <c r="G58" s="1">
        <v>6.0759000000000002E-19</v>
      </c>
      <c r="H58" s="1">
        <v>2.8391E-11</v>
      </c>
      <c r="I58" s="1">
        <v>1.0167E-10</v>
      </c>
      <c r="J58" s="1">
        <v>1.1947999999999999E-12</v>
      </c>
      <c r="N58" s="7"/>
      <c r="O58" s="51"/>
      <c r="P58" s="52"/>
      <c r="Q58" s="52"/>
      <c r="R58" s="52"/>
      <c r="S58" s="53"/>
      <c r="T58" s="52"/>
      <c r="U58" s="54"/>
      <c r="V58" s="54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 x14ac:dyDescent="0.3">
      <c r="N59" s="7"/>
      <c r="O59" s="1"/>
      <c r="P59" s="6"/>
      <c r="Q59" s="6"/>
      <c r="R59" s="6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 x14ac:dyDescent="0.3">
      <c r="N60" s="7"/>
      <c r="O60" s="1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 x14ac:dyDescent="0.3">
      <c r="N61" s="7"/>
      <c r="O61" s="1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 x14ac:dyDescent="0.3">
      <c r="N62" s="7"/>
      <c r="O62" s="1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 x14ac:dyDescent="0.3">
      <c r="N63" s="7"/>
      <c r="O63" s="1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 x14ac:dyDescent="0.3">
      <c r="N64" s="7"/>
      <c r="O64" s="1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N65" s="7"/>
      <c r="O65" s="1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N66" s="7"/>
      <c r="O66" s="1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N67" s="7"/>
      <c r="O67" s="1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N68" s="7"/>
      <c r="O68" s="1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N69" s="7"/>
      <c r="O69" s="1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N70" s="7"/>
      <c r="O70" s="1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7.25" thickBot="1" x14ac:dyDescent="0.35">
      <c r="N71" s="7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/>
      <c r="B72" s="8" t="s">
        <v>18</v>
      </c>
      <c r="C72" s="8" t="s">
        <v>18</v>
      </c>
      <c r="D72" s="8" t="s">
        <v>18</v>
      </c>
      <c r="E72" s="1" t="s">
        <v>74</v>
      </c>
      <c r="F72" s="40"/>
      <c r="G72" s="41" t="s">
        <v>75</v>
      </c>
      <c r="H72" s="41" t="s">
        <v>75</v>
      </c>
      <c r="I72" s="42" t="s">
        <v>75</v>
      </c>
      <c r="N72" s="7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/>
      <c r="B73" s="8" t="s">
        <v>73</v>
      </c>
      <c r="C73" s="8" t="s">
        <v>71</v>
      </c>
      <c r="D73" s="8" t="s">
        <v>72</v>
      </c>
      <c r="E73" s="1" t="s">
        <v>71</v>
      </c>
      <c r="F73" s="43"/>
      <c r="G73" s="8" t="s">
        <v>73</v>
      </c>
      <c r="H73" s="8" t="s">
        <v>71</v>
      </c>
      <c r="I73" s="44" t="s">
        <v>72</v>
      </c>
      <c r="N73" s="7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 t="s">
        <v>0</v>
      </c>
      <c r="B74" s="8" t="s">
        <v>100</v>
      </c>
      <c r="C74" s="8" t="s">
        <v>101</v>
      </c>
      <c r="D74" s="8" t="s">
        <v>101</v>
      </c>
      <c r="E74" s="1" t="s">
        <v>101</v>
      </c>
      <c r="F74" s="45" t="str">
        <f>A74</f>
        <v>Time (min)</v>
      </c>
      <c r="G74" s="8" t="str">
        <f>B74</f>
        <v>MW=66.5, sigma_ve=0.7, sigma_le=0.05, p_ve=1E-9, p_le=1E-8, D_gel=6.2E-11, kf_m=0.17, kr_m=4.77, k_decay=2.9E-7, cA+cMA (mol)</v>
      </c>
      <c r="H74" s="8" t="str">
        <f>C74</f>
        <v>MW=66.5, sigma_ve=0.7, sigma_le=0.05, p_ve=1E-9, p_le=1E-8, D_gel=6.2E-11, kf_m=0.17, kr_m=4.77, k_decay=2.9E-7, Concentration (mol)</v>
      </c>
      <c r="I74" s="44" t="str">
        <f>D74</f>
        <v>MW=66.5, sigma_ve=0.7, sigma_le=0.05, p_ve=1E-9, p_le=1E-8, D_gel=6.2E-11, kf_m=0.17, kr_m=4.77, k_decay=2.9E-7, Concentration (mol)</v>
      </c>
      <c r="N74" s="7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0</v>
      </c>
      <c r="B75" s="8">
        <v>1.2102999999999999E-10</v>
      </c>
      <c r="C75" s="8">
        <v>1.2102999999999999E-10</v>
      </c>
      <c r="D75" s="8">
        <v>2.3321999999999999E-15</v>
      </c>
      <c r="E75" s="1">
        <v>6.0723000000000003E-12</v>
      </c>
      <c r="F75" s="45">
        <f t="shared" ref="F75:F117" si="7">A75</f>
        <v>0</v>
      </c>
      <c r="G75" s="8">
        <f>H75+I75</f>
        <v>1.2710463219999998E-10</v>
      </c>
      <c r="H75" s="1">
        <f t="shared" ref="H75:H117" si="8">C75+E75</f>
        <v>1.2710229999999999E-10</v>
      </c>
      <c r="I75" s="46">
        <f t="shared" ref="I75:I117" si="9">D75</f>
        <v>2.3321999999999999E-15</v>
      </c>
      <c r="N75" s="7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2.7240000000000002</v>
      </c>
      <c r="B76" s="8">
        <v>1.1957999999999999E-10</v>
      </c>
      <c r="C76" s="8">
        <v>1.1545999999999999E-10</v>
      </c>
      <c r="D76" s="8">
        <v>4.1150999999999997E-12</v>
      </c>
      <c r="E76" s="1">
        <v>6.4987999999999997E-12</v>
      </c>
      <c r="F76" s="45">
        <f t="shared" si="7"/>
        <v>2.7240000000000002</v>
      </c>
      <c r="G76" s="8">
        <f t="shared" ref="G76:G117" si="10">H76+I76</f>
        <v>1.2607389999999999E-10</v>
      </c>
      <c r="H76" s="1">
        <f t="shared" si="8"/>
        <v>1.2195879999999999E-10</v>
      </c>
      <c r="I76" s="46">
        <f t="shared" si="9"/>
        <v>4.1150999999999997E-12</v>
      </c>
      <c r="N76" s="7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4.7720000000000002</v>
      </c>
      <c r="B77" s="8">
        <v>1.1923999999999999E-10</v>
      </c>
      <c r="C77" s="8">
        <v>1.1514E-10</v>
      </c>
      <c r="D77" s="8">
        <v>4.1033999999999997E-12</v>
      </c>
      <c r="E77" s="1">
        <v>6.5427999999999999E-12</v>
      </c>
      <c r="F77" s="45">
        <f t="shared" si="7"/>
        <v>4.7720000000000002</v>
      </c>
      <c r="G77" s="8">
        <f t="shared" si="10"/>
        <v>1.2578619999999999E-10</v>
      </c>
      <c r="H77" s="1">
        <f t="shared" si="8"/>
        <v>1.216828E-10</v>
      </c>
      <c r="I77" s="46">
        <f t="shared" si="9"/>
        <v>4.1033999999999997E-12</v>
      </c>
      <c r="N77" s="7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6.82</v>
      </c>
      <c r="B78" s="8">
        <v>1.1888999999999999E-10</v>
      </c>
      <c r="C78" s="8">
        <v>1.1479999999999999E-10</v>
      </c>
      <c r="D78" s="8">
        <v>4.0914000000000001E-12</v>
      </c>
      <c r="E78" s="1">
        <v>6.6591000000000002E-12</v>
      </c>
      <c r="F78" s="45">
        <f t="shared" si="7"/>
        <v>6.82</v>
      </c>
      <c r="G78" s="8">
        <f t="shared" si="10"/>
        <v>1.2555049999999997E-10</v>
      </c>
      <c r="H78" s="1">
        <f t="shared" si="8"/>
        <v>1.2145909999999998E-10</v>
      </c>
      <c r="I78" s="46">
        <f t="shared" si="9"/>
        <v>4.0914000000000001E-12</v>
      </c>
      <c r="N78" s="7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8.8680000000000003</v>
      </c>
      <c r="B79" s="8">
        <v>1.1854999999999999E-10</v>
      </c>
      <c r="C79" s="8">
        <v>1.1447000000000001E-10</v>
      </c>
      <c r="D79" s="8">
        <v>4.0795999999999997E-12</v>
      </c>
      <c r="E79" s="1">
        <v>6.7963E-12</v>
      </c>
      <c r="F79" s="45">
        <f t="shared" si="7"/>
        <v>8.8680000000000003</v>
      </c>
      <c r="G79" s="8">
        <f t="shared" si="10"/>
        <v>1.253459E-10</v>
      </c>
      <c r="H79" s="1">
        <f t="shared" si="8"/>
        <v>1.212663E-10</v>
      </c>
      <c r="I79" s="46">
        <f t="shared" si="9"/>
        <v>4.0795999999999997E-12</v>
      </c>
      <c r="N79" s="7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10.916</v>
      </c>
      <c r="B80" s="8">
        <v>1.1821E-10</v>
      </c>
      <c r="C80" s="8">
        <v>1.1414000000000001E-10</v>
      </c>
      <c r="D80" s="8">
        <v>4.0680999999999996E-12</v>
      </c>
      <c r="E80" s="1">
        <v>6.9386999999999999E-12</v>
      </c>
      <c r="F80" s="45">
        <f t="shared" si="7"/>
        <v>10.916</v>
      </c>
      <c r="G80" s="8">
        <f t="shared" si="10"/>
        <v>1.2514680000000002E-10</v>
      </c>
      <c r="H80" s="1">
        <f t="shared" si="8"/>
        <v>1.2107870000000001E-10</v>
      </c>
      <c r="I80" s="46">
        <f t="shared" si="9"/>
        <v>4.0680999999999996E-12</v>
      </c>
      <c r="N80" s="7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12.964</v>
      </c>
      <c r="B81" s="8">
        <v>1.1788999999999999E-10</v>
      </c>
      <c r="C81" s="8">
        <v>1.1383E-10</v>
      </c>
      <c r="D81" s="8">
        <v>4.0570000000000002E-12</v>
      </c>
      <c r="E81" s="1">
        <v>7.0784000000000002E-12</v>
      </c>
      <c r="F81" s="45">
        <f t="shared" si="7"/>
        <v>12.964</v>
      </c>
      <c r="G81" s="8">
        <f t="shared" si="10"/>
        <v>1.2496540000000002E-10</v>
      </c>
      <c r="H81" s="1">
        <f t="shared" si="8"/>
        <v>1.2090840000000001E-10</v>
      </c>
      <c r="I81" s="46">
        <f t="shared" si="9"/>
        <v>4.0570000000000002E-12</v>
      </c>
      <c r="N81" s="7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17.059999999999999</v>
      </c>
      <c r="B82" s="8">
        <v>1.1728000000000001E-10</v>
      </c>
      <c r="C82" s="8">
        <v>1.1325E-10</v>
      </c>
      <c r="D82" s="8">
        <v>4.0360000000000002E-12</v>
      </c>
      <c r="E82" s="1">
        <v>7.3409999999999995E-12</v>
      </c>
      <c r="F82" s="45">
        <f t="shared" si="7"/>
        <v>17.059999999999999</v>
      </c>
      <c r="G82" s="8">
        <f t="shared" si="10"/>
        <v>1.2462700000000001E-10</v>
      </c>
      <c r="H82" s="1">
        <f t="shared" si="8"/>
        <v>1.20591E-10</v>
      </c>
      <c r="I82" s="46">
        <f t="shared" si="9"/>
        <v>4.0360000000000002E-12</v>
      </c>
      <c r="N82" s="7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21.155999999999999</v>
      </c>
      <c r="B83" s="8">
        <v>1.1672000000000001E-10</v>
      </c>
      <c r="C83" s="8">
        <v>1.127E-10</v>
      </c>
      <c r="D83" s="8">
        <v>4.0167E-12</v>
      </c>
      <c r="E83" s="1">
        <v>7.5721999999999996E-12</v>
      </c>
      <c r="F83" s="45">
        <f t="shared" si="7"/>
        <v>21.155999999999999</v>
      </c>
      <c r="G83" s="8">
        <f t="shared" si="10"/>
        <v>1.242889E-10</v>
      </c>
      <c r="H83" s="1">
        <f t="shared" si="8"/>
        <v>1.2027219999999999E-10</v>
      </c>
      <c r="I83" s="46">
        <f t="shared" si="9"/>
        <v>4.0167E-12</v>
      </c>
      <c r="N83" s="7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29.347999999999999</v>
      </c>
      <c r="B84" s="8">
        <v>1.1572E-10</v>
      </c>
      <c r="C84" s="8">
        <v>1.1173999999999999E-10</v>
      </c>
      <c r="D84" s="8">
        <v>3.9823000000000001E-12</v>
      </c>
      <c r="E84" s="1">
        <v>7.9378999999999999E-12</v>
      </c>
      <c r="F84" s="45">
        <f t="shared" si="7"/>
        <v>29.347999999999999</v>
      </c>
      <c r="G84" s="8">
        <f t="shared" si="10"/>
        <v>1.236602E-10</v>
      </c>
      <c r="H84" s="1">
        <f t="shared" si="8"/>
        <v>1.196779E-10</v>
      </c>
      <c r="I84" s="46">
        <f t="shared" si="9"/>
        <v>3.9823000000000001E-12</v>
      </c>
      <c r="N84" s="7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37.54</v>
      </c>
      <c r="B85" s="8">
        <v>1.1486E-10</v>
      </c>
      <c r="C85" s="8">
        <v>1.109E-10</v>
      </c>
      <c r="D85" s="8">
        <v>3.9525999999999999E-12</v>
      </c>
      <c r="E85" s="1">
        <v>8.1951000000000001E-12</v>
      </c>
      <c r="F85" s="45">
        <f t="shared" si="7"/>
        <v>37.54</v>
      </c>
      <c r="G85" s="8">
        <f t="shared" si="10"/>
        <v>1.2304769999999999E-10</v>
      </c>
      <c r="H85" s="1">
        <f t="shared" si="8"/>
        <v>1.190951E-10</v>
      </c>
      <c r="I85" s="46">
        <f t="shared" si="9"/>
        <v>3.9525999999999999E-12</v>
      </c>
      <c r="N85" s="7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45.731999999999999</v>
      </c>
      <c r="B86" s="8">
        <v>1.1409E-10</v>
      </c>
      <c r="C86" s="8">
        <v>1.1016E-10</v>
      </c>
      <c r="D86" s="8">
        <v>3.9262E-12</v>
      </c>
      <c r="E86" s="1">
        <v>8.3705999999999999E-12</v>
      </c>
      <c r="F86" s="45">
        <f t="shared" si="7"/>
        <v>45.731999999999999</v>
      </c>
      <c r="G86" s="8">
        <f t="shared" si="10"/>
        <v>1.224568E-10</v>
      </c>
      <c r="H86" s="1">
        <f t="shared" si="8"/>
        <v>1.1853059999999999E-10</v>
      </c>
      <c r="I86" s="46">
        <f t="shared" si="9"/>
        <v>3.9262E-12</v>
      </c>
      <c r="N86" s="7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53.923999999999999</v>
      </c>
      <c r="B87" s="8">
        <v>1.1339E-10</v>
      </c>
      <c r="C87" s="8">
        <v>1.0949E-10</v>
      </c>
      <c r="D87" s="8">
        <v>3.9020999999999997E-12</v>
      </c>
      <c r="E87" s="1">
        <v>8.4866999999999994E-12</v>
      </c>
      <c r="F87" s="45">
        <f t="shared" si="7"/>
        <v>53.923999999999999</v>
      </c>
      <c r="G87" s="8">
        <f t="shared" si="10"/>
        <v>1.218788E-10</v>
      </c>
      <c r="H87" s="1">
        <f t="shared" si="8"/>
        <v>1.179767E-10</v>
      </c>
      <c r="I87" s="46">
        <f t="shared" si="9"/>
        <v>3.9020999999999997E-12</v>
      </c>
      <c r="N87" s="7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62.116</v>
      </c>
      <c r="B88" s="8">
        <v>1.1274E-10</v>
      </c>
      <c r="C88" s="8">
        <v>1.0886E-10</v>
      </c>
      <c r="D88" s="8">
        <v>3.8797000000000001E-12</v>
      </c>
      <c r="E88" s="1">
        <v>8.5601000000000002E-12</v>
      </c>
      <c r="F88" s="45">
        <f t="shared" si="7"/>
        <v>62.116</v>
      </c>
      <c r="G88" s="8">
        <f t="shared" si="10"/>
        <v>1.212998E-10</v>
      </c>
      <c r="H88" s="1">
        <f t="shared" si="8"/>
        <v>1.174201E-10</v>
      </c>
      <c r="I88" s="46">
        <f t="shared" si="9"/>
        <v>3.8797000000000001E-12</v>
      </c>
      <c r="N88" s="7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70.308000000000007</v>
      </c>
      <c r="B89" s="8">
        <v>1.1212E-10</v>
      </c>
      <c r="C89" s="8">
        <v>1.0827E-10</v>
      </c>
      <c r="D89" s="8">
        <v>3.8585000000000002E-12</v>
      </c>
      <c r="E89" s="1">
        <v>8.6025999999999997E-12</v>
      </c>
      <c r="F89" s="45">
        <f t="shared" si="7"/>
        <v>70.308000000000007</v>
      </c>
      <c r="G89" s="8">
        <f t="shared" si="10"/>
        <v>1.2073109999999999E-10</v>
      </c>
      <c r="H89" s="1">
        <f t="shared" si="8"/>
        <v>1.1687260000000001E-10</v>
      </c>
      <c r="I89" s="46">
        <f t="shared" si="9"/>
        <v>3.8585000000000002E-12</v>
      </c>
      <c r="N89" s="7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86.691999999999993</v>
      </c>
      <c r="B90" s="8">
        <v>1.1096E-10</v>
      </c>
      <c r="C90" s="8">
        <v>1.0714E-10</v>
      </c>
      <c r="D90" s="8">
        <v>3.8184E-12</v>
      </c>
      <c r="E90" s="1">
        <v>8.6327999999999993E-12</v>
      </c>
      <c r="F90" s="45">
        <f t="shared" si="7"/>
        <v>86.691999999999993</v>
      </c>
      <c r="G90" s="8">
        <f t="shared" si="10"/>
        <v>1.1959120000000002E-10</v>
      </c>
      <c r="H90" s="1">
        <f t="shared" si="8"/>
        <v>1.1577280000000001E-10</v>
      </c>
      <c r="I90" s="46">
        <f t="shared" si="9"/>
        <v>3.8184E-12</v>
      </c>
      <c r="N90" s="7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103.08</v>
      </c>
      <c r="B91" s="8">
        <v>1.0985E-10</v>
      </c>
      <c r="C91" s="8">
        <v>1.0607E-10</v>
      </c>
      <c r="D91" s="8">
        <v>3.7803E-12</v>
      </c>
      <c r="E91" s="1">
        <v>8.6100999999999994E-12</v>
      </c>
      <c r="F91" s="45">
        <f t="shared" si="7"/>
        <v>103.08</v>
      </c>
      <c r="G91" s="8">
        <f t="shared" si="10"/>
        <v>1.184604E-10</v>
      </c>
      <c r="H91" s="1">
        <f t="shared" si="8"/>
        <v>1.146801E-10</v>
      </c>
      <c r="I91" s="46">
        <f t="shared" si="9"/>
        <v>3.7803E-12</v>
      </c>
      <c r="N91" s="7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119.46</v>
      </c>
      <c r="B92" s="8">
        <v>1.0878E-10</v>
      </c>
      <c r="C92" s="8">
        <v>1.0504000000000001E-10</v>
      </c>
      <c r="D92" s="8">
        <v>3.7436000000000003E-12</v>
      </c>
      <c r="E92" s="1">
        <v>8.5590000000000002E-12</v>
      </c>
      <c r="F92" s="45">
        <f t="shared" si="7"/>
        <v>119.46</v>
      </c>
      <c r="G92" s="8">
        <f t="shared" si="10"/>
        <v>1.1734260000000001E-10</v>
      </c>
      <c r="H92" s="1">
        <f t="shared" si="8"/>
        <v>1.13599E-10</v>
      </c>
      <c r="I92" s="46">
        <f t="shared" si="9"/>
        <v>3.7436000000000003E-12</v>
      </c>
      <c r="N92" s="7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135.84</v>
      </c>
      <c r="B93" s="8">
        <v>1.0773999999999999E-10</v>
      </c>
      <c r="C93" s="8">
        <v>1.0403E-10</v>
      </c>
      <c r="D93" s="8">
        <v>3.7076000000000001E-12</v>
      </c>
      <c r="E93" s="1">
        <v>8.4935000000000005E-12</v>
      </c>
      <c r="F93" s="45">
        <f t="shared" si="7"/>
        <v>135.84</v>
      </c>
      <c r="G93" s="8">
        <f t="shared" si="10"/>
        <v>1.1623110000000001E-10</v>
      </c>
      <c r="H93" s="1">
        <f t="shared" si="8"/>
        <v>1.1252350000000001E-10</v>
      </c>
      <c r="I93" s="46">
        <f t="shared" si="9"/>
        <v>3.7076000000000001E-12</v>
      </c>
      <c r="N93" s="7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152.22999999999999</v>
      </c>
      <c r="B94" s="8">
        <v>1.0671E-10</v>
      </c>
      <c r="C94" s="8">
        <v>1.0304E-10</v>
      </c>
      <c r="D94" s="8">
        <v>3.6723E-12</v>
      </c>
      <c r="E94" s="1">
        <v>8.4208999999999994E-12</v>
      </c>
      <c r="F94" s="45">
        <f t="shared" si="7"/>
        <v>152.22999999999999</v>
      </c>
      <c r="G94" s="8">
        <f t="shared" si="10"/>
        <v>1.1513319999999999E-10</v>
      </c>
      <c r="H94" s="1">
        <f t="shared" si="8"/>
        <v>1.114609E-10</v>
      </c>
      <c r="I94" s="46">
        <f t="shared" si="9"/>
        <v>3.6723E-12</v>
      </c>
      <c r="N94" s="7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185</v>
      </c>
      <c r="B95" s="8">
        <v>1.0469E-10</v>
      </c>
      <c r="C95" s="8">
        <v>1.0109E-10</v>
      </c>
      <c r="D95" s="8">
        <v>3.6027E-12</v>
      </c>
      <c r="E95" s="1">
        <v>8.2694000000000003E-12</v>
      </c>
      <c r="F95" s="45">
        <f t="shared" si="7"/>
        <v>185</v>
      </c>
      <c r="G95" s="8">
        <f t="shared" si="10"/>
        <v>1.129621E-10</v>
      </c>
      <c r="H95" s="1">
        <f t="shared" si="8"/>
        <v>1.093594E-10</v>
      </c>
      <c r="I95" s="46">
        <f t="shared" si="9"/>
        <v>3.6027E-12</v>
      </c>
      <c r="J95" s="8"/>
      <c r="K95" s="1"/>
      <c r="L95" s="1"/>
      <c r="N95" s="7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250.53</v>
      </c>
      <c r="B96" s="8">
        <v>1.0084E-10</v>
      </c>
      <c r="C96" s="8">
        <v>9.7366999999999996E-11</v>
      </c>
      <c r="D96" s="8">
        <v>3.4700999999999999E-12</v>
      </c>
      <c r="E96" s="1">
        <v>7.9656000000000007E-12</v>
      </c>
      <c r="F96" s="45">
        <f t="shared" si="7"/>
        <v>250.53</v>
      </c>
      <c r="G96" s="8">
        <f t="shared" si="10"/>
        <v>1.088027E-10</v>
      </c>
      <c r="H96" s="1">
        <f t="shared" si="8"/>
        <v>1.053326E-10</v>
      </c>
      <c r="I96" s="46">
        <f t="shared" si="9"/>
        <v>3.4700999999999999E-12</v>
      </c>
      <c r="J96" s="8"/>
      <c r="K96" s="1"/>
      <c r="L96" s="1"/>
      <c r="N96" s="7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316.07</v>
      </c>
      <c r="B97" s="8">
        <v>9.7128000000000001E-11</v>
      </c>
      <c r="C97" s="8">
        <v>9.3785999999999998E-11</v>
      </c>
      <c r="D97" s="8">
        <v>3.3424999999999999E-12</v>
      </c>
      <c r="E97" s="1">
        <v>7.6727000000000006E-12</v>
      </c>
      <c r="F97" s="45">
        <f t="shared" si="7"/>
        <v>316.07</v>
      </c>
      <c r="G97" s="8">
        <f t="shared" si="10"/>
        <v>1.048012E-10</v>
      </c>
      <c r="H97" s="1">
        <f t="shared" si="8"/>
        <v>1.014587E-10</v>
      </c>
      <c r="I97" s="46">
        <f t="shared" si="9"/>
        <v>3.3424999999999999E-12</v>
      </c>
      <c r="J97" s="8"/>
      <c r="K97" s="1"/>
      <c r="L97" s="1"/>
      <c r="N97" s="7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447.14</v>
      </c>
      <c r="B98" s="8">
        <v>9.0234000000000003E-11</v>
      </c>
      <c r="C98" s="8">
        <v>8.7127999999999996E-11</v>
      </c>
      <c r="D98" s="8">
        <v>3.1052000000000001E-12</v>
      </c>
      <c r="E98" s="1">
        <v>7.1280999999999999E-12</v>
      </c>
      <c r="F98" s="45">
        <f t="shared" si="7"/>
        <v>447.14</v>
      </c>
      <c r="G98" s="8">
        <f t="shared" si="10"/>
        <v>9.7361299999999988E-11</v>
      </c>
      <c r="H98" s="1">
        <f t="shared" si="8"/>
        <v>9.4256099999999991E-11</v>
      </c>
      <c r="I98" s="46">
        <f t="shared" si="9"/>
        <v>3.1052000000000001E-12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578.21</v>
      </c>
      <c r="B99" s="8">
        <v>8.3828000000000005E-11</v>
      </c>
      <c r="C99" s="8">
        <v>8.0942999999999994E-11</v>
      </c>
      <c r="D99" s="8">
        <v>2.8848E-12</v>
      </c>
      <c r="E99" s="1">
        <v>6.6221000000000002E-12</v>
      </c>
      <c r="F99" s="45">
        <f t="shared" si="7"/>
        <v>578.21</v>
      </c>
      <c r="G99" s="8">
        <f t="shared" si="10"/>
        <v>9.0449899999999989E-11</v>
      </c>
      <c r="H99" s="1">
        <f t="shared" si="8"/>
        <v>8.756509999999999E-11</v>
      </c>
      <c r="I99" s="46">
        <f t="shared" si="9"/>
        <v>2.8848E-12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709.28</v>
      </c>
      <c r="B100" s="8">
        <v>7.7876999999999994E-11</v>
      </c>
      <c r="C100" s="8">
        <v>7.5196999999999996E-11</v>
      </c>
      <c r="D100" s="8">
        <v>2.6799999999999999E-12</v>
      </c>
      <c r="E100" s="1">
        <v>6.1521E-12</v>
      </c>
      <c r="F100" s="45">
        <f t="shared" si="7"/>
        <v>709.28</v>
      </c>
      <c r="G100" s="8">
        <f t="shared" si="10"/>
        <v>8.4029099999999991E-11</v>
      </c>
      <c r="H100" s="1">
        <f t="shared" si="8"/>
        <v>8.1349099999999993E-11</v>
      </c>
      <c r="I100" s="46">
        <f t="shared" si="9"/>
        <v>2.6799999999999999E-12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971.43</v>
      </c>
      <c r="B101" s="8">
        <v>6.6947999999999995E-11</v>
      </c>
      <c r="C101" s="8">
        <v>6.4644000000000004E-11</v>
      </c>
      <c r="D101" s="8">
        <v>2.3038999999999999E-12</v>
      </c>
      <c r="E101" s="1">
        <v>5.2887000000000003E-12</v>
      </c>
      <c r="F101" s="45">
        <f t="shared" si="7"/>
        <v>971.43</v>
      </c>
      <c r="G101" s="8">
        <f t="shared" si="10"/>
        <v>7.2236600000000003E-11</v>
      </c>
      <c r="H101" s="1">
        <f t="shared" si="8"/>
        <v>6.9932700000000006E-11</v>
      </c>
      <c r="I101" s="46">
        <f t="shared" si="9"/>
        <v>2.3038999999999999E-12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1233.5999999999999</v>
      </c>
      <c r="B102" s="8">
        <v>5.7454000000000001E-11</v>
      </c>
      <c r="C102" s="8">
        <v>5.5476999999999999E-11</v>
      </c>
      <c r="D102" s="8">
        <v>1.9772000000000001E-12</v>
      </c>
      <c r="E102" s="1">
        <v>4.5386999999999996E-12</v>
      </c>
      <c r="F102" s="45">
        <f t="shared" si="7"/>
        <v>1233.5999999999999</v>
      </c>
      <c r="G102" s="8">
        <f t="shared" si="10"/>
        <v>6.1992900000000004E-11</v>
      </c>
      <c r="H102" s="1">
        <f t="shared" si="8"/>
        <v>6.0015700000000002E-11</v>
      </c>
      <c r="I102" s="46">
        <f t="shared" si="9"/>
        <v>1.9772000000000001E-12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1495.7</v>
      </c>
      <c r="B103" s="8">
        <v>4.9273999999999997E-11</v>
      </c>
      <c r="C103" s="8">
        <v>4.7579000000000003E-11</v>
      </c>
      <c r="D103" s="8">
        <v>1.6956999999999999E-12</v>
      </c>
      <c r="E103" s="1">
        <v>3.8925999999999998E-12</v>
      </c>
      <c r="F103" s="45">
        <f t="shared" si="7"/>
        <v>1495.7</v>
      </c>
      <c r="G103" s="8">
        <f t="shared" si="10"/>
        <v>5.3167300000000001E-11</v>
      </c>
      <c r="H103" s="1">
        <f t="shared" si="8"/>
        <v>5.1471600000000004E-11</v>
      </c>
      <c r="I103" s="46">
        <f t="shared" si="9"/>
        <v>1.6956999999999999E-12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1927.7</v>
      </c>
      <c r="B104" s="8">
        <v>3.8152999999999999E-11</v>
      </c>
      <c r="C104" s="8">
        <v>3.6839999999999999E-11</v>
      </c>
      <c r="D104" s="8">
        <v>1.313E-12</v>
      </c>
      <c r="E104" s="1">
        <v>3.0139999999999999E-12</v>
      </c>
      <c r="F104" s="45">
        <f t="shared" si="7"/>
        <v>1927.7</v>
      </c>
      <c r="G104" s="8">
        <f t="shared" si="10"/>
        <v>4.1166999999999999E-11</v>
      </c>
      <c r="H104" s="1">
        <f t="shared" si="8"/>
        <v>3.9853999999999999E-11</v>
      </c>
      <c r="I104" s="46">
        <f t="shared" si="9"/>
        <v>1.313E-12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3">
      <c r="A105" s="7">
        <v>2316.5</v>
      </c>
      <c r="B105" s="8">
        <v>3.0291000000000002E-11</v>
      </c>
      <c r="C105" s="8">
        <v>2.9247999999999998E-11</v>
      </c>
      <c r="D105" s="8">
        <v>1.0424000000000001E-12</v>
      </c>
      <c r="E105" s="1">
        <v>2.3929E-12</v>
      </c>
      <c r="F105" s="45">
        <f t="shared" si="7"/>
        <v>2316.5</v>
      </c>
      <c r="G105" s="8">
        <f t="shared" si="10"/>
        <v>3.2683299999999996E-11</v>
      </c>
      <c r="H105" s="1">
        <f t="shared" si="8"/>
        <v>3.1640899999999996E-11</v>
      </c>
      <c r="I105" s="46">
        <f t="shared" si="9"/>
        <v>1.0424000000000001E-12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3">
      <c r="A106" s="7">
        <v>2705.3</v>
      </c>
      <c r="B106" s="8">
        <v>2.4044000000000001E-11</v>
      </c>
      <c r="C106" s="8">
        <v>2.3216999999999999E-11</v>
      </c>
      <c r="D106" s="8">
        <v>8.2743999999999996E-13</v>
      </c>
      <c r="E106" s="1">
        <v>1.8995000000000001E-12</v>
      </c>
      <c r="F106" s="45">
        <f t="shared" si="7"/>
        <v>2705.3</v>
      </c>
      <c r="G106" s="8">
        <f t="shared" si="10"/>
        <v>2.5943939999999999E-11</v>
      </c>
      <c r="H106" s="1">
        <f t="shared" si="8"/>
        <v>2.5116499999999999E-11</v>
      </c>
      <c r="I106" s="46">
        <f t="shared" si="9"/>
        <v>8.2743999999999996E-13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x14ac:dyDescent="0.3">
      <c r="A107" s="7">
        <v>3094.1</v>
      </c>
      <c r="B107" s="8">
        <v>1.9085000000000001E-11</v>
      </c>
      <c r="C107" s="8">
        <v>1.8428E-11</v>
      </c>
      <c r="D107" s="8">
        <v>6.5676000000000002E-13</v>
      </c>
      <c r="E107" s="1">
        <v>1.5076999999999999E-12</v>
      </c>
      <c r="F107" s="45">
        <f t="shared" si="7"/>
        <v>3094.1</v>
      </c>
      <c r="G107" s="8">
        <f t="shared" si="10"/>
        <v>2.0592460000000002E-11</v>
      </c>
      <c r="H107" s="1">
        <f t="shared" si="8"/>
        <v>1.99357E-11</v>
      </c>
      <c r="I107" s="46">
        <f t="shared" si="9"/>
        <v>6.5676000000000002E-13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x14ac:dyDescent="0.3">
      <c r="A108" s="7">
        <v>3482.9</v>
      </c>
      <c r="B108" s="8">
        <v>1.5147000000000001E-11</v>
      </c>
      <c r="C108" s="8">
        <v>1.4626E-11</v>
      </c>
      <c r="D108" s="8">
        <v>5.2126000000000004E-13</v>
      </c>
      <c r="E108" s="1">
        <v>1.1966E-12</v>
      </c>
      <c r="F108" s="45">
        <f t="shared" si="7"/>
        <v>3482.9</v>
      </c>
      <c r="G108" s="8">
        <f t="shared" si="10"/>
        <v>1.6343859999999997E-11</v>
      </c>
      <c r="H108" s="1">
        <f t="shared" si="8"/>
        <v>1.5822599999999998E-11</v>
      </c>
      <c r="I108" s="46">
        <f t="shared" si="9"/>
        <v>5.2126000000000004E-13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x14ac:dyDescent="0.3">
      <c r="A109" s="7">
        <v>3871.7</v>
      </c>
      <c r="B109" s="8">
        <v>1.2022E-11</v>
      </c>
      <c r="C109" s="8">
        <v>1.1608E-11</v>
      </c>
      <c r="D109" s="8">
        <v>4.1371000000000001E-13</v>
      </c>
      <c r="E109" s="1">
        <v>9.4971999999999992E-13</v>
      </c>
      <c r="F109" s="45">
        <f t="shared" si="7"/>
        <v>3871.7</v>
      </c>
      <c r="G109" s="8">
        <f t="shared" si="10"/>
        <v>1.297143E-11</v>
      </c>
      <c r="H109" s="1">
        <f t="shared" si="8"/>
        <v>1.255772E-11</v>
      </c>
      <c r="I109" s="46">
        <f t="shared" si="9"/>
        <v>4.1371000000000001E-13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x14ac:dyDescent="0.3">
      <c r="A110" s="7">
        <v>4260.5</v>
      </c>
      <c r="B110" s="8">
        <v>9.5415000000000001E-12</v>
      </c>
      <c r="C110" s="8">
        <v>9.2131000000000008E-12</v>
      </c>
      <c r="D110" s="8">
        <v>3.2835000000000001E-13</v>
      </c>
      <c r="E110" s="1">
        <v>7.5376000000000001E-13</v>
      </c>
      <c r="F110" s="45">
        <f t="shared" si="7"/>
        <v>4260.5</v>
      </c>
      <c r="G110" s="8">
        <f t="shared" si="10"/>
        <v>1.029521E-11</v>
      </c>
      <c r="H110" s="1">
        <f t="shared" si="8"/>
        <v>9.9668600000000006E-12</v>
      </c>
      <c r="I110" s="46">
        <f t="shared" si="9"/>
        <v>3.2835000000000001E-13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x14ac:dyDescent="0.3">
      <c r="A111" s="7">
        <v>4320</v>
      </c>
      <c r="B111" s="8">
        <v>9.2070999999999994E-12</v>
      </c>
      <c r="C111" s="8">
        <v>8.8902999999999998E-12</v>
      </c>
      <c r="D111" s="8">
        <v>3.1683999999999999E-13</v>
      </c>
      <c r="E111" s="1">
        <v>7.2735000000000003E-13</v>
      </c>
      <c r="F111" s="45">
        <f t="shared" si="7"/>
        <v>4320</v>
      </c>
      <c r="G111" s="8">
        <f t="shared" si="10"/>
        <v>9.9344900000000004E-12</v>
      </c>
      <c r="H111" s="1">
        <f t="shared" si="8"/>
        <v>9.6176500000000003E-12</v>
      </c>
      <c r="I111" s="46">
        <f t="shared" si="9"/>
        <v>3.1683999999999999E-13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x14ac:dyDescent="0.3">
      <c r="A112" s="7">
        <v>2344.1999999999998</v>
      </c>
      <c r="B112" s="8">
        <v>1.9947999999999999E-12</v>
      </c>
      <c r="C112" s="8">
        <v>1.6450999999999999E-12</v>
      </c>
      <c r="D112" s="8">
        <v>3.4976000000000002E-13</v>
      </c>
      <c r="E112" s="1">
        <v>1.3854000000000001E-13</v>
      </c>
      <c r="F112" s="45">
        <f t="shared" si="7"/>
        <v>2344.1999999999998</v>
      </c>
      <c r="G112" s="8">
        <f t="shared" si="10"/>
        <v>2.1333999999999998E-12</v>
      </c>
      <c r="H112" s="1">
        <f t="shared" si="8"/>
        <v>1.7836399999999999E-12</v>
      </c>
      <c r="I112" s="46">
        <f t="shared" si="9"/>
        <v>3.4976000000000002E-13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x14ac:dyDescent="0.3">
      <c r="A113" s="7">
        <v>2450.4</v>
      </c>
      <c r="B113" s="8">
        <v>1.656E-12</v>
      </c>
      <c r="C113" s="8">
        <v>1.3656999999999999E-12</v>
      </c>
      <c r="D113" s="8">
        <v>2.9035999999999999E-13</v>
      </c>
      <c r="E113" s="1">
        <v>1.1501000000000001E-13</v>
      </c>
      <c r="F113" s="45">
        <f t="shared" si="7"/>
        <v>2450.4</v>
      </c>
      <c r="G113" s="8">
        <f t="shared" si="10"/>
        <v>1.7710699999999998E-12</v>
      </c>
      <c r="H113" s="1">
        <f t="shared" si="8"/>
        <v>1.4807099999999999E-12</v>
      </c>
      <c r="I113" s="46">
        <f t="shared" si="9"/>
        <v>2.9035999999999999E-13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x14ac:dyDescent="0.3">
      <c r="A114" s="7">
        <v>2556.5</v>
      </c>
      <c r="B114" s="8">
        <v>1.3748E-12</v>
      </c>
      <c r="C114" s="8">
        <v>1.1336999999999999E-12</v>
      </c>
      <c r="D114" s="8">
        <v>2.4104E-13</v>
      </c>
      <c r="E114" s="1">
        <v>9.5475000000000005E-14</v>
      </c>
      <c r="F114" s="45">
        <f t="shared" si="7"/>
        <v>2556.5</v>
      </c>
      <c r="G114" s="8">
        <f t="shared" si="10"/>
        <v>1.4702149999999999E-12</v>
      </c>
      <c r="H114" s="1">
        <f t="shared" si="8"/>
        <v>1.229175E-12</v>
      </c>
      <c r="I114" s="46">
        <f t="shared" si="9"/>
        <v>2.4104E-13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x14ac:dyDescent="0.3">
      <c r="A115" s="7">
        <v>2662.7</v>
      </c>
      <c r="B115" s="8">
        <v>1.1413E-12</v>
      </c>
      <c r="C115" s="8">
        <v>9.4118999999999995E-13</v>
      </c>
      <c r="D115" s="8">
        <v>2.0010999999999999E-13</v>
      </c>
      <c r="E115" s="1">
        <v>7.9261000000000004E-14</v>
      </c>
      <c r="F115" s="45">
        <f t="shared" si="7"/>
        <v>2662.7</v>
      </c>
      <c r="G115" s="8">
        <f t="shared" si="10"/>
        <v>1.220561E-12</v>
      </c>
      <c r="H115" s="1">
        <f t="shared" si="8"/>
        <v>1.0204509999999999E-12</v>
      </c>
      <c r="I115" s="46">
        <f t="shared" si="9"/>
        <v>2.0010999999999999E-13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x14ac:dyDescent="0.3">
      <c r="A116" s="7">
        <v>2768.9</v>
      </c>
      <c r="B116" s="8">
        <v>9.4747E-13</v>
      </c>
      <c r="C116" s="8">
        <v>7.8135E-13</v>
      </c>
      <c r="D116" s="8">
        <v>1.6612E-13</v>
      </c>
      <c r="E116" s="1">
        <v>6.5799999999999995E-14</v>
      </c>
      <c r="F116" s="45">
        <f t="shared" si="7"/>
        <v>2768.9</v>
      </c>
      <c r="G116" s="8">
        <f t="shared" si="10"/>
        <v>1.01327E-12</v>
      </c>
      <c r="H116" s="1">
        <f t="shared" si="8"/>
        <v>8.4714999999999998E-13</v>
      </c>
      <c r="I116" s="46">
        <f t="shared" si="9"/>
        <v>1.6612E-13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7.25" thickBot="1" x14ac:dyDescent="0.35">
      <c r="A117" s="7">
        <v>2875</v>
      </c>
      <c r="B117" s="8">
        <v>7.8656000000000003E-13</v>
      </c>
      <c r="C117" s="8">
        <v>6.4864999999999997E-13</v>
      </c>
      <c r="D117" s="8">
        <v>1.3790999999999999E-13</v>
      </c>
      <c r="E117" s="1">
        <v>5.4625000000000001E-14</v>
      </c>
      <c r="F117" s="47">
        <f t="shared" si="7"/>
        <v>2875</v>
      </c>
      <c r="G117" s="48">
        <f t="shared" si="10"/>
        <v>8.4118499999999991E-13</v>
      </c>
      <c r="H117" s="49">
        <f t="shared" si="8"/>
        <v>7.0327499999999995E-13</v>
      </c>
      <c r="I117" s="50">
        <f t="shared" si="9"/>
        <v>1.3790999999999999E-13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7.25" thickBot="1" x14ac:dyDescent="0.35">
      <c r="A118">
        <v>2981.2</v>
      </c>
      <c r="B118" s="8">
        <v>6.5296999999999999E-13</v>
      </c>
      <c r="C118" s="8">
        <v>5.3848999999999996E-13</v>
      </c>
      <c r="D118" s="8">
        <v>1.1449E-13</v>
      </c>
      <c r="E118" s="8">
        <v>4.5347999999999998E-14</v>
      </c>
      <c r="F118" s="47">
        <f t="shared" ref="F118:F131" si="11">A118</f>
        <v>2981.2</v>
      </c>
      <c r="G118" s="48">
        <f t="shared" ref="G118:G131" si="12">H118+I118</f>
        <v>6.9832799999999997E-13</v>
      </c>
      <c r="H118" s="49">
        <f t="shared" ref="H118:H131" si="13">C118+E118</f>
        <v>5.8383799999999992E-13</v>
      </c>
      <c r="I118" s="50">
        <f t="shared" ref="I118:I131" si="14">D118</f>
        <v>1.1449E-13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7.25" thickBot="1" x14ac:dyDescent="0.35">
      <c r="A119">
        <v>3087.4</v>
      </c>
      <c r="B119" s="8">
        <v>5.4208000000000005E-13</v>
      </c>
      <c r="C119" s="8">
        <v>4.4703000000000001E-13</v>
      </c>
      <c r="D119" s="8">
        <v>9.5044000000000004E-14</v>
      </c>
      <c r="E119" s="8">
        <v>3.7646000000000003E-14</v>
      </c>
      <c r="F119" s="47">
        <f t="shared" si="11"/>
        <v>3087.4</v>
      </c>
      <c r="G119" s="48">
        <f t="shared" si="12"/>
        <v>5.7972000000000008E-13</v>
      </c>
      <c r="H119" s="49">
        <f t="shared" si="13"/>
        <v>4.8467600000000002E-13</v>
      </c>
      <c r="I119" s="50">
        <f t="shared" si="14"/>
        <v>9.5044000000000004E-14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7.25" thickBot="1" x14ac:dyDescent="0.35">
      <c r="A120">
        <v>3193.6</v>
      </c>
      <c r="B120" s="8">
        <v>4.5001999999999998E-13</v>
      </c>
      <c r="C120" s="8">
        <v>3.7111000000000002E-13</v>
      </c>
      <c r="D120" s="8">
        <v>7.8903E-14</v>
      </c>
      <c r="E120" s="8">
        <v>3.1253000000000002E-14</v>
      </c>
      <c r="F120" s="47">
        <f t="shared" si="11"/>
        <v>3193.6</v>
      </c>
      <c r="G120" s="48">
        <f t="shared" si="12"/>
        <v>4.8126600000000004E-13</v>
      </c>
      <c r="H120" s="49">
        <f t="shared" si="13"/>
        <v>4.0236300000000003E-13</v>
      </c>
      <c r="I120" s="50">
        <f t="shared" si="14"/>
        <v>7.8903E-14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7.25" thickBot="1" x14ac:dyDescent="0.35">
      <c r="A121">
        <v>3299.7</v>
      </c>
      <c r="B121" s="8">
        <v>3.7358999999999998E-13</v>
      </c>
      <c r="C121" s="8">
        <v>3.0809E-13</v>
      </c>
      <c r="D121" s="8">
        <v>6.5503000000000001E-14</v>
      </c>
      <c r="E121" s="8">
        <v>2.5945E-14</v>
      </c>
      <c r="F121" s="47">
        <f t="shared" si="11"/>
        <v>3299.7</v>
      </c>
      <c r="G121" s="48">
        <f t="shared" si="12"/>
        <v>3.9953799999999999E-13</v>
      </c>
      <c r="H121" s="49">
        <f t="shared" si="13"/>
        <v>3.34035E-13</v>
      </c>
      <c r="I121" s="50">
        <f t="shared" si="14"/>
        <v>6.5503000000000001E-14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7.25" thickBot="1" x14ac:dyDescent="0.35">
      <c r="A122">
        <v>3405.9</v>
      </c>
      <c r="B122" s="8">
        <v>3.1013999999999998E-13</v>
      </c>
      <c r="C122" s="8">
        <v>2.5576000000000001E-13</v>
      </c>
      <c r="D122" s="8">
        <v>5.4377999999999998E-14</v>
      </c>
      <c r="E122" s="8">
        <v>2.1538999999999999E-14</v>
      </c>
      <c r="F122" s="47">
        <f t="shared" si="11"/>
        <v>3405.9</v>
      </c>
      <c r="G122" s="48">
        <f t="shared" si="12"/>
        <v>3.3167700000000004E-13</v>
      </c>
      <c r="H122" s="49">
        <f t="shared" si="13"/>
        <v>2.7729900000000002E-13</v>
      </c>
      <c r="I122" s="50">
        <f t="shared" si="14"/>
        <v>5.4377999999999998E-14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7.25" thickBot="1" x14ac:dyDescent="0.35">
      <c r="A123">
        <v>3512.1</v>
      </c>
      <c r="B123" s="8">
        <v>2.5747000000000001E-13</v>
      </c>
      <c r="C123" s="8">
        <v>2.1232999999999999E-13</v>
      </c>
      <c r="D123" s="8">
        <v>4.5143E-14</v>
      </c>
      <c r="E123" s="8">
        <v>1.7880999999999998E-14</v>
      </c>
      <c r="F123" s="47">
        <f t="shared" si="11"/>
        <v>3512.1</v>
      </c>
      <c r="G123" s="48">
        <f t="shared" si="12"/>
        <v>2.7535400000000002E-13</v>
      </c>
      <c r="H123" s="49">
        <f t="shared" si="13"/>
        <v>2.3021100000000001E-13</v>
      </c>
      <c r="I123" s="50">
        <f t="shared" si="14"/>
        <v>4.5143E-14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7.25" thickBot="1" x14ac:dyDescent="0.35">
      <c r="A124">
        <v>3618.2</v>
      </c>
      <c r="B124" s="8">
        <v>2.1374000000000001E-13</v>
      </c>
      <c r="C124" s="8">
        <v>1.7626999999999999E-13</v>
      </c>
      <c r="D124" s="8">
        <v>3.7476000000000002E-14</v>
      </c>
      <c r="E124" s="8">
        <v>1.4843999999999999E-14</v>
      </c>
      <c r="F124" s="47">
        <f t="shared" si="11"/>
        <v>3618.2</v>
      </c>
      <c r="G124" s="48">
        <f t="shared" si="12"/>
        <v>2.2858999999999999E-13</v>
      </c>
      <c r="H124" s="49">
        <f t="shared" si="13"/>
        <v>1.9111399999999999E-13</v>
      </c>
      <c r="I124" s="50">
        <f t="shared" si="14"/>
        <v>3.7476000000000002E-14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7.25" thickBot="1" x14ac:dyDescent="0.35">
      <c r="A125">
        <v>3724.4</v>
      </c>
      <c r="B125" s="8">
        <v>1.7744E-13</v>
      </c>
      <c r="C125" s="8">
        <v>1.4632999999999999E-13</v>
      </c>
      <c r="D125" s="8">
        <v>3.1111999999999999E-14</v>
      </c>
      <c r="E125" s="8">
        <v>1.2322999999999999E-14</v>
      </c>
      <c r="F125" s="47">
        <f t="shared" si="11"/>
        <v>3724.4</v>
      </c>
      <c r="G125" s="48">
        <f t="shared" si="12"/>
        <v>1.89765E-13</v>
      </c>
      <c r="H125" s="49">
        <f t="shared" si="13"/>
        <v>1.58653E-13</v>
      </c>
      <c r="I125" s="50">
        <f t="shared" si="14"/>
        <v>3.1111999999999999E-14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7.25" thickBot="1" x14ac:dyDescent="0.35">
      <c r="A126">
        <v>3830.6</v>
      </c>
      <c r="B126" s="8">
        <v>1.4731000000000001E-13</v>
      </c>
      <c r="C126" s="8">
        <v>1.2148E-13</v>
      </c>
      <c r="D126" s="8">
        <v>2.5827999999999999E-14</v>
      </c>
      <c r="E126" s="8">
        <v>1.0229999999999999E-14</v>
      </c>
      <c r="F126" s="47">
        <f t="shared" si="11"/>
        <v>3830.6</v>
      </c>
      <c r="G126" s="48">
        <f t="shared" si="12"/>
        <v>1.5753800000000001E-13</v>
      </c>
      <c r="H126" s="49">
        <f t="shared" si="13"/>
        <v>1.3171E-13</v>
      </c>
      <c r="I126" s="50">
        <f t="shared" si="14"/>
        <v>2.5827999999999999E-14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7.25" thickBot="1" x14ac:dyDescent="0.35">
      <c r="A127">
        <v>3936.7</v>
      </c>
      <c r="B127" s="8">
        <v>1.2229E-13</v>
      </c>
      <c r="C127" s="8">
        <v>1.0084999999999999E-13</v>
      </c>
      <c r="D127" s="8">
        <v>2.1441000000000001E-14</v>
      </c>
      <c r="E127" s="8">
        <v>8.4927999999999995E-15</v>
      </c>
      <c r="F127" s="47">
        <f t="shared" si="11"/>
        <v>3936.7</v>
      </c>
      <c r="G127" s="48">
        <f t="shared" si="12"/>
        <v>1.307838E-13</v>
      </c>
      <c r="H127" s="49">
        <f t="shared" si="13"/>
        <v>1.0934279999999999E-13</v>
      </c>
      <c r="I127" s="50">
        <f t="shared" si="14"/>
        <v>2.1441000000000001E-14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7.25" thickBot="1" x14ac:dyDescent="0.35">
      <c r="A128">
        <v>4042.9</v>
      </c>
      <c r="B128" s="8">
        <v>1.0152000000000001E-13</v>
      </c>
      <c r="C128" s="8">
        <v>8.3721000000000005E-14</v>
      </c>
      <c r="D128" s="8">
        <v>1.7800000000000001E-14</v>
      </c>
      <c r="E128" s="8">
        <v>7.0504999999999997E-15</v>
      </c>
      <c r="F128" s="47">
        <f t="shared" si="11"/>
        <v>4042.9</v>
      </c>
      <c r="G128" s="48">
        <f t="shared" si="12"/>
        <v>1.0857150000000001E-13</v>
      </c>
      <c r="H128" s="49">
        <f t="shared" si="13"/>
        <v>9.0771500000000009E-14</v>
      </c>
      <c r="I128" s="50">
        <f t="shared" si="14"/>
        <v>1.7800000000000001E-14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7.25" thickBot="1" x14ac:dyDescent="0.35">
      <c r="A129">
        <v>4149.1000000000004</v>
      </c>
      <c r="B129" s="8">
        <v>8.4279999999999995E-14</v>
      </c>
      <c r="C129" s="8">
        <v>6.9502999999999997E-14</v>
      </c>
      <c r="D129" s="8">
        <v>1.4776999999999999E-14</v>
      </c>
      <c r="E129" s="8">
        <v>5.8531000000000004E-15</v>
      </c>
      <c r="F129" s="47">
        <f t="shared" si="11"/>
        <v>4149.1000000000004</v>
      </c>
      <c r="G129" s="48">
        <f t="shared" si="12"/>
        <v>9.01331E-14</v>
      </c>
      <c r="H129" s="49">
        <f t="shared" si="13"/>
        <v>7.5356100000000002E-14</v>
      </c>
      <c r="I129" s="50">
        <f t="shared" si="14"/>
        <v>1.4776999999999999E-14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7.25" thickBot="1" x14ac:dyDescent="0.35">
      <c r="A130">
        <v>4255.2</v>
      </c>
      <c r="B130" s="8">
        <v>6.9967000000000001E-14</v>
      </c>
      <c r="C130" s="8">
        <v>5.7699E-14</v>
      </c>
      <c r="D130" s="8">
        <v>1.2267E-14</v>
      </c>
      <c r="E130" s="8">
        <v>4.8590999999999996E-15</v>
      </c>
      <c r="F130" s="47">
        <f t="shared" si="11"/>
        <v>4255.2</v>
      </c>
      <c r="G130" s="48">
        <f t="shared" si="12"/>
        <v>7.4825100000000006E-14</v>
      </c>
      <c r="H130" s="49">
        <f t="shared" si="13"/>
        <v>6.2558100000000002E-14</v>
      </c>
      <c r="I130" s="50">
        <f t="shared" si="14"/>
        <v>1.2267E-14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7.25" thickBot="1" x14ac:dyDescent="0.35">
      <c r="A131">
        <v>4320</v>
      </c>
      <c r="B131" s="8">
        <v>6.2428999999999996E-14</v>
      </c>
      <c r="C131" s="8">
        <v>5.1483000000000001E-14</v>
      </c>
      <c r="D131" s="8">
        <v>1.0946000000000001E-14</v>
      </c>
      <c r="E131" s="8">
        <v>4.3355999999999997E-15</v>
      </c>
      <c r="F131" s="47">
        <f t="shared" si="11"/>
        <v>4320</v>
      </c>
      <c r="G131" s="48">
        <f t="shared" si="12"/>
        <v>6.6764600000000003E-14</v>
      </c>
      <c r="H131" s="49">
        <f t="shared" si="13"/>
        <v>5.5818600000000002E-14</v>
      </c>
      <c r="I131" s="50">
        <f t="shared" si="14"/>
        <v>1.0946000000000001E-14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E16F-7E98-438F-8F3A-F6D2C0535880}">
  <dimension ref="A1:BM602"/>
  <sheetViews>
    <sheetView topLeftCell="N1" zoomScale="85" zoomScaleNormal="85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19" max="19" width="9.75" customWidth="1"/>
    <col min="20" max="20" width="9.25" customWidth="1"/>
    <col min="21" max="21" width="8.5" customWidth="1"/>
    <col min="22" max="22" width="8.375" customWidth="1"/>
    <col min="27" max="27" width="18.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1.2735587532151998E-10</v>
      </c>
      <c r="B1" s="7" t="s">
        <v>0</v>
      </c>
      <c r="C1" s="8" t="s">
        <v>105</v>
      </c>
      <c r="D1" s="8" t="s">
        <v>106</v>
      </c>
      <c r="E1" s="8" t="s">
        <v>106</v>
      </c>
      <c r="F1" t="s">
        <v>106</v>
      </c>
      <c r="G1" t="s">
        <v>106</v>
      </c>
      <c r="H1" t="s">
        <v>107</v>
      </c>
      <c r="I1" t="s">
        <v>108</v>
      </c>
      <c r="J1" t="s">
        <v>109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1.2709878519999999E-10</v>
      </c>
      <c r="D2" s="1">
        <v>1.270922E-10</v>
      </c>
      <c r="E2" s="1">
        <v>6.5851999999999998E-15</v>
      </c>
      <c r="F2" s="1">
        <v>2.5709000000000002E-13</v>
      </c>
      <c r="G2" s="1">
        <v>1.2152E-19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2" si="0">(H2+F2)/$A$1*100</f>
        <v>0.20186740450800245</v>
      </c>
      <c r="R2" s="6">
        <f t="shared" ref="R2:R42" si="1">(G2+I2)/$A$1*100</f>
        <v>9.5417663058899438E-8</v>
      </c>
      <c r="S2" s="10">
        <f t="shared" ref="S2:S42" si="2">J2/$A$1*100</f>
        <v>0</v>
      </c>
      <c r="T2" s="6">
        <f t="shared" ref="T2:V17" si="3">C2/$A$1*100</f>
        <v>99.798132500074345</v>
      </c>
      <c r="U2" s="6">
        <f t="shared" si="3"/>
        <v>99.792961792414914</v>
      </c>
      <c r="V2" s="6">
        <f t="shared" si="3"/>
        <v>5.1707076594425987E-3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2.468</v>
      </c>
      <c r="C3" s="8">
        <v>1.260964E-10</v>
      </c>
      <c r="D3" s="1">
        <v>1.137934E-10</v>
      </c>
      <c r="E3" s="1">
        <v>1.2303E-11</v>
      </c>
      <c r="F3" s="1">
        <v>1.1752000000000001E-12</v>
      </c>
      <c r="G3" s="1">
        <v>9.1305999999999998E-18</v>
      </c>
      <c r="H3" s="1">
        <v>2.5861999999999999E-14</v>
      </c>
      <c r="I3" s="1">
        <v>1.6732000000000001E-15</v>
      </c>
      <c r="J3" s="1">
        <v>3.0332000000000001E-14</v>
      </c>
      <c r="K3" s="1"/>
      <c r="L3" s="1"/>
      <c r="N3" s="7"/>
      <c r="O3">
        <f t="shared" ref="O3:O42" si="4">B3/60</f>
        <v>4.1133333333333334E-2</v>
      </c>
      <c r="P3" s="6">
        <f t="shared" ref="P3:P42" si="5">(SUM(F3:J3)+C3)/$A$1*100</f>
        <v>99.979271477775683</v>
      </c>
      <c r="Q3" s="6">
        <f t="shared" si="0"/>
        <v>0.94307545448360686</v>
      </c>
      <c r="R3" s="6">
        <f t="shared" si="1"/>
        <v>1.3209681891415087E-3</v>
      </c>
      <c r="S3" s="10">
        <f t="shared" si="2"/>
        <v>2.3816726101897119E-2</v>
      </c>
      <c r="T3" s="6">
        <f t="shared" si="3"/>
        <v>99.01105832900106</v>
      </c>
      <c r="U3" s="6">
        <f t="shared" si="3"/>
        <v>89.350726625465498</v>
      </c>
      <c r="V3" s="6">
        <f t="shared" si="3"/>
        <v>9.6603317035355492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4.516</v>
      </c>
      <c r="C4" s="8">
        <v>1.2579009999999999E-10</v>
      </c>
      <c r="D4" s="1">
        <v>1.135211E-10</v>
      </c>
      <c r="E4" s="1">
        <v>1.2269E-11</v>
      </c>
      <c r="F4" s="1">
        <v>1.4001000000000001E-12</v>
      </c>
      <c r="G4" s="1">
        <v>1.1002E-17</v>
      </c>
      <c r="H4" s="1">
        <v>7.3009E-14</v>
      </c>
      <c r="I4" s="1">
        <v>4.7286000000000004E-15</v>
      </c>
      <c r="J4" s="1">
        <v>5.5355999999999998E-14</v>
      </c>
      <c r="K4" s="1"/>
      <c r="L4" s="1"/>
      <c r="N4" s="7"/>
      <c r="O4">
        <f t="shared" si="4"/>
        <v>7.5266666666666662E-2</v>
      </c>
      <c r="P4" s="6">
        <f t="shared" si="5"/>
        <v>99.974425428400735</v>
      </c>
      <c r="Q4" s="6">
        <f t="shared" si="0"/>
        <v>1.1566871149689952</v>
      </c>
      <c r="R4" s="6">
        <f t="shared" si="1"/>
        <v>3.7215416941185479E-3</v>
      </c>
      <c r="S4" s="10">
        <f t="shared" si="2"/>
        <v>4.346560365609313E-2</v>
      </c>
      <c r="T4" s="6">
        <f t="shared" si="3"/>
        <v>98.770551168081525</v>
      </c>
      <c r="U4" s="6">
        <f t="shared" si="3"/>
        <v>89.136916309048956</v>
      </c>
      <c r="V4" s="6">
        <f t="shared" si="3"/>
        <v>9.6336348590325631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7.5880000000000001</v>
      </c>
      <c r="C5" s="8">
        <v>1.2543450000000001E-10</v>
      </c>
      <c r="D5" s="1">
        <v>1.1321850000000001E-10</v>
      </c>
      <c r="E5" s="1">
        <v>1.2216E-11</v>
      </c>
      <c r="F5" s="1">
        <v>1.6266999999999999E-12</v>
      </c>
      <c r="G5" s="1">
        <v>1.4807000000000001E-17</v>
      </c>
      <c r="H5" s="1">
        <v>1.5700000000000001E-13</v>
      </c>
      <c r="I5" s="1">
        <v>1.0618E-14</v>
      </c>
      <c r="J5" s="1">
        <v>9.2756999999999998E-14</v>
      </c>
      <c r="K5" s="1"/>
      <c r="L5" s="1"/>
      <c r="N5" s="7"/>
      <c r="O5">
        <f t="shared" si="4"/>
        <v>0.12646666666666667</v>
      </c>
      <c r="P5" s="6">
        <f t="shared" si="5"/>
        <v>99.973078969122213</v>
      </c>
      <c r="Q5" s="6">
        <f t="shared" si="0"/>
        <v>1.4005635747050604</v>
      </c>
      <c r="R5" s="6">
        <f t="shared" si="1"/>
        <v>8.3488939738010828E-3</v>
      </c>
      <c r="S5" s="10">
        <f t="shared" si="2"/>
        <v>7.2832917810684128E-2</v>
      </c>
      <c r="T5" s="6">
        <f t="shared" si="3"/>
        <v>98.491333582632677</v>
      </c>
      <c r="U5" s="6">
        <f t="shared" si="3"/>
        <v>88.899314392972414</v>
      </c>
      <c r="V5" s="6">
        <f t="shared" si="3"/>
        <v>9.5920191896602667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9.6359999999999992</v>
      </c>
      <c r="C6" s="8">
        <v>1.2522649999999999E-10</v>
      </c>
      <c r="D6" s="1">
        <v>1.130465E-10</v>
      </c>
      <c r="E6" s="1">
        <v>1.218E-11</v>
      </c>
      <c r="F6" s="1">
        <v>1.7379000000000001E-12</v>
      </c>
      <c r="G6" s="1">
        <v>1.7353999999999999E-17</v>
      </c>
      <c r="H6" s="1">
        <v>2.1950999999999999E-13</v>
      </c>
      <c r="I6" s="1">
        <v>1.5528000000000001E-14</v>
      </c>
      <c r="J6" s="1">
        <v>1.176E-13</v>
      </c>
      <c r="K6" s="1"/>
      <c r="L6" s="1"/>
      <c r="N6" s="7"/>
      <c r="O6">
        <f t="shared" si="4"/>
        <v>0.16059999999999999</v>
      </c>
      <c r="P6" s="6">
        <f t="shared" si="5"/>
        <v>99.969518510691401</v>
      </c>
      <c r="Q6" s="6">
        <f t="shared" si="0"/>
        <v>1.53696089407604</v>
      </c>
      <c r="R6" s="6">
        <f t="shared" si="1"/>
        <v>1.2206232308289291E-2</v>
      </c>
      <c r="S6" s="10">
        <f t="shared" si="2"/>
        <v>9.23396739279672E-2</v>
      </c>
      <c r="T6" s="6">
        <f t="shared" si="3"/>
        <v>98.328011710379116</v>
      </c>
      <c r="U6" s="6">
        <f t="shared" si="3"/>
        <v>88.764259767839661</v>
      </c>
      <c r="V6" s="6">
        <f t="shared" si="3"/>
        <v>9.5637519425394597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0.9</v>
      </c>
      <c r="AH6" s="1">
        <v>0.9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13.731999999999999</v>
      </c>
      <c r="C7" s="8">
        <v>1.2484090000000001E-10</v>
      </c>
      <c r="D7" s="1">
        <v>1.1272790000000001E-10</v>
      </c>
      <c r="E7" s="1">
        <v>1.2113000000000001E-11</v>
      </c>
      <c r="F7" s="1">
        <v>1.9114000000000001E-12</v>
      </c>
      <c r="G7" s="1">
        <v>2.3494000000000001E-17</v>
      </c>
      <c r="H7" s="1">
        <v>3.5566000000000002E-13</v>
      </c>
      <c r="I7" s="1">
        <v>2.809E-14</v>
      </c>
      <c r="J7" s="1">
        <v>1.6708000000000001E-13</v>
      </c>
      <c r="K7" s="1"/>
      <c r="L7" s="1"/>
      <c r="N7" s="7"/>
      <c r="O7">
        <f t="shared" si="4"/>
        <v>0.22886666666666666</v>
      </c>
      <c r="P7" s="6">
        <f t="shared" si="5"/>
        <v>99.958602752023126</v>
      </c>
      <c r="Q7" s="6">
        <f t="shared" si="0"/>
        <v>1.7800984793804195</v>
      </c>
      <c r="R7" s="6">
        <f t="shared" si="1"/>
        <v>2.207475228686958E-2</v>
      </c>
      <c r="S7" s="10">
        <f t="shared" si="2"/>
        <v>0.13119143469289762</v>
      </c>
      <c r="T7" s="6">
        <f t="shared" si="3"/>
        <v>98.025238085662934</v>
      </c>
      <c r="U7" s="6">
        <f t="shared" si="3"/>
        <v>88.514094630820537</v>
      </c>
      <c r="V7" s="6">
        <f t="shared" si="3"/>
        <v>9.5111434548424043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156</v>
      </c>
      <c r="AH7" s="1" t="s">
        <v>160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17.417999999999999</v>
      </c>
      <c r="C8" s="8">
        <v>1.2453060000000002E-10</v>
      </c>
      <c r="D8" s="1">
        <v>1.1247460000000001E-10</v>
      </c>
      <c r="E8" s="1">
        <v>1.2056E-11</v>
      </c>
      <c r="F8" s="1">
        <v>2.0293999999999998E-12</v>
      </c>
      <c r="G8" s="1">
        <v>3.0108999999999999E-17</v>
      </c>
      <c r="H8" s="1">
        <v>4.8866999999999998E-13</v>
      </c>
      <c r="I8" s="1">
        <v>4.2960999999999997E-14</v>
      </c>
      <c r="J8" s="1">
        <v>2.1138E-13</v>
      </c>
      <c r="K8" s="1"/>
      <c r="L8" s="1"/>
      <c r="M8" s="4"/>
      <c r="N8" s="7"/>
      <c r="O8">
        <f t="shared" si="4"/>
        <v>0.2903</v>
      </c>
      <c r="P8" s="6">
        <f t="shared" si="5"/>
        <v>99.95851450717403</v>
      </c>
      <c r="Q8" s="6">
        <f t="shared" si="0"/>
        <v>1.9771918599302409</v>
      </c>
      <c r="R8" s="6">
        <f t="shared" si="1"/>
        <v>3.3756675058347757E-2</v>
      </c>
      <c r="S8" s="10">
        <f t="shared" si="2"/>
        <v>0.16597585267766757</v>
      </c>
      <c r="T8" s="6">
        <f t="shared" si="3"/>
        <v>97.781590119507783</v>
      </c>
      <c r="U8" s="6">
        <f t="shared" si="3"/>
        <v>88.315203139273308</v>
      </c>
      <c r="V8" s="6">
        <f t="shared" si="3"/>
        <v>9.4663869802344607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0.48</v>
      </c>
      <c r="AH8" s="37">
        <v>0.48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21.105</v>
      </c>
      <c r="C9" s="8">
        <v>1.2422349999999999E-10</v>
      </c>
      <c r="D9" s="1">
        <v>1.1222049999999999E-10</v>
      </c>
      <c r="E9" s="1">
        <v>1.2003E-11</v>
      </c>
      <c r="F9" s="1">
        <v>2.1259000000000001E-12</v>
      </c>
      <c r="G9" s="1">
        <v>3.7213000000000001E-17</v>
      </c>
      <c r="H9" s="1">
        <v>6.2963000000000001E-13</v>
      </c>
      <c r="I9" s="1">
        <v>6.1577999999999995E-14</v>
      </c>
      <c r="J9" s="1">
        <v>2.5547999999999999E-13</v>
      </c>
      <c r="K9" s="1"/>
      <c r="L9" s="1"/>
      <c r="N9" s="7"/>
      <c r="O9">
        <f t="shared" si="4"/>
        <v>0.35175000000000001</v>
      </c>
      <c r="P9" s="6">
        <f t="shared" si="5"/>
        <v>99.953084136582518</v>
      </c>
      <c r="Q9" s="6">
        <f t="shared" si="0"/>
        <v>2.1636457627443155</v>
      </c>
      <c r="R9" s="6">
        <f t="shared" si="1"/>
        <v>4.8380345896447657E-2</v>
      </c>
      <c r="S9" s="10">
        <f t="shared" si="2"/>
        <v>0.20060323040065525</v>
      </c>
      <c r="T9" s="6">
        <f t="shared" si="3"/>
        <v>97.540454797541102</v>
      </c>
      <c r="U9" s="6">
        <f t="shared" si="3"/>
        <v>88.115683486678947</v>
      </c>
      <c r="V9" s="6">
        <f t="shared" si="3"/>
        <v>9.4247713108621642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4.2</v>
      </c>
      <c r="AH9" s="37">
        <v>4.2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24.791</v>
      </c>
      <c r="C10" s="8">
        <v>1.2392060000000001E-10</v>
      </c>
      <c r="D10" s="1">
        <v>1.1196560000000001E-10</v>
      </c>
      <c r="E10" s="1">
        <v>1.1955000000000001E-11</v>
      </c>
      <c r="F10" s="1">
        <v>2.2067999999999998E-12</v>
      </c>
      <c r="G10" s="1">
        <v>4.4496000000000001E-17</v>
      </c>
      <c r="H10" s="1">
        <v>7.7734E-13</v>
      </c>
      <c r="I10" s="1">
        <v>8.4165E-14</v>
      </c>
      <c r="J10" s="1">
        <v>2.9940000000000002E-13</v>
      </c>
      <c r="K10" s="1"/>
      <c r="L10" s="1"/>
      <c r="N10" s="7"/>
      <c r="O10">
        <f t="shared" si="4"/>
        <v>0.41318333333333335</v>
      </c>
      <c r="P10" s="6">
        <f t="shared" si="5"/>
        <v>99.946978633416407</v>
      </c>
      <c r="Q10" s="6">
        <f t="shared" si="0"/>
        <v>2.3431506339745241</v>
      </c>
      <c r="R10" s="6">
        <f t="shared" si="1"/>
        <v>6.6121406481959688E-2</v>
      </c>
      <c r="S10" s="10">
        <f t="shared" si="2"/>
        <v>0.23508927188803896</v>
      </c>
      <c r="T10" s="6">
        <f t="shared" si="3"/>
        <v>97.302617321071878</v>
      </c>
      <c r="U10" s="6">
        <f t="shared" si="3"/>
        <v>87.915535673037454</v>
      </c>
      <c r="V10" s="6">
        <f t="shared" si="3"/>
        <v>9.387081648034421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1.7E-6</v>
      </c>
      <c r="AH10" s="37">
        <v>1.7E-6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32.164000000000001</v>
      </c>
      <c r="C11" s="8">
        <v>1.2332929999999999E-10</v>
      </c>
      <c r="D11" s="1">
        <v>1.114643E-10</v>
      </c>
      <c r="E11" s="1">
        <v>1.1864999999999999E-11</v>
      </c>
      <c r="F11" s="1">
        <v>2.3337E-12</v>
      </c>
      <c r="G11" s="1">
        <v>5.7895999999999995E-17</v>
      </c>
      <c r="H11" s="1">
        <v>1.0889999999999999E-12</v>
      </c>
      <c r="I11" s="1">
        <v>1.4119E-13</v>
      </c>
      <c r="J11" s="1">
        <v>3.8673000000000001E-13</v>
      </c>
      <c r="K11" s="1"/>
      <c r="L11" s="1"/>
      <c r="N11" s="7"/>
      <c r="O11">
        <f t="shared" si="4"/>
        <v>0.53606666666666669</v>
      </c>
      <c r="P11" s="6">
        <f t="shared" si="5"/>
        <v>99.940405242138695</v>
      </c>
      <c r="Q11" s="6">
        <f t="shared" si="0"/>
        <v>2.6875085200106579</v>
      </c>
      <c r="R11" s="6">
        <f t="shared" si="1"/>
        <v>0.11090803282016518</v>
      </c>
      <c r="S11" s="10">
        <f t="shared" si="2"/>
        <v>0.30366090219526154</v>
      </c>
      <c r="T11" s="6">
        <f t="shared" si="3"/>
        <v>96.838327787112618</v>
      </c>
      <c r="U11" s="6">
        <f t="shared" si="3"/>
        <v>87.521914256880223</v>
      </c>
      <c r="V11" s="6">
        <f t="shared" si="3"/>
        <v>9.3164135302324045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39.536999999999999</v>
      </c>
      <c r="C12" s="8">
        <v>1.2275079999999999E-10</v>
      </c>
      <c r="D12" s="1">
        <v>1.109658E-10</v>
      </c>
      <c r="E12" s="1">
        <v>1.1785E-11</v>
      </c>
      <c r="F12" s="1">
        <v>2.4213000000000002E-12</v>
      </c>
      <c r="G12" s="1">
        <v>7.0285999999999997E-17</v>
      </c>
      <c r="H12" s="1">
        <v>1.4175999999999999E-12</v>
      </c>
      <c r="I12" s="1">
        <v>2.13E-13</v>
      </c>
      <c r="J12" s="1">
        <v>4.7343000000000003E-13</v>
      </c>
      <c r="K12" s="1"/>
      <c r="L12" s="1"/>
      <c r="N12" s="7"/>
      <c r="O12">
        <f t="shared" si="4"/>
        <v>0.65895000000000004</v>
      </c>
      <c r="P12" s="6">
        <f t="shared" si="5"/>
        <v>99.937439057822161</v>
      </c>
      <c r="Q12" s="6">
        <f t="shared" si="0"/>
        <v>3.0143093047795348</v>
      </c>
      <c r="R12" s="6">
        <f t="shared" si="1"/>
        <v>0.167303067457302</v>
      </c>
      <c r="S12" s="10">
        <f t="shared" si="2"/>
        <v>0.37173785567787004</v>
      </c>
      <c r="T12" s="6">
        <f t="shared" si="3"/>
        <v>96.384088829907441</v>
      </c>
      <c r="U12" s="6">
        <f t="shared" si="3"/>
        <v>87.130491404387953</v>
      </c>
      <c r="V12" s="6">
        <f t="shared" si="3"/>
        <v>9.2535974255195033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46.91</v>
      </c>
      <c r="C13" s="8">
        <v>1.2217020000000002E-10</v>
      </c>
      <c r="D13" s="1">
        <v>1.104592E-10</v>
      </c>
      <c r="E13" s="1">
        <v>1.1711E-11</v>
      </c>
      <c r="F13" s="1">
        <v>2.4797E-12</v>
      </c>
      <c r="G13" s="1">
        <v>8.1217000000000002E-17</v>
      </c>
      <c r="H13" s="1">
        <v>1.7581999999999999E-12</v>
      </c>
      <c r="I13" s="1">
        <v>2.9766000000000002E-13</v>
      </c>
      <c r="J13" s="1">
        <v>5.5957000000000001E-13</v>
      </c>
      <c r="K13" s="1"/>
      <c r="L13" s="1"/>
      <c r="N13" s="7"/>
      <c r="O13">
        <f t="shared" si="4"/>
        <v>0.78183333333333327</v>
      </c>
      <c r="P13" s="6">
        <f t="shared" si="5"/>
        <v>99.928967466721446</v>
      </c>
      <c r="Q13" s="6">
        <f t="shared" si="0"/>
        <v>3.3276046270351376</v>
      </c>
      <c r="R13" s="6">
        <f t="shared" si="1"/>
        <v>0.23378679330523919</v>
      </c>
      <c r="S13" s="10">
        <f t="shared" si="2"/>
        <v>0.43937509642748812</v>
      </c>
      <c r="T13" s="6">
        <f t="shared" si="3"/>
        <v>95.928200949953577</v>
      </c>
      <c r="U13" s="6">
        <f t="shared" si="3"/>
        <v>86.732708421293495</v>
      </c>
      <c r="V13" s="6">
        <f t="shared" si="3"/>
        <v>9.1954925286600666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54.281999999999996</v>
      </c>
      <c r="C14" s="8">
        <v>1.216008E-10</v>
      </c>
      <c r="D14" s="1">
        <v>1.0995880000000001E-10</v>
      </c>
      <c r="E14" s="1">
        <v>1.1642000000000001E-11</v>
      </c>
      <c r="F14" s="1">
        <v>2.5170999999999998E-12</v>
      </c>
      <c r="G14" s="1">
        <v>8.9928000000000004E-17</v>
      </c>
      <c r="H14" s="1">
        <v>2.1068999999999998E-12</v>
      </c>
      <c r="I14" s="1">
        <v>3.9289000000000001E-13</v>
      </c>
      <c r="J14" s="1">
        <v>6.4517999999999998E-13</v>
      </c>
      <c r="K14" s="1"/>
      <c r="L14" s="1"/>
      <c r="N14" s="7"/>
      <c r="O14">
        <f t="shared" si="4"/>
        <v>0.90469999999999995</v>
      </c>
      <c r="P14" s="6">
        <f t="shared" si="5"/>
        <v>99.927042711390101</v>
      </c>
      <c r="Q14" s="6">
        <f t="shared" si="0"/>
        <v>3.6307708524057856</v>
      </c>
      <c r="R14" s="6">
        <f t="shared" si="1"/>
        <v>0.30856835384146286</v>
      </c>
      <c r="S14" s="10">
        <f t="shared" si="2"/>
        <v>0.50659618048338328</v>
      </c>
      <c r="T14" s="6">
        <f t="shared" si="3"/>
        <v>95.481107324659476</v>
      </c>
      <c r="U14" s="6">
        <f t="shared" si="3"/>
        <v>86.339793686314295</v>
      </c>
      <c r="V14" s="6">
        <f t="shared" si="3"/>
        <v>9.1413136383451885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69.028000000000006</v>
      </c>
      <c r="C15" s="8">
        <v>1.204576E-10</v>
      </c>
      <c r="D15" s="1">
        <v>1.0894460000000001E-10</v>
      </c>
      <c r="E15" s="1">
        <v>1.1513000000000001E-11</v>
      </c>
      <c r="F15" s="1">
        <v>2.5558000000000001E-12</v>
      </c>
      <c r="G15" s="1">
        <v>1.0031E-16</v>
      </c>
      <c r="H15" s="1">
        <v>2.8178E-12</v>
      </c>
      <c r="I15" s="1">
        <v>6.0615E-13</v>
      </c>
      <c r="J15" s="1">
        <v>8.1495999999999999E-13</v>
      </c>
      <c r="K15" s="1"/>
      <c r="L15" s="1"/>
      <c r="N15" s="7"/>
      <c r="O15">
        <f t="shared" si="4"/>
        <v>1.1504666666666667</v>
      </c>
      <c r="P15" s="6">
        <f t="shared" si="5"/>
        <v>99.918759137527999</v>
      </c>
      <c r="Q15" s="6">
        <f t="shared" si="0"/>
        <v>4.2193577535656859</v>
      </c>
      <c r="R15" s="6">
        <f t="shared" si="1"/>
        <v>0.47602853693987274</v>
      </c>
      <c r="S15" s="10">
        <f t="shared" si="2"/>
        <v>0.6399076587103415</v>
      </c>
      <c r="T15" s="6">
        <f t="shared" si="3"/>
        <v>94.583465188312104</v>
      </c>
      <c r="U15" s="6">
        <f t="shared" si="3"/>
        <v>85.543442518816477</v>
      </c>
      <c r="V15" s="6">
        <f t="shared" si="3"/>
        <v>9.0400226694956327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0.1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83.774000000000001</v>
      </c>
      <c r="C16" s="8">
        <v>1.1931489999999998E-10</v>
      </c>
      <c r="D16" s="1">
        <v>1.0792289999999999E-10</v>
      </c>
      <c r="E16" s="1">
        <v>1.1392E-11</v>
      </c>
      <c r="F16" s="1">
        <v>2.5617999999999998E-12</v>
      </c>
      <c r="G16" s="1">
        <v>1.0664000000000001E-16</v>
      </c>
      <c r="H16" s="1">
        <v>3.5373999999999999E-12</v>
      </c>
      <c r="I16" s="1">
        <v>8.4071999999999998E-13</v>
      </c>
      <c r="J16" s="1">
        <v>9.8289999999999998E-13</v>
      </c>
      <c r="K16" s="1"/>
      <c r="L16" s="1"/>
      <c r="N16" s="7"/>
      <c r="O16">
        <f t="shared" si="4"/>
        <v>1.3962333333333334</v>
      </c>
      <c r="P16" s="6">
        <f t="shared" si="5"/>
        <v>99.907308020755252</v>
      </c>
      <c r="Q16" s="6">
        <f t="shared" si="0"/>
        <v>4.7890998233117141</v>
      </c>
      <c r="R16" s="6">
        <f t="shared" si="1"/>
        <v>0.66021817829547835</v>
      </c>
      <c r="S16" s="10">
        <f t="shared" si="2"/>
        <v>0.77177436652890274</v>
      </c>
      <c r="T16" s="6">
        <f t="shared" si="3"/>
        <v>93.686215652619154</v>
      </c>
      <c r="U16" s="6">
        <f t="shared" si="3"/>
        <v>84.741202341501804</v>
      </c>
      <c r="V16" s="6">
        <f t="shared" si="3"/>
        <v>8.9450133111173677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98.519000000000005</v>
      </c>
      <c r="C17" s="8">
        <v>1.1818329999999999E-10</v>
      </c>
      <c r="D17" s="1">
        <v>1.069053E-10</v>
      </c>
      <c r="E17" s="1">
        <v>1.1277999999999999E-11</v>
      </c>
      <c r="F17" s="1">
        <v>2.5507E-12</v>
      </c>
      <c r="G17" s="1">
        <v>1.1166E-16</v>
      </c>
      <c r="H17" s="1">
        <v>4.2575000000000004E-12</v>
      </c>
      <c r="I17" s="1">
        <v>1.0875E-12</v>
      </c>
      <c r="J17" s="1">
        <v>1.1491E-12</v>
      </c>
      <c r="K17" s="1"/>
      <c r="L17" s="1"/>
      <c r="N17" s="7"/>
      <c r="O17">
        <f t="shared" si="4"/>
        <v>1.6419833333333334</v>
      </c>
      <c r="P17" s="6">
        <f t="shared" si="5"/>
        <v>99.899758325874089</v>
      </c>
      <c r="Q17" s="6">
        <f t="shared" si="0"/>
        <v>5.3458075513298153</v>
      </c>
      <c r="R17" s="6">
        <f t="shared" si="1"/>
        <v>0.85399409901917611</v>
      </c>
      <c r="S17" s="10">
        <f t="shared" si="2"/>
        <v>0.9022748240699584</v>
      </c>
      <c r="T17" s="6">
        <f t="shared" si="3"/>
        <v>92.797681851455152</v>
      </c>
      <c r="U17" s="6">
        <f t="shared" si="3"/>
        <v>83.942181489553676</v>
      </c>
      <c r="V17" s="6">
        <f t="shared" si="3"/>
        <v>8.8555003619014805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113.26</v>
      </c>
      <c r="C18" s="8">
        <v>1.1705660000000001E-10</v>
      </c>
      <c r="D18" s="1">
        <v>1.058896E-10</v>
      </c>
      <c r="E18" s="1">
        <v>1.1167E-11</v>
      </c>
      <c r="F18" s="1">
        <v>2.5314999999999999E-12</v>
      </c>
      <c r="G18" s="1">
        <v>1.1415999999999999E-16</v>
      </c>
      <c r="H18" s="1">
        <v>4.9739E-12</v>
      </c>
      <c r="I18" s="1">
        <v>1.3407999999999999E-12</v>
      </c>
      <c r="J18" s="1">
        <v>1.3136999999999999E-12</v>
      </c>
      <c r="K18" s="1"/>
      <c r="L18" s="1"/>
      <c r="N18" s="7"/>
      <c r="O18">
        <f t="shared" si="4"/>
        <v>1.8876666666666668</v>
      </c>
      <c r="P18" s="6">
        <f t="shared" si="5"/>
        <v>99.890651953694018</v>
      </c>
      <c r="Q18" s="6">
        <f t="shared" si="0"/>
        <v>5.8932499039027633</v>
      </c>
      <c r="R18" s="6">
        <f t="shared" si="1"/>
        <v>1.0528875535696771</v>
      </c>
      <c r="S18" s="10">
        <f t="shared" si="2"/>
        <v>1.031518959516756</v>
      </c>
      <c r="T18" s="6">
        <f t="shared" ref="T18:V42" si="6">C18/$A$1*100</f>
        <v>91.912995536704827</v>
      </c>
      <c r="U18" s="6">
        <f t="shared" si="6"/>
        <v>83.144652520092478</v>
      </c>
      <c r="V18" s="6">
        <f t="shared" si="6"/>
        <v>8.7683430166123291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128.01</v>
      </c>
      <c r="C19" s="8">
        <v>1.1593829999999999E-10</v>
      </c>
      <c r="D19" s="1">
        <v>1.048803E-10</v>
      </c>
      <c r="E19" s="1">
        <v>1.1058000000000001E-11</v>
      </c>
      <c r="F19" s="1">
        <v>2.5088999999999999E-12</v>
      </c>
      <c r="G19" s="1">
        <v>1.1499E-16</v>
      </c>
      <c r="H19" s="1">
        <v>5.6846999999999998E-12</v>
      </c>
      <c r="I19" s="1">
        <v>1.597E-12</v>
      </c>
      <c r="J19" s="1">
        <v>1.4767E-12</v>
      </c>
      <c r="K19" s="1"/>
      <c r="L19" s="1"/>
      <c r="N19" s="7"/>
      <c r="O19">
        <f t="shared" si="4"/>
        <v>2.1334999999999997</v>
      </c>
      <c r="P19" s="6">
        <f t="shared" si="5"/>
        <v>99.882093911143954</v>
      </c>
      <c r="Q19" s="6">
        <f t="shared" si="0"/>
        <v>6.4336254446955108</v>
      </c>
      <c r="R19" s="6">
        <f t="shared" si="1"/>
        <v>1.2540567806298351</v>
      </c>
      <c r="S19" s="10">
        <f t="shared" si="2"/>
        <v>1.1595067728692956</v>
      </c>
      <c r="T19" s="6">
        <f t="shared" si="6"/>
        <v>91.034904912949315</v>
      </c>
      <c r="U19" s="6">
        <f t="shared" si="6"/>
        <v>82.352148839008322</v>
      </c>
      <c r="V19" s="6">
        <f t="shared" si="6"/>
        <v>8.6827560739409986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142.76</v>
      </c>
      <c r="C20" s="8">
        <v>1.1482759999999999E-10</v>
      </c>
      <c r="D20" s="1">
        <v>1.038766E-10</v>
      </c>
      <c r="E20" s="1">
        <v>1.0951E-11</v>
      </c>
      <c r="F20" s="1">
        <v>2.4851E-12</v>
      </c>
      <c r="G20" s="1">
        <v>1.1463E-16</v>
      </c>
      <c r="H20" s="1">
        <v>6.3890999999999999E-12</v>
      </c>
      <c r="I20" s="1">
        <v>1.8538E-12</v>
      </c>
      <c r="J20" s="1">
        <v>1.6380000000000001E-12</v>
      </c>
      <c r="K20" s="1"/>
      <c r="L20" s="1"/>
      <c r="N20" s="7"/>
      <c r="O20">
        <f t="shared" si="4"/>
        <v>2.3793333333333333</v>
      </c>
      <c r="P20" s="6">
        <f t="shared" si="5"/>
        <v>99.872671212764558</v>
      </c>
      <c r="Q20" s="6">
        <f t="shared" si="0"/>
        <v>6.9680334555405317</v>
      </c>
      <c r="R20" s="6">
        <f t="shared" si="1"/>
        <v>1.4556961940857822</v>
      </c>
      <c r="S20" s="10">
        <f t="shared" si="2"/>
        <v>1.2861597439966861</v>
      </c>
      <c r="T20" s="6">
        <f t="shared" si="6"/>
        <v>90.162781819141543</v>
      </c>
      <c r="U20" s="6">
        <f t="shared" si="6"/>
        <v>81.564042285254061</v>
      </c>
      <c r="V20" s="6">
        <f t="shared" si="6"/>
        <v>8.5987395338874908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172.25</v>
      </c>
      <c r="C21" s="8">
        <v>1.1263350000000001E-10</v>
      </c>
      <c r="D21" s="1">
        <v>1.018935E-10</v>
      </c>
      <c r="E21" s="1">
        <v>1.074E-11</v>
      </c>
      <c r="F21" s="1">
        <v>2.4375000000000001E-12</v>
      </c>
      <c r="G21" s="1">
        <v>1.1066999999999999E-16</v>
      </c>
      <c r="H21" s="1">
        <v>7.7776999999999999E-12</v>
      </c>
      <c r="I21" s="1">
        <v>2.3643999999999999E-12</v>
      </c>
      <c r="J21" s="1">
        <v>1.9561000000000001E-12</v>
      </c>
      <c r="K21" s="1"/>
      <c r="L21" s="1"/>
      <c r="N21" s="7"/>
      <c r="O21">
        <f t="shared" si="4"/>
        <v>2.8708333333333331</v>
      </c>
      <c r="P21" s="6">
        <f t="shared" si="5"/>
        <v>99.853509191429936</v>
      </c>
      <c r="Q21" s="6">
        <f t="shared" si="0"/>
        <v>8.0209884107905651</v>
      </c>
      <c r="R21" s="6">
        <f t="shared" si="1"/>
        <v>1.8566168730187009</v>
      </c>
      <c r="S21" s="10">
        <f t="shared" si="2"/>
        <v>1.5359322803613662</v>
      </c>
      <c r="T21" s="6">
        <f t="shared" si="6"/>
        <v>88.439971627259311</v>
      </c>
      <c r="U21" s="6">
        <f t="shared" si="6"/>
        <v>80.006909569552093</v>
      </c>
      <c r="V21" s="6">
        <f t="shared" si="6"/>
        <v>8.4330620577072093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201.74</v>
      </c>
      <c r="C22" s="8">
        <v>1.104979E-10</v>
      </c>
      <c r="D22" s="1">
        <v>9.9960899999999999E-11</v>
      </c>
      <c r="E22" s="1">
        <v>1.0537E-11</v>
      </c>
      <c r="F22" s="1">
        <v>2.3907999999999999E-12</v>
      </c>
      <c r="G22" s="1">
        <v>1.1134E-16</v>
      </c>
      <c r="H22" s="1">
        <v>9.1396999999999999E-12</v>
      </c>
      <c r="I22" s="1">
        <v>2.8681999999999998E-12</v>
      </c>
      <c r="J22" s="1">
        <v>2.2681E-12</v>
      </c>
      <c r="K22" s="1"/>
      <c r="L22" s="1"/>
      <c r="N22" s="7"/>
      <c r="O22">
        <f t="shared" si="4"/>
        <v>3.3623333333333334</v>
      </c>
      <c r="P22" s="6">
        <f t="shared" si="5"/>
        <v>99.849976311624715</v>
      </c>
      <c r="Q22" s="6">
        <f t="shared" si="0"/>
        <v>9.0537636924015796</v>
      </c>
      <c r="R22" s="6">
        <f t="shared" si="1"/>
        <v>2.2522018185330839</v>
      </c>
      <c r="S22" s="10">
        <f t="shared" si="2"/>
        <v>1.7809150887416871</v>
      </c>
      <c r="T22" s="6">
        <f t="shared" si="6"/>
        <v>86.763095711948353</v>
      </c>
      <c r="U22" s="6">
        <f t="shared" si="6"/>
        <v>78.489429519950136</v>
      </c>
      <c r="V22" s="6">
        <f t="shared" si="6"/>
        <v>8.2736661919982168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ht="18.75" x14ac:dyDescent="0.3">
      <c r="B23" s="7">
        <v>260.72000000000003</v>
      </c>
      <c r="C23" s="8">
        <v>1.063837E-10</v>
      </c>
      <c r="D23" s="1">
        <v>9.6239700000000003E-11</v>
      </c>
      <c r="E23" s="1">
        <v>1.0144E-11</v>
      </c>
      <c r="F23" s="1">
        <v>2.3014999999999998E-12</v>
      </c>
      <c r="G23" s="1">
        <v>1.0789E-16</v>
      </c>
      <c r="H23" s="1">
        <v>1.1787000000000001E-11</v>
      </c>
      <c r="I23" s="1">
        <v>3.8492000000000002E-12</v>
      </c>
      <c r="J23" s="1">
        <v>2.8746999999999999E-12</v>
      </c>
      <c r="K23" s="1"/>
      <c r="L23" s="1"/>
      <c r="N23" s="7"/>
      <c r="O23">
        <f t="shared" si="4"/>
        <v>4.3453333333333335</v>
      </c>
      <c r="P23" s="6">
        <f t="shared" si="5"/>
        <v>99.874628923780023</v>
      </c>
      <c r="Q23" s="6">
        <f t="shared" si="0"/>
        <v>11.062308640596649</v>
      </c>
      <c r="R23" s="6">
        <f t="shared" si="1"/>
        <v>3.0224815936305394</v>
      </c>
      <c r="S23" s="10">
        <f t="shared" si="2"/>
        <v>2.2572182027272727</v>
      </c>
      <c r="T23" s="6">
        <f t="shared" si="6"/>
        <v>83.53262048682555</v>
      </c>
      <c r="U23" s="6">
        <f t="shared" si="6"/>
        <v>75.567538409229471</v>
      </c>
      <c r="V23" s="6">
        <f t="shared" si="6"/>
        <v>7.9650820775960831</v>
      </c>
      <c r="X23" s="94" t="s">
        <v>147</v>
      </c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165</v>
      </c>
      <c r="AH23" s="1" t="s">
        <v>167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378.69</v>
      </c>
      <c r="C24" s="8">
        <v>9.8743599999999997E-11</v>
      </c>
      <c r="D24" s="1">
        <v>8.9327999999999999E-11</v>
      </c>
      <c r="E24" s="1">
        <v>9.4155999999999996E-12</v>
      </c>
      <c r="F24" s="1">
        <v>2.1361000000000002E-12</v>
      </c>
      <c r="G24" s="1">
        <v>1.0035000000000001E-16</v>
      </c>
      <c r="H24" s="1">
        <v>1.6793000000000001E-11</v>
      </c>
      <c r="I24" s="1">
        <v>5.7067999999999999E-12</v>
      </c>
      <c r="J24" s="1">
        <v>4.0219999999999996E-12</v>
      </c>
      <c r="K24" s="1"/>
      <c r="L24" s="1"/>
      <c r="N24" s="7"/>
      <c r="O24">
        <f t="shared" si="4"/>
        <v>6.3114999999999997</v>
      </c>
      <c r="P24" s="6">
        <f t="shared" si="5"/>
        <v>100.03590335221253</v>
      </c>
      <c r="Q24" s="6">
        <f t="shared" si="0"/>
        <v>14.863154096512618</v>
      </c>
      <c r="R24" s="6">
        <f t="shared" si="1"/>
        <v>4.4810656246462743</v>
      </c>
      <c r="S24" s="10">
        <f t="shared" si="2"/>
        <v>3.1580796644411908</v>
      </c>
      <c r="T24" s="6">
        <f t="shared" si="6"/>
        <v>77.533603966612432</v>
      </c>
      <c r="U24" s="6">
        <f t="shared" si="6"/>
        <v>70.140462522427327</v>
      </c>
      <c r="V24" s="6">
        <f t="shared" si="6"/>
        <v>7.3931414441851011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496.65</v>
      </c>
      <c r="C25" s="8">
        <v>9.1650999999999997E-11</v>
      </c>
      <c r="D25" s="1">
        <v>8.2911599999999994E-11</v>
      </c>
      <c r="E25" s="1">
        <v>8.7393999999999997E-12</v>
      </c>
      <c r="F25" s="1">
        <v>1.9827E-12</v>
      </c>
      <c r="G25" s="1">
        <v>9.3457999999999997E-17</v>
      </c>
      <c r="H25" s="1">
        <v>2.1439999999999999E-11</v>
      </c>
      <c r="I25" s="1">
        <v>7.4319000000000003E-12</v>
      </c>
      <c r="J25" s="1">
        <v>5.0869999999999996E-12</v>
      </c>
      <c r="K25" s="1"/>
      <c r="L25" s="1"/>
      <c r="N25" s="7"/>
      <c r="O25">
        <f t="shared" si="4"/>
        <v>8.2774999999999999</v>
      </c>
      <c r="P25" s="6">
        <f t="shared" si="5"/>
        <v>100.18594991073803</v>
      </c>
      <c r="Q25" s="6">
        <f t="shared" si="0"/>
        <v>18.391534698236374</v>
      </c>
      <c r="R25" s="6">
        <f t="shared" si="1"/>
        <v>5.8356109910417135</v>
      </c>
      <c r="S25" s="10">
        <f t="shared" si="2"/>
        <v>3.9943190584317105</v>
      </c>
      <c r="T25" s="6">
        <f t="shared" si="6"/>
        <v>71.964485163028243</v>
      </c>
      <c r="U25" s="6">
        <f t="shared" si="6"/>
        <v>65.102296843928954</v>
      </c>
      <c r="V25" s="6">
        <f t="shared" si="6"/>
        <v>6.8621883190992907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614.62</v>
      </c>
      <c r="C26" s="8">
        <v>8.5068499999999997E-11</v>
      </c>
      <c r="D26" s="1">
        <v>7.6956899999999993E-11</v>
      </c>
      <c r="E26" s="1">
        <v>8.1115999999999995E-12</v>
      </c>
      <c r="F26" s="1">
        <v>1.8403000000000001E-12</v>
      </c>
      <c r="G26" s="1">
        <v>8.6582000000000004E-17</v>
      </c>
      <c r="H26" s="1">
        <v>2.5753000000000001E-11</v>
      </c>
      <c r="I26" s="1">
        <v>9.0333999999999999E-12</v>
      </c>
      <c r="J26" s="1">
        <v>6.0753999999999997E-12</v>
      </c>
      <c r="K26" s="1"/>
      <c r="L26" s="1"/>
      <c r="N26" s="7"/>
      <c r="O26">
        <f t="shared" si="4"/>
        <v>10.243666666666666</v>
      </c>
      <c r="P26" s="6">
        <f t="shared" si="5"/>
        <v>100.32571034468005</v>
      </c>
      <c r="Q26" s="6">
        <f t="shared" si="0"/>
        <v>21.666295277181781</v>
      </c>
      <c r="R26" s="6">
        <f t="shared" si="1"/>
        <v>7.0931054882189368</v>
      </c>
      <c r="S26" s="10">
        <f t="shared" si="2"/>
        <v>4.7704120321596255</v>
      </c>
      <c r="T26" s="6">
        <f t="shared" si="6"/>
        <v>66.795897547119708</v>
      </c>
      <c r="U26" s="6">
        <f t="shared" si="6"/>
        <v>60.426658609754924</v>
      </c>
      <c r="V26" s="6">
        <f t="shared" si="6"/>
        <v>6.3692389373647851</v>
      </c>
      <c r="X26" s="68" t="s">
        <v>135</v>
      </c>
      <c r="Y26" s="69"/>
      <c r="Z26" s="70"/>
      <c r="AA26" s="71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850.54</v>
      </c>
      <c r="C27" s="8">
        <v>7.2989799999999986E-11</v>
      </c>
      <c r="D27" s="1">
        <v>6.6029799999999992E-11</v>
      </c>
      <c r="E27" s="1">
        <v>6.9600000000000002E-12</v>
      </c>
      <c r="F27" s="1">
        <v>1.579E-12</v>
      </c>
      <c r="G27" s="1">
        <v>7.2738999999999995E-17</v>
      </c>
      <c r="H27" s="1">
        <v>3.3467999999999998E-11</v>
      </c>
      <c r="I27" s="1">
        <v>1.1897000000000001E-11</v>
      </c>
      <c r="J27" s="1">
        <v>7.8434999999999998E-12</v>
      </c>
      <c r="K27" s="1"/>
      <c r="L27" s="1"/>
      <c r="N27" s="7"/>
      <c r="O27">
        <f t="shared" si="4"/>
        <v>14.175666666666666</v>
      </c>
      <c r="P27" s="6">
        <f t="shared" si="5"/>
        <v>100.33096032390803</v>
      </c>
      <c r="Q27" s="6">
        <f t="shared" si="0"/>
        <v>27.518950273413829</v>
      </c>
      <c r="R27" s="6">
        <f t="shared" si="1"/>
        <v>9.3415970868755771</v>
      </c>
      <c r="S27" s="10">
        <f t="shared" si="2"/>
        <v>6.1587264664456693</v>
      </c>
      <c r="T27" s="6">
        <f t="shared" si="6"/>
        <v>57.311686497172957</v>
      </c>
      <c r="U27" s="6">
        <f t="shared" si="6"/>
        <v>51.846685387150401</v>
      </c>
      <c r="V27" s="6">
        <f t="shared" si="6"/>
        <v>5.4650011100225493</v>
      </c>
      <c r="X27" s="72"/>
      <c r="Y27" s="73"/>
      <c r="Z27" s="74"/>
      <c r="AA27" s="7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1086.5</v>
      </c>
      <c r="C28" s="8">
        <v>6.2517899999999997E-11</v>
      </c>
      <c r="D28" s="1">
        <v>5.6556599999999998E-11</v>
      </c>
      <c r="E28" s="1">
        <v>5.9612999999999997E-12</v>
      </c>
      <c r="F28" s="1">
        <v>1.3524E-12</v>
      </c>
      <c r="G28" s="1">
        <v>6.1740000000000006E-17</v>
      </c>
      <c r="H28" s="1">
        <v>4.0082000000000003E-11</v>
      </c>
      <c r="I28" s="1">
        <v>1.4349999999999999E-11</v>
      </c>
      <c r="J28" s="1">
        <v>9.3593999999999999E-12</v>
      </c>
      <c r="K28" s="1"/>
      <c r="L28" s="1"/>
      <c r="N28" s="7"/>
      <c r="O28">
        <f t="shared" si="4"/>
        <v>18.108333333333334</v>
      </c>
      <c r="P28" s="6">
        <f t="shared" si="5"/>
        <v>100.24018241616869</v>
      </c>
      <c r="Q28" s="6">
        <f t="shared" si="0"/>
        <v>32.534345113953783</v>
      </c>
      <c r="R28" s="6">
        <f t="shared" si="1"/>
        <v>11.267687261205763</v>
      </c>
      <c r="S28" s="10">
        <f t="shared" si="2"/>
        <v>7.3490131306242876</v>
      </c>
      <c r="T28" s="6">
        <f t="shared" si="6"/>
        <v>49.089136910384866</v>
      </c>
      <c r="U28" s="6">
        <f t="shared" si="6"/>
        <v>44.408316347572026</v>
      </c>
      <c r="V28" s="6">
        <f t="shared" si="6"/>
        <v>4.6808205628128468</v>
      </c>
      <c r="X28" s="76" t="s">
        <v>143</v>
      </c>
      <c r="Y28" s="73"/>
      <c r="Z28" s="74"/>
      <c r="AA28" s="7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1322.4</v>
      </c>
      <c r="C29" s="8">
        <v>5.3512200000000001E-11</v>
      </c>
      <c r="D29" s="1">
        <v>4.8409599999999999E-11</v>
      </c>
      <c r="E29" s="1">
        <v>5.1025999999999997E-12</v>
      </c>
      <c r="F29" s="1">
        <v>1.1576E-12</v>
      </c>
      <c r="G29" s="1">
        <v>5.3492999999999997E-17</v>
      </c>
      <c r="H29" s="1">
        <v>4.5746000000000002E-11</v>
      </c>
      <c r="I29" s="1">
        <v>1.6449999999999999E-11</v>
      </c>
      <c r="J29" s="1">
        <v>1.0657E-11</v>
      </c>
      <c r="K29" s="1"/>
      <c r="L29" s="1"/>
      <c r="N29" s="7"/>
      <c r="O29">
        <f t="shared" si="4"/>
        <v>22.040000000000003</v>
      </c>
      <c r="P29" s="6">
        <f t="shared" si="5"/>
        <v>100.13111147880574</v>
      </c>
      <c r="Q29" s="6">
        <f t="shared" si="0"/>
        <v>36.828768112651382</v>
      </c>
      <c r="R29" s="6">
        <f t="shared" si="1"/>
        <v>12.916603534364265</v>
      </c>
      <c r="S29" s="10">
        <f t="shared" si="2"/>
        <v>8.3678903490675722</v>
      </c>
      <c r="T29" s="6">
        <f t="shared" si="6"/>
        <v>42.017849482722511</v>
      </c>
      <c r="U29" s="6">
        <f t="shared" si="6"/>
        <v>38.011281283871782</v>
      </c>
      <c r="V29" s="6">
        <f t="shared" si="6"/>
        <v>4.0065681988507258</v>
      </c>
      <c r="X29" s="76" t="s">
        <v>144</v>
      </c>
      <c r="Y29" s="73"/>
      <c r="Z29" s="74"/>
      <c r="AA29" s="7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1558.3</v>
      </c>
      <c r="C30" s="8">
        <v>4.5791300000000005E-11</v>
      </c>
      <c r="D30" s="1">
        <v>4.1424900000000002E-11</v>
      </c>
      <c r="E30" s="1">
        <v>4.3663999999999997E-12</v>
      </c>
      <c r="F30" s="1">
        <v>9.9058000000000001E-13</v>
      </c>
      <c r="G30" s="1">
        <v>4.6126000000000002E-17</v>
      </c>
      <c r="H30" s="1">
        <v>5.0593000000000003E-11</v>
      </c>
      <c r="I30" s="1">
        <v>1.8248999999999999E-11</v>
      </c>
      <c r="J30" s="1">
        <v>1.1768000000000001E-11</v>
      </c>
      <c r="K30" s="1"/>
      <c r="L30" s="1"/>
      <c r="N30" s="7"/>
      <c r="O30">
        <f t="shared" si="4"/>
        <v>25.971666666666668</v>
      </c>
      <c r="P30" s="6">
        <f t="shared" si="5"/>
        <v>100.02830713886503</v>
      </c>
      <c r="Q30" s="6">
        <f t="shared" si="0"/>
        <v>40.503494534330024</v>
      </c>
      <c r="R30" s="6">
        <f t="shared" si="1"/>
        <v>14.329174904517627</v>
      </c>
      <c r="S30" s="10">
        <f t="shared" si="2"/>
        <v>9.240249003268012</v>
      </c>
      <c r="T30" s="6">
        <f t="shared" si="6"/>
        <v>35.95538869674936</v>
      </c>
      <c r="U30" s="6">
        <f t="shared" si="6"/>
        <v>32.52688570151912</v>
      </c>
      <c r="V30" s="6">
        <f t="shared" si="6"/>
        <v>3.4285029952302377</v>
      </c>
      <c r="X30" s="76" t="s">
        <v>145</v>
      </c>
      <c r="Y30" s="73"/>
      <c r="Z30" s="74"/>
      <c r="AA30" s="7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1794.3</v>
      </c>
      <c r="C31" s="8">
        <v>3.91802E-11</v>
      </c>
      <c r="D31" s="1">
        <v>3.5444199999999997E-11</v>
      </c>
      <c r="E31" s="1">
        <v>3.7360000000000002E-12</v>
      </c>
      <c r="F31" s="1">
        <v>8.4756999999999999E-13</v>
      </c>
      <c r="G31" s="1">
        <v>3.9191E-17</v>
      </c>
      <c r="H31" s="1">
        <v>5.4740000000000003E-11</v>
      </c>
      <c r="I31" s="1">
        <v>1.9787999999999999E-11</v>
      </c>
      <c r="J31" s="1">
        <v>1.2719E-11</v>
      </c>
      <c r="K31" s="1"/>
      <c r="L31" s="1"/>
      <c r="N31" s="7"/>
      <c r="O31">
        <f t="shared" si="4"/>
        <v>29.904999999999998</v>
      </c>
      <c r="P31" s="6">
        <f t="shared" si="5"/>
        <v>99.936346768207343</v>
      </c>
      <c r="Q31" s="6">
        <f t="shared" si="0"/>
        <v>43.647432723197724</v>
      </c>
      <c r="R31" s="6">
        <f t="shared" si="1"/>
        <v>15.53759427356102</v>
      </c>
      <c r="S31" s="10">
        <f t="shared" si="2"/>
        <v>9.986975448042644</v>
      </c>
      <c r="T31" s="6">
        <f t="shared" si="6"/>
        <v>30.764344323405957</v>
      </c>
      <c r="U31" s="6">
        <f t="shared" si="6"/>
        <v>27.830832233313391</v>
      </c>
      <c r="V31" s="6">
        <f t="shared" si="6"/>
        <v>2.933512090092564</v>
      </c>
      <c r="X31" s="76" t="s">
        <v>146</v>
      </c>
      <c r="Y31" s="73"/>
      <c r="Z31" s="74"/>
      <c r="AA31" s="75"/>
      <c r="AB31" s="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2030.2</v>
      </c>
      <c r="C32" s="8">
        <v>3.3523000000000004E-11</v>
      </c>
      <c r="D32" s="1">
        <v>3.0326500000000002E-11</v>
      </c>
      <c r="E32" s="1">
        <v>3.1965E-12</v>
      </c>
      <c r="F32" s="1">
        <v>7.2518000000000005E-13</v>
      </c>
      <c r="G32" s="1">
        <v>3.3306999999999997E-17</v>
      </c>
      <c r="H32" s="1">
        <v>5.8289000000000004E-11</v>
      </c>
      <c r="I32" s="1">
        <v>2.1103999999999999E-11</v>
      </c>
      <c r="J32" s="1">
        <v>1.3532E-11</v>
      </c>
      <c r="K32" s="1"/>
      <c r="L32" s="1"/>
      <c r="N32" s="7"/>
      <c r="O32">
        <f t="shared" si="4"/>
        <v>33.836666666666666</v>
      </c>
      <c r="P32" s="6">
        <f t="shared" si="5"/>
        <v>99.856573547110543</v>
      </c>
      <c r="Q32" s="6">
        <f t="shared" si="0"/>
        <v>46.338011380326229</v>
      </c>
      <c r="R32" s="6">
        <f t="shared" si="1"/>
        <v>16.570914575963769</v>
      </c>
      <c r="S32" s="10">
        <f t="shared" si="2"/>
        <v>10.62534411218752</v>
      </c>
      <c r="T32" s="6">
        <f t="shared" si="6"/>
        <v>26.322303478633035</v>
      </c>
      <c r="U32" s="6">
        <f t="shared" si="6"/>
        <v>23.81240749469811</v>
      </c>
      <c r="V32" s="6">
        <f t="shared" si="6"/>
        <v>2.5098959839349249</v>
      </c>
      <c r="X32" s="72"/>
      <c r="Y32" s="73"/>
      <c r="Z32" s="74"/>
      <c r="AA32" s="75"/>
      <c r="AB32" s="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2266.1</v>
      </c>
      <c r="C33" s="8">
        <v>2.86811E-11</v>
      </c>
      <c r="D33" s="1">
        <v>2.5946199999999999E-11</v>
      </c>
      <c r="E33" s="1">
        <v>2.7349E-12</v>
      </c>
      <c r="F33" s="1">
        <v>6.2045999999999996E-13</v>
      </c>
      <c r="G33" s="1">
        <v>2.8557E-17</v>
      </c>
      <c r="H33" s="1">
        <v>6.1325000000000005E-11</v>
      </c>
      <c r="I33" s="1">
        <v>2.223E-11</v>
      </c>
      <c r="J33" s="1">
        <v>1.4228E-11</v>
      </c>
      <c r="K33" s="1"/>
      <c r="L33" s="1"/>
      <c r="N33" s="7"/>
      <c r="O33">
        <f t="shared" si="4"/>
        <v>37.768333333333331</v>
      </c>
      <c r="P33" s="6">
        <f t="shared" si="5"/>
        <v>99.78698527740859</v>
      </c>
      <c r="Q33" s="6">
        <f t="shared" si="0"/>
        <v>48.639656273111697</v>
      </c>
      <c r="R33" s="6">
        <f t="shared" si="1"/>
        <v>17.455047520091661</v>
      </c>
      <c r="S33" s="10">
        <f t="shared" si="2"/>
        <v>11.171844223189774</v>
      </c>
      <c r="T33" s="6">
        <f t="shared" si="6"/>
        <v>22.520437261015477</v>
      </c>
      <c r="U33" s="6">
        <f t="shared" si="6"/>
        <v>20.372990201274003</v>
      </c>
      <c r="V33" s="6">
        <f t="shared" si="6"/>
        <v>2.1474470597414754</v>
      </c>
      <c r="X33" s="72"/>
      <c r="Y33" s="73"/>
      <c r="Z33" s="74"/>
      <c r="AA33" s="75"/>
      <c r="AB33" s="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ht="18.75" x14ac:dyDescent="0.3">
      <c r="B34" s="7">
        <v>2502.1</v>
      </c>
      <c r="C34" s="8">
        <v>2.4538899999999998E-11</v>
      </c>
      <c r="D34" s="1">
        <v>2.2198999999999999E-11</v>
      </c>
      <c r="E34" s="1">
        <v>2.3399000000000002E-12</v>
      </c>
      <c r="F34" s="1">
        <v>5.3085E-13</v>
      </c>
      <c r="G34" s="1">
        <v>2.4596000000000001E-17</v>
      </c>
      <c r="H34" s="1">
        <v>6.3922999999999997E-11</v>
      </c>
      <c r="I34" s="1">
        <v>2.3192999999999999E-11</v>
      </c>
      <c r="J34" s="1">
        <v>1.4823E-11</v>
      </c>
      <c r="K34" s="1"/>
      <c r="L34" s="1"/>
      <c r="N34" s="7"/>
      <c r="O34">
        <f t="shared" si="4"/>
        <v>41.701666666666668</v>
      </c>
      <c r="P34" s="6">
        <f t="shared" si="5"/>
        <v>99.727456055997663</v>
      </c>
      <c r="Q34" s="6">
        <f t="shared" si="0"/>
        <v>50.60924738437167</v>
      </c>
      <c r="R34" s="6">
        <f t="shared" si="1"/>
        <v>18.211193270390844</v>
      </c>
      <c r="S34" s="10">
        <f t="shared" si="2"/>
        <v>11.639039001991987</v>
      </c>
      <c r="T34" s="6">
        <f t="shared" si="6"/>
        <v>19.267976399243146</v>
      </c>
      <c r="U34" s="6">
        <f t="shared" si="6"/>
        <v>17.430683856521632</v>
      </c>
      <c r="V34" s="6">
        <f t="shared" si="6"/>
        <v>1.8372925427215174</v>
      </c>
      <c r="X34" s="77" t="s">
        <v>141</v>
      </c>
      <c r="Y34" s="78" t="s">
        <v>136</v>
      </c>
      <c r="Z34" s="79"/>
      <c r="AA34" s="90">
        <v>0.33466563244487801</v>
      </c>
      <c r="AB34" s="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2738</v>
      </c>
      <c r="C35" s="8">
        <v>2.0994900000000001E-11</v>
      </c>
      <c r="D35" s="1">
        <v>1.8992900000000001E-11</v>
      </c>
      <c r="E35" s="1">
        <v>2.0020000000000002E-12</v>
      </c>
      <c r="F35" s="1">
        <v>4.5417999999999999E-13</v>
      </c>
      <c r="G35" s="1">
        <v>2.1011999999999999E-17</v>
      </c>
      <c r="H35" s="1">
        <v>6.6146000000000004E-11</v>
      </c>
      <c r="I35" s="1">
        <v>2.4018E-11</v>
      </c>
      <c r="J35" s="1">
        <v>1.5333E-11</v>
      </c>
      <c r="K35" s="1"/>
      <c r="L35" s="1"/>
      <c r="N35" s="7"/>
      <c r="O35">
        <f t="shared" si="4"/>
        <v>45.633333333333333</v>
      </c>
      <c r="P35" s="6">
        <f t="shared" si="5"/>
        <v>99.678244675806695</v>
      </c>
      <c r="Q35" s="6">
        <f t="shared" si="0"/>
        <v>52.294548509727242</v>
      </c>
      <c r="R35" s="6">
        <f t="shared" si="1"/>
        <v>18.858981536081163</v>
      </c>
      <c r="S35" s="10">
        <f t="shared" si="2"/>
        <v>12.039491669536744</v>
      </c>
      <c r="T35" s="6">
        <f t="shared" si="6"/>
        <v>16.485222960461556</v>
      </c>
      <c r="U35" s="6">
        <f t="shared" si="6"/>
        <v>14.913249940021158</v>
      </c>
      <c r="V35" s="6">
        <f t="shared" si="6"/>
        <v>1.5719730204403943</v>
      </c>
      <c r="X35" s="81"/>
      <c r="Y35" s="82" t="s">
        <v>137</v>
      </c>
      <c r="Z35" s="79"/>
      <c r="AA35" s="90">
        <v>62.330741448723401</v>
      </c>
      <c r="AB35" s="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2973.9</v>
      </c>
      <c r="C36" s="8">
        <v>1.7963599999999999E-11</v>
      </c>
      <c r="D36" s="1">
        <v>1.6250699999999999E-11</v>
      </c>
      <c r="E36" s="1">
        <v>1.7128999999999999E-12</v>
      </c>
      <c r="F36" s="1">
        <v>3.8859000000000001E-13</v>
      </c>
      <c r="G36" s="1">
        <v>1.7854000000000001E-17</v>
      </c>
      <c r="H36" s="1">
        <v>6.8047E-11</v>
      </c>
      <c r="I36" s="1">
        <v>2.4723E-11</v>
      </c>
      <c r="J36" s="1">
        <v>1.5768E-11</v>
      </c>
      <c r="K36" s="1"/>
      <c r="L36" s="1"/>
      <c r="N36" s="7"/>
      <c r="O36">
        <f t="shared" si="4"/>
        <v>49.565000000000005</v>
      </c>
      <c r="P36" s="6">
        <f t="shared" si="5"/>
        <v>99.634357294985904</v>
      </c>
      <c r="Q36" s="6">
        <f t="shared" si="0"/>
        <v>53.735714844116103</v>
      </c>
      <c r="R36" s="6">
        <f t="shared" si="1"/>
        <v>19.412545979197883</v>
      </c>
      <c r="S36" s="10">
        <f t="shared" si="2"/>
        <v>12.381054238913155</v>
      </c>
      <c r="T36" s="6">
        <f t="shared" si="6"/>
        <v>14.105042232758771</v>
      </c>
      <c r="U36" s="6">
        <f t="shared" si="6"/>
        <v>12.760070910724631</v>
      </c>
      <c r="V36" s="6">
        <f t="shared" si="6"/>
        <v>1.3449713220341413</v>
      </c>
      <c r="X36" s="81"/>
      <c r="Y36" s="82" t="s">
        <v>138</v>
      </c>
      <c r="Z36" s="79"/>
      <c r="AA36" s="90">
        <v>1.8264317888328399E-2</v>
      </c>
      <c r="AB36" s="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3209.8</v>
      </c>
      <c r="C37" s="8">
        <v>1.53688E-11</v>
      </c>
      <c r="D37" s="1">
        <v>1.39033E-11</v>
      </c>
      <c r="E37" s="1">
        <v>1.4655E-12</v>
      </c>
      <c r="F37" s="1">
        <v>3.3247E-13</v>
      </c>
      <c r="G37" s="1">
        <v>1.5284E-17</v>
      </c>
      <c r="H37" s="1">
        <v>6.9673999999999999E-11</v>
      </c>
      <c r="I37" s="1">
        <v>2.5325999999999999E-11</v>
      </c>
      <c r="J37" s="1">
        <v>1.6141000000000001E-11</v>
      </c>
      <c r="K37" s="1"/>
      <c r="L37" s="1"/>
      <c r="N37" s="7"/>
      <c r="O37">
        <f t="shared" si="4"/>
        <v>53.49666666666667</v>
      </c>
      <c r="P37" s="6">
        <f t="shared" si="5"/>
        <v>99.596728430295514</v>
      </c>
      <c r="Q37" s="6">
        <f t="shared" si="0"/>
        <v>54.969171876258663</v>
      </c>
      <c r="R37" s="6">
        <f t="shared" si="1"/>
        <v>19.886020350504026</v>
      </c>
      <c r="S37" s="10">
        <f t="shared" si="2"/>
        <v>12.673934327137063</v>
      </c>
      <c r="T37" s="6">
        <f t="shared" si="6"/>
        <v>12.067601876395768</v>
      </c>
      <c r="U37" s="6">
        <f t="shared" si="6"/>
        <v>10.91688935818628</v>
      </c>
      <c r="V37" s="6">
        <f t="shared" si="6"/>
        <v>1.1507125182094893</v>
      </c>
      <c r="X37" s="81"/>
      <c r="Y37" s="82" t="s">
        <v>139</v>
      </c>
      <c r="Z37" s="79"/>
      <c r="AA37" s="90">
        <v>8.7599920116159904</v>
      </c>
      <c r="AB37" s="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3445.8</v>
      </c>
      <c r="C38" s="8">
        <v>1.3149119999999999E-11</v>
      </c>
      <c r="D38" s="1">
        <v>1.1895319999999999E-11</v>
      </c>
      <c r="E38" s="1">
        <v>1.2538E-12</v>
      </c>
      <c r="F38" s="1">
        <v>2.8445000000000001E-13</v>
      </c>
      <c r="G38" s="1">
        <v>1.3141E-17</v>
      </c>
      <c r="H38" s="1">
        <v>7.1065999999999998E-11</v>
      </c>
      <c r="I38" s="1">
        <v>2.5841999999999999E-11</v>
      </c>
      <c r="J38" s="1">
        <v>1.6460000000000001E-11</v>
      </c>
      <c r="K38" s="1"/>
      <c r="L38" s="1"/>
      <c r="N38" s="7"/>
      <c r="O38">
        <f t="shared" si="4"/>
        <v>57.43</v>
      </c>
      <c r="P38" s="6">
        <f t="shared" si="5"/>
        <v>99.564769054336423</v>
      </c>
      <c r="Q38" s="6">
        <f t="shared" si="0"/>
        <v>56.024466731409241</v>
      </c>
      <c r="R38" s="6">
        <f t="shared" si="1"/>
        <v>20.291182543215847</v>
      </c>
      <c r="S38" s="10">
        <f t="shared" si="2"/>
        <v>12.924413544679764</v>
      </c>
      <c r="T38" s="6">
        <f t="shared" si="6"/>
        <v>10.324706235031565</v>
      </c>
      <c r="U38" s="6">
        <f t="shared" si="6"/>
        <v>9.340220833918595</v>
      </c>
      <c r="V38" s="6">
        <f t="shared" si="6"/>
        <v>0.98448540111297</v>
      </c>
      <c r="X38" s="81"/>
      <c r="Y38" s="82" t="s">
        <v>140</v>
      </c>
      <c r="Z38" s="79"/>
      <c r="AA38" s="90">
        <v>3.9473784719030999E-2</v>
      </c>
      <c r="AB38" s="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3681.7</v>
      </c>
      <c r="C39" s="8">
        <v>1.125023E-11</v>
      </c>
      <c r="D39" s="1">
        <v>1.017743E-11</v>
      </c>
      <c r="E39" s="1">
        <v>1.0728E-12</v>
      </c>
      <c r="F39" s="1">
        <v>2.4337E-13</v>
      </c>
      <c r="G39" s="1">
        <v>1.1226E-17</v>
      </c>
      <c r="H39" s="1">
        <v>7.2257000000000004E-11</v>
      </c>
      <c r="I39" s="1">
        <v>2.6284000000000001E-11</v>
      </c>
      <c r="J39" s="1">
        <v>1.6733E-11</v>
      </c>
      <c r="K39" s="1"/>
      <c r="L39" s="1"/>
      <c r="N39" s="7"/>
      <c r="O39">
        <f t="shared" si="4"/>
        <v>61.361666666666665</v>
      </c>
      <c r="P39" s="6">
        <f t="shared" si="5"/>
        <v>99.538094262212212</v>
      </c>
      <c r="Q39" s="6">
        <f t="shared" si="0"/>
        <v>56.927385420552511</v>
      </c>
      <c r="R39" s="6">
        <f t="shared" si="1"/>
        <v>20.638240018094127</v>
      </c>
      <c r="S39" s="10">
        <f t="shared" si="2"/>
        <v>13.138773502012544</v>
      </c>
      <c r="T39" s="6">
        <f t="shared" si="6"/>
        <v>8.8336953215530141</v>
      </c>
      <c r="U39" s="6">
        <f t="shared" si="6"/>
        <v>7.9913313573529878</v>
      </c>
      <c r="V39" s="6">
        <f t="shared" si="6"/>
        <v>0.84236396420002746</v>
      </c>
      <c r="X39" s="81"/>
      <c r="Y39" s="103" t="s">
        <v>151</v>
      </c>
      <c r="Z39" s="85"/>
      <c r="AA39" s="109">
        <v>9.9190794346924793</v>
      </c>
      <c r="AB39" s="5"/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3917.6</v>
      </c>
      <c r="C40" s="8">
        <v>9.6254399999999994E-12</v>
      </c>
      <c r="D40" s="1">
        <v>8.7076099999999999E-12</v>
      </c>
      <c r="E40" s="1">
        <v>9.1782999999999994E-13</v>
      </c>
      <c r="F40" s="1">
        <v>2.0822E-13</v>
      </c>
      <c r="G40" s="1">
        <v>9.5925000000000004E-18</v>
      </c>
      <c r="H40" s="1">
        <v>7.3275999999999996E-11</v>
      </c>
      <c r="I40" s="1">
        <v>2.6661999999999999E-11</v>
      </c>
      <c r="J40" s="1">
        <v>1.6967000000000001E-11</v>
      </c>
      <c r="K40" s="1"/>
      <c r="L40" s="1"/>
      <c r="N40" s="7"/>
      <c r="O40">
        <f t="shared" si="4"/>
        <v>65.293333333333337</v>
      </c>
      <c r="P40" s="6">
        <f t="shared" si="5"/>
        <v>99.515369253705956</v>
      </c>
      <c r="Q40" s="6">
        <f t="shared" si="0"/>
        <v>57.699905728324872</v>
      </c>
      <c r="R40" s="6">
        <f t="shared" si="1"/>
        <v>20.935044830236258</v>
      </c>
      <c r="S40" s="10">
        <f t="shared" si="2"/>
        <v>13.322510608297785</v>
      </c>
      <c r="T40" s="6">
        <f t="shared" si="6"/>
        <v>7.5579080868470454</v>
      </c>
      <c r="U40" s="6">
        <f t="shared" si="6"/>
        <v>6.8372267694890008</v>
      </c>
      <c r="V40" s="6">
        <f t="shared" si="6"/>
        <v>0.7206813173580453</v>
      </c>
      <c r="X40" s="81"/>
      <c r="Y40" s="103" t="s">
        <v>152</v>
      </c>
      <c r="Z40" s="85"/>
      <c r="AA40" s="109">
        <v>-8.7599920116159904</v>
      </c>
      <c r="AB40" s="5"/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4153.6000000000004</v>
      </c>
      <c r="C41" s="8">
        <v>8.2352699999999987E-12</v>
      </c>
      <c r="D41" s="1">
        <v>7.4499999999999992E-12</v>
      </c>
      <c r="E41" s="1">
        <v>7.8527000000000005E-13</v>
      </c>
      <c r="F41" s="1">
        <v>1.7815E-13</v>
      </c>
      <c r="G41" s="1">
        <v>8.2155999999999996E-18</v>
      </c>
      <c r="H41" s="1">
        <v>7.4148000000000006E-11</v>
      </c>
      <c r="I41" s="1">
        <v>2.6985000000000001E-11</v>
      </c>
      <c r="J41" s="1">
        <v>1.7167000000000001E-11</v>
      </c>
      <c r="K41" s="1"/>
      <c r="L41" s="1"/>
      <c r="N41" s="7"/>
      <c r="O41">
        <f t="shared" si="4"/>
        <v>69.226666666666674</v>
      </c>
      <c r="P41" s="6">
        <f t="shared" si="5"/>
        <v>99.495549691525355</v>
      </c>
      <c r="Q41" s="6">
        <f t="shared" si="0"/>
        <v>58.360990266336565</v>
      </c>
      <c r="R41" s="6">
        <f t="shared" si="1"/>
        <v>21.188663771870921</v>
      </c>
      <c r="S41" s="10">
        <f t="shared" si="2"/>
        <v>13.479550870080043</v>
      </c>
      <c r="T41" s="6">
        <f t="shared" si="6"/>
        <v>6.4663447832378429</v>
      </c>
      <c r="U41" s="6">
        <f t="shared" si="6"/>
        <v>5.8497497513890782</v>
      </c>
      <c r="V41" s="6">
        <f t="shared" si="6"/>
        <v>0.61659503184876541</v>
      </c>
      <c r="X41" s="81"/>
      <c r="Y41" s="103" t="s">
        <v>153</v>
      </c>
      <c r="Z41" s="85"/>
      <c r="AA41" s="109">
        <v>2.4025229507363202</v>
      </c>
      <c r="AB41" s="5"/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4320</v>
      </c>
      <c r="C42" s="8">
        <v>7.3753199999999993E-12</v>
      </c>
      <c r="D42" s="1">
        <v>6.6720499999999996E-12</v>
      </c>
      <c r="E42" s="1">
        <v>7.0326999999999999E-13</v>
      </c>
      <c r="F42" s="1">
        <v>1.5955000000000001E-13</v>
      </c>
      <c r="G42" s="1">
        <v>7.3543999999999999E-18</v>
      </c>
      <c r="H42" s="1">
        <v>7.4684999999999999E-11</v>
      </c>
      <c r="I42" s="1">
        <v>2.7185000000000001E-11</v>
      </c>
      <c r="J42" s="1">
        <v>1.7289999999999999E-11</v>
      </c>
      <c r="K42" s="1"/>
      <c r="L42" s="1"/>
      <c r="N42" s="7"/>
      <c r="O42" s="51">
        <f t="shared" si="4"/>
        <v>72</v>
      </c>
      <c r="P42" s="52">
        <f t="shared" si="5"/>
        <v>99.480983531029693</v>
      </c>
      <c r="Q42" s="52">
        <f t="shared" si="0"/>
        <v>58.768038624876176</v>
      </c>
      <c r="R42" s="52">
        <f t="shared" si="1"/>
        <v>21.345703357437809</v>
      </c>
      <c r="S42" s="55">
        <f t="shared" si="2"/>
        <v>13.576130631076131</v>
      </c>
      <c r="T42" s="52">
        <f t="shared" si="6"/>
        <v>5.7911109176395836</v>
      </c>
      <c r="U42" s="52">
        <f t="shared" si="6"/>
        <v>5.2389023931215437</v>
      </c>
      <c r="V42" s="6">
        <f t="shared" si="6"/>
        <v>0.55220852451803992</v>
      </c>
      <c r="X42" s="81"/>
      <c r="Y42" s="103" t="s">
        <v>154</v>
      </c>
      <c r="Z42" s="85"/>
      <c r="AA42" s="109">
        <v>-3.9473784719030999E-2</v>
      </c>
      <c r="AB42" s="5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x14ac:dyDescent="0.3">
      <c r="B43" s="7">
        <v>4105.6000000000004</v>
      </c>
      <c r="C43" s="8">
        <v>3.7519900000000001E-12</v>
      </c>
      <c r="D43" s="8">
        <v>3.3943099999999999E-12</v>
      </c>
      <c r="E43" s="8">
        <v>3.5768E-13</v>
      </c>
      <c r="F43" s="1">
        <v>7.9200000000000006E-14</v>
      </c>
      <c r="G43" s="1">
        <v>9.0068999999999994E-18</v>
      </c>
      <c r="H43" s="1">
        <v>5.8044999999999998E-11</v>
      </c>
      <c r="I43" s="1">
        <v>5.2300999999999999E-11</v>
      </c>
      <c r="J43" s="1">
        <v>1.3761E-11</v>
      </c>
      <c r="K43" s="1"/>
      <c r="L43" s="1"/>
      <c r="N43" s="7"/>
      <c r="P43" s="6"/>
      <c r="Q43" s="6"/>
      <c r="R43" s="6"/>
      <c r="S43" s="10"/>
      <c r="T43" s="6"/>
      <c r="U43" s="6"/>
      <c r="V43" s="6"/>
      <c r="X43" s="81"/>
      <c r="Y43" s="101"/>
      <c r="Z43" s="83"/>
      <c r="AA43" s="110"/>
      <c r="AB43" s="5"/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4318</v>
      </c>
      <c r="C44" s="8">
        <v>3.1228599999999999E-12</v>
      </c>
      <c r="D44" s="8">
        <v>2.8251499999999999E-12</v>
      </c>
      <c r="E44" s="8">
        <v>2.9771E-13</v>
      </c>
      <c r="F44" s="1">
        <v>6.5920999999999995E-14</v>
      </c>
      <c r="G44" s="1">
        <v>7.4711000000000003E-18</v>
      </c>
      <c r="H44" s="1">
        <v>5.8340999999999998E-11</v>
      </c>
      <c r="I44" s="1">
        <v>5.2568999999999997E-11</v>
      </c>
      <c r="J44" s="1">
        <v>1.3830000000000001E-11</v>
      </c>
      <c r="K44" s="1"/>
      <c r="L44" s="1"/>
      <c r="N44" s="7"/>
      <c r="O44" s="58"/>
      <c r="P44" s="59"/>
      <c r="Q44" s="59"/>
      <c r="R44" s="59"/>
      <c r="S44" s="10"/>
      <c r="T44" s="59"/>
      <c r="U44" s="59"/>
      <c r="V44" s="59"/>
      <c r="X44" s="77" t="s">
        <v>142</v>
      </c>
      <c r="Y44" s="102" t="s">
        <v>136</v>
      </c>
      <c r="Z44" s="83"/>
      <c r="AA44" s="111">
        <v>9.8550150486950393E-3</v>
      </c>
      <c r="AB44" s="5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4320</v>
      </c>
      <c r="C45" s="8">
        <v>3.1173400000000001E-12</v>
      </c>
      <c r="D45" s="8">
        <v>2.82016E-12</v>
      </c>
      <c r="E45" s="8">
        <v>2.9718E-13</v>
      </c>
      <c r="F45" s="1">
        <v>6.5805000000000003E-14</v>
      </c>
      <c r="G45" s="1">
        <v>7.4578999999999994E-18</v>
      </c>
      <c r="H45" s="1">
        <v>5.8343000000000002E-11</v>
      </c>
      <c r="I45" s="1">
        <v>5.2571000000000001E-11</v>
      </c>
      <c r="J45" s="8">
        <v>1.3831E-11</v>
      </c>
      <c r="K45" s="1"/>
      <c r="L45" s="1"/>
      <c r="N45" s="7"/>
      <c r="O45" s="58"/>
      <c r="P45" s="59"/>
      <c r="Q45" s="59"/>
      <c r="R45" s="59"/>
      <c r="S45" s="10"/>
      <c r="T45" s="59"/>
      <c r="U45" s="59"/>
      <c r="V45" s="59"/>
      <c r="X45" s="81"/>
      <c r="Y45" s="102" t="s">
        <v>137</v>
      </c>
      <c r="Z45" s="83"/>
      <c r="AA45" s="111">
        <v>22.718613640101101</v>
      </c>
      <c r="AB45" s="5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/>
      <c r="C46" s="8"/>
      <c r="D46" s="8"/>
      <c r="E46" s="8"/>
      <c r="F46" s="1"/>
      <c r="G46" s="1"/>
      <c r="H46" s="1"/>
      <c r="I46" s="1"/>
      <c r="J46" s="8"/>
      <c r="K46" s="1"/>
      <c r="L46" s="1"/>
      <c r="N46" s="7"/>
      <c r="O46" s="58"/>
      <c r="P46" s="59"/>
      <c r="Q46" s="59"/>
      <c r="R46" s="59"/>
      <c r="S46" s="5"/>
      <c r="T46" s="59"/>
      <c r="U46" s="60"/>
      <c r="V46" s="60"/>
      <c r="X46" s="81"/>
      <c r="Y46" s="102" t="s">
        <v>138</v>
      </c>
      <c r="Z46" s="83"/>
      <c r="AA46" s="111">
        <v>-2.9677769690970301E-2</v>
      </c>
      <c r="AB46" s="5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/>
      <c r="C47" s="8"/>
      <c r="D47" s="8"/>
      <c r="E47" s="8"/>
      <c r="F47" s="1"/>
      <c r="G47" s="1"/>
      <c r="H47" s="1"/>
      <c r="I47" s="1"/>
      <c r="J47" s="8"/>
      <c r="K47" s="1"/>
      <c r="L47" s="1"/>
      <c r="N47" s="7"/>
      <c r="O47" s="58"/>
      <c r="P47" s="59"/>
      <c r="Q47" s="59"/>
      <c r="R47" s="59"/>
      <c r="S47" s="5"/>
      <c r="T47" s="59"/>
      <c r="U47" s="60"/>
      <c r="V47" s="60"/>
      <c r="X47" s="81"/>
      <c r="Y47" s="102" t="s">
        <v>139</v>
      </c>
      <c r="Z47" s="83"/>
      <c r="AA47" s="111">
        <v>1.5843224375595599</v>
      </c>
      <c r="AB47" s="5"/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9.5" thickBot="1" x14ac:dyDescent="0.35">
      <c r="B48" s="7"/>
      <c r="C48" s="8"/>
      <c r="D48" s="8"/>
      <c r="E48" s="8"/>
      <c r="F48" s="1"/>
      <c r="G48" s="1"/>
      <c r="H48" s="1"/>
      <c r="I48" s="1"/>
      <c r="J48" s="8"/>
      <c r="K48" s="1"/>
      <c r="L48" s="1"/>
      <c r="N48" s="7"/>
      <c r="O48" s="58"/>
      <c r="P48" s="59"/>
      <c r="Q48" s="59"/>
      <c r="R48" s="59"/>
      <c r="S48" s="5"/>
      <c r="T48" s="59"/>
      <c r="U48" s="60"/>
      <c r="V48" s="60"/>
      <c r="X48" s="81"/>
      <c r="Y48" s="102" t="s">
        <v>140</v>
      </c>
      <c r="Z48" s="83"/>
      <c r="AA48" s="111">
        <v>3.9446401201684703E-2</v>
      </c>
      <c r="AB48" s="5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A49" s="7"/>
      <c r="B49" s="8" t="s">
        <v>18</v>
      </c>
      <c r="C49" s="8" t="s">
        <v>18</v>
      </c>
      <c r="D49" s="8" t="s">
        <v>18</v>
      </c>
      <c r="E49" s="1" t="s">
        <v>74</v>
      </c>
      <c r="F49" s="40"/>
      <c r="G49" s="41" t="s">
        <v>75</v>
      </c>
      <c r="H49" s="41" t="s">
        <v>75</v>
      </c>
      <c r="I49" s="42" t="s">
        <v>75</v>
      </c>
      <c r="N49" s="7"/>
      <c r="P49" s="6"/>
      <c r="Q49" s="6"/>
      <c r="R49" s="6"/>
      <c r="S49" s="5"/>
      <c r="T49" s="6"/>
      <c r="U49" s="1"/>
      <c r="V49" s="1"/>
      <c r="X49" s="81"/>
      <c r="Y49" s="103" t="s">
        <v>151</v>
      </c>
      <c r="Z49" s="86"/>
      <c r="AA49" s="109">
        <v>-1.06774667385288</v>
      </c>
      <c r="AB49" s="5"/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A50" s="7"/>
      <c r="B50" s="8" t="s">
        <v>73</v>
      </c>
      <c r="C50" s="8" t="s">
        <v>71</v>
      </c>
      <c r="D50" s="8" t="s">
        <v>72</v>
      </c>
      <c r="E50" s="1" t="s">
        <v>71</v>
      </c>
      <c r="F50" s="43"/>
      <c r="G50" s="8" t="s">
        <v>73</v>
      </c>
      <c r="H50" s="8" t="s">
        <v>71</v>
      </c>
      <c r="I50" s="44" t="s">
        <v>72</v>
      </c>
      <c r="N50" s="7"/>
      <c r="O50" s="1"/>
      <c r="P50" s="6"/>
      <c r="Q50" s="6"/>
      <c r="R50" s="6"/>
      <c r="S50" s="5"/>
      <c r="T50" s="6"/>
      <c r="U50" s="1"/>
      <c r="V50" s="1"/>
      <c r="X50" s="81"/>
      <c r="Y50" s="103" t="s">
        <v>152</v>
      </c>
      <c r="Z50" s="86"/>
      <c r="AA50" s="109">
        <v>-1.5843224375595599</v>
      </c>
      <c r="AB50" s="5"/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8.75" x14ac:dyDescent="0.3">
      <c r="A51" s="7" t="s">
        <v>0</v>
      </c>
      <c r="B51" s="8" t="s">
        <v>105</v>
      </c>
      <c r="C51" s="8" t="s">
        <v>106</v>
      </c>
      <c r="D51" s="8" t="s">
        <v>106</v>
      </c>
      <c r="E51" s="1" t="s">
        <v>106</v>
      </c>
      <c r="F51" s="45" t="str">
        <f>A51</f>
        <v>Time (min)</v>
      </c>
      <c r="G51" s="8" t="str">
        <f>B51</f>
        <v>MW=150, sigma_ve=0.9, sigma_le=0.1, p_ve=1E-9, p_le=1E-8, D_gel=4.5E-11, kf_m=0.48, kr_m=4.2, k_decay=1.7E-6, cA+cMA (mol)</v>
      </c>
      <c r="H51" s="8" t="str">
        <f>C51</f>
        <v>MW=150, sigma_ve=0.9, sigma_le=0.1, p_ve=1E-9, p_le=1E-8, D_gel=4.5E-11, kf_m=0.48, kr_m=4.2, k_decay=1.7E-6, Concentration (mol)</v>
      </c>
      <c r="I51" s="44" t="str">
        <f>D51</f>
        <v>MW=150, sigma_ve=0.9, sigma_le=0.1, p_ve=1E-9, p_le=1E-8, D_gel=4.5E-11, kf_m=0.48, kr_m=4.2, k_decay=1.7E-6, Concentration (mol)</v>
      </c>
      <c r="N51" s="7"/>
      <c r="O51" s="1"/>
      <c r="P51" s="6"/>
      <c r="Q51" s="6"/>
      <c r="R51" s="6"/>
      <c r="S51" s="5"/>
      <c r="T51" s="6"/>
      <c r="U51" s="1"/>
      <c r="V51" s="1"/>
      <c r="X51" s="81"/>
      <c r="Y51" s="103" t="s">
        <v>153</v>
      </c>
      <c r="Z51" s="86"/>
      <c r="AA51" s="109">
        <v>0.92236352054083803</v>
      </c>
      <c r="AB51" s="5"/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8.75" x14ac:dyDescent="0.3">
      <c r="A52" s="7">
        <v>0</v>
      </c>
      <c r="B52" s="8">
        <v>1.2102999999999999E-10</v>
      </c>
      <c r="C52" s="8">
        <v>1.2102000000000001E-10</v>
      </c>
      <c r="D52" s="8">
        <v>6.5851999999999998E-15</v>
      </c>
      <c r="E52" s="1">
        <v>6.0721999999999999E-12</v>
      </c>
      <c r="F52" s="45">
        <f t="shared" ref="F52:F95" si="7">A52</f>
        <v>0</v>
      </c>
      <c r="G52" s="8">
        <f>H52+I52</f>
        <v>1.2709878519999999E-10</v>
      </c>
      <c r="H52" s="1">
        <f t="shared" ref="H52:H95" si="8">C52+E52</f>
        <v>1.270922E-10</v>
      </c>
      <c r="I52" s="46">
        <f t="shared" ref="I52:I95" si="9">D52</f>
        <v>6.5851999999999998E-15</v>
      </c>
      <c r="N52" s="7"/>
      <c r="S52" s="5"/>
      <c r="T52" s="6"/>
      <c r="U52" s="1"/>
      <c r="V52" s="1"/>
      <c r="X52" s="84"/>
      <c r="Y52" s="104" t="s">
        <v>154</v>
      </c>
      <c r="Z52" s="87"/>
      <c r="AA52" s="112">
        <v>-3.9446401201684703E-2</v>
      </c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7">
        <v>2.468</v>
      </c>
      <c r="B53" s="8">
        <v>1.1995999999999999E-10</v>
      </c>
      <c r="C53" s="8">
        <v>1.0765E-10</v>
      </c>
      <c r="D53" s="8">
        <v>1.2303E-11</v>
      </c>
      <c r="E53" s="1">
        <v>6.1433999999999999E-12</v>
      </c>
      <c r="F53" s="45">
        <f t="shared" si="7"/>
        <v>2.468</v>
      </c>
      <c r="G53" s="8">
        <f t="shared" ref="G53:G94" si="10">H53+I53</f>
        <v>1.260964E-10</v>
      </c>
      <c r="H53" s="1">
        <f t="shared" si="8"/>
        <v>1.137934E-10</v>
      </c>
      <c r="I53" s="46">
        <f t="shared" si="9"/>
        <v>1.2303E-11</v>
      </c>
      <c r="N53" s="7"/>
      <c r="S53" s="5"/>
      <c r="T53" s="6"/>
      <c r="U53" s="1"/>
      <c r="V53" s="1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7">
        <v>4.516</v>
      </c>
      <c r="B54" s="8">
        <v>1.1962E-10</v>
      </c>
      <c r="C54" s="8">
        <v>1.0735E-10</v>
      </c>
      <c r="D54" s="8">
        <v>1.2269E-11</v>
      </c>
      <c r="E54" s="1">
        <v>6.1710999999999998E-12</v>
      </c>
      <c r="F54" s="45">
        <f t="shared" si="7"/>
        <v>4.516</v>
      </c>
      <c r="G54" s="8">
        <f t="shared" si="10"/>
        <v>1.2579009999999999E-10</v>
      </c>
      <c r="H54" s="1">
        <f t="shared" si="8"/>
        <v>1.135211E-10</v>
      </c>
      <c r="I54" s="46">
        <f t="shared" si="9"/>
        <v>1.2269E-11</v>
      </c>
      <c r="N54" s="7"/>
      <c r="S54" s="5"/>
      <c r="T54" s="6"/>
      <c r="U54" s="1"/>
      <c r="V54" s="1"/>
      <c r="X54" s="5"/>
      <c r="Y54" s="67" t="s">
        <v>148</v>
      </c>
      <c r="Z54" s="95">
        <v>8973.7743828574494</v>
      </c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7">
        <v>7.5880000000000001</v>
      </c>
      <c r="B55" s="8">
        <v>1.1910000000000001E-10</v>
      </c>
      <c r="C55" s="8">
        <v>1.0689000000000001E-10</v>
      </c>
      <c r="D55" s="8">
        <v>1.2216E-11</v>
      </c>
      <c r="E55" s="1">
        <v>6.3284999999999999E-12</v>
      </c>
      <c r="F55" s="45">
        <f t="shared" si="7"/>
        <v>7.5880000000000001</v>
      </c>
      <c r="G55" s="8">
        <f t="shared" si="10"/>
        <v>1.2543450000000001E-10</v>
      </c>
      <c r="H55" s="1">
        <f t="shared" si="8"/>
        <v>1.1321850000000001E-10</v>
      </c>
      <c r="I55" s="46">
        <f t="shared" si="9"/>
        <v>1.2216E-11</v>
      </c>
      <c r="N55" s="7"/>
      <c r="S55" s="5"/>
      <c r="T55" s="6"/>
      <c r="U55" s="1"/>
      <c r="V55" s="1"/>
      <c r="X55" s="5"/>
      <c r="Y55" s="67" t="s">
        <v>149</v>
      </c>
      <c r="Z55" s="95">
        <v>7565.2208973443403</v>
      </c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8.75" x14ac:dyDescent="0.3">
      <c r="A56" s="7">
        <v>9.6359999999999992</v>
      </c>
      <c r="B56" s="8">
        <v>1.1876000000000001E-10</v>
      </c>
      <c r="C56" s="8">
        <v>1.0658E-10</v>
      </c>
      <c r="D56" s="8">
        <v>1.218E-11</v>
      </c>
      <c r="E56" s="1">
        <v>6.4665000000000004E-12</v>
      </c>
      <c r="F56" s="45">
        <f t="shared" si="7"/>
        <v>9.6359999999999992</v>
      </c>
      <c r="G56" s="8">
        <f t="shared" si="10"/>
        <v>1.2522649999999999E-10</v>
      </c>
      <c r="H56" s="1">
        <f t="shared" si="8"/>
        <v>1.130465E-10</v>
      </c>
      <c r="I56" s="46">
        <f t="shared" si="9"/>
        <v>1.218E-11</v>
      </c>
      <c r="N56" s="7"/>
      <c r="S56" s="5"/>
      <c r="T56" s="6"/>
      <c r="U56" s="1"/>
      <c r="V56" s="1"/>
      <c r="X56" s="5"/>
      <c r="Y56" s="66" t="s">
        <v>150</v>
      </c>
      <c r="Z56" s="96">
        <f>Z55/Z54*100</f>
        <v>84.303667270665272</v>
      </c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7">
        <v>13.731999999999999</v>
      </c>
      <c r="B57" s="8">
        <v>1.1810000000000001E-10</v>
      </c>
      <c r="C57" s="8">
        <v>1.0598000000000001E-10</v>
      </c>
      <c r="D57" s="8">
        <v>1.2113000000000001E-11</v>
      </c>
      <c r="E57" s="1">
        <v>6.7479000000000004E-12</v>
      </c>
      <c r="F57" s="45">
        <f t="shared" si="7"/>
        <v>13.731999999999999</v>
      </c>
      <c r="G57" s="8">
        <f t="shared" si="10"/>
        <v>1.2484090000000001E-10</v>
      </c>
      <c r="H57" s="1">
        <f t="shared" si="8"/>
        <v>1.1272790000000001E-10</v>
      </c>
      <c r="I57" s="46">
        <f t="shared" si="9"/>
        <v>1.2113000000000001E-11</v>
      </c>
      <c r="N57" s="7"/>
      <c r="S57" s="5"/>
      <c r="T57" s="6"/>
      <c r="U57" s="1"/>
      <c r="V57" s="1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7">
        <v>17.417999999999999</v>
      </c>
      <c r="B58" s="8">
        <v>1.1753999999999999E-10</v>
      </c>
      <c r="C58" s="8">
        <v>1.0549E-10</v>
      </c>
      <c r="D58" s="8">
        <v>1.2056E-11</v>
      </c>
      <c r="E58" s="1">
        <v>6.9845999999999999E-12</v>
      </c>
      <c r="F58" s="45">
        <f t="shared" si="7"/>
        <v>17.417999999999999</v>
      </c>
      <c r="G58" s="8">
        <f t="shared" si="10"/>
        <v>1.2453060000000002E-10</v>
      </c>
      <c r="H58" s="1">
        <f t="shared" si="8"/>
        <v>1.1247460000000001E-10</v>
      </c>
      <c r="I58" s="46">
        <f t="shared" si="9"/>
        <v>1.2056E-11</v>
      </c>
      <c r="N58" s="7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7">
        <v>21.105</v>
      </c>
      <c r="B59" s="8">
        <v>1.1703000000000001E-10</v>
      </c>
      <c r="C59" s="8">
        <v>1.0503E-10</v>
      </c>
      <c r="D59" s="8">
        <v>1.2003E-11</v>
      </c>
      <c r="E59" s="1">
        <v>7.1905000000000001E-12</v>
      </c>
      <c r="F59" s="45">
        <f t="shared" si="7"/>
        <v>21.105</v>
      </c>
      <c r="G59" s="8">
        <f t="shared" si="10"/>
        <v>1.2422349999999999E-10</v>
      </c>
      <c r="H59" s="1">
        <f t="shared" si="8"/>
        <v>1.1222049999999999E-10</v>
      </c>
      <c r="I59" s="46">
        <f t="shared" si="9"/>
        <v>1.2003E-11</v>
      </c>
      <c r="N59" s="7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>
        <v>24.791</v>
      </c>
      <c r="B60" s="8">
        <v>1.1656000000000001E-10</v>
      </c>
      <c r="C60" s="8">
        <v>1.0460000000000001E-10</v>
      </c>
      <c r="D60" s="8">
        <v>1.1955000000000001E-11</v>
      </c>
      <c r="E60" s="1">
        <v>7.3655999999999992E-12</v>
      </c>
      <c r="F60" s="45">
        <f t="shared" si="7"/>
        <v>24.791</v>
      </c>
      <c r="G60" s="8">
        <f t="shared" si="10"/>
        <v>1.2392060000000001E-10</v>
      </c>
      <c r="H60" s="1">
        <f t="shared" si="8"/>
        <v>1.1196560000000001E-10</v>
      </c>
      <c r="I60" s="46">
        <f t="shared" si="9"/>
        <v>1.1955000000000001E-11</v>
      </c>
      <c r="N60" s="7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>
        <v>32.164000000000001</v>
      </c>
      <c r="B61" s="8">
        <v>1.1569E-10</v>
      </c>
      <c r="C61" s="8">
        <v>1.0382E-10</v>
      </c>
      <c r="D61" s="8">
        <v>1.1864999999999999E-11</v>
      </c>
      <c r="E61" s="1">
        <v>7.6442999999999996E-12</v>
      </c>
      <c r="F61" s="45">
        <f t="shared" si="7"/>
        <v>32.164000000000001</v>
      </c>
      <c r="G61" s="8">
        <f t="shared" si="10"/>
        <v>1.2332929999999999E-10</v>
      </c>
      <c r="H61" s="1">
        <f t="shared" si="8"/>
        <v>1.114643E-10</v>
      </c>
      <c r="I61" s="46">
        <f t="shared" si="9"/>
        <v>1.1864999999999999E-11</v>
      </c>
      <c r="N61" s="7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>
        <v>39.536999999999999</v>
      </c>
      <c r="B62" s="8">
        <v>1.149E-10</v>
      </c>
      <c r="C62" s="8">
        <v>1.0312E-10</v>
      </c>
      <c r="D62" s="8">
        <v>1.1785E-11</v>
      </c>
      <c r="E62" s="1">
        <v>7.8457999999999995E-12</v>
      </c>
      <c r="F62" s="45">
        <f t="shared" si="7"/>
        <v>39.536999999999999</v>
      </c>
      <c r="G62" s="8">
        <f t="shared" si="10"/>
        <v>1.2275079999999999E-10</v>
      </c>
      <c r="H62" s="1">
        <f t="shared" si="8"/>
        <v>1.109658E-10</v>
      </c>
      <c r="I62" s="46">
        <f t="shared" si="9"/>
        <v>1.1785E-11</v>
      </c>
      <c r="N62" s="7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46.91</v>
      </c>
      <c r="B63" s="8">
        <v>1.1418E-10</v>
      </c>
      <c r="C63" s="8">
        <v>1.0247E-10</v>
      </c>
      <c r="D63" s="8">
        <v>1.1711E-11</v>
      </c>
      <c r="E63" s="1">
        <v>7.9891999999999999E-12</v>
      </c>
      <c r="F63" s="45">
        <f t="shared" si="7"/>
        <v>46.91</v>
      </c>
      <c r="G63" s="8">
        <f t="shared" si="10"/>
        <v>1.2217020000000002E-10</v>
      </c>
      <c r="H63" s="1">
        <f t="shared" si="8"/>
        <v>1.104592E-10</v>
      </c>
      <c r="I63" s="46">
        <f t="shared" si="9"/>
        <v>1.1711E-11</v>
      </c>
      <c r="N63" s="7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54.281999999999996</v>
      </c>
      <c r="B64" s="8">
        <v>1.1351E-10</v>
      </c>
      <c r="C64" s="8">
        <v>1.0187000000000001E-10</v>
      </c>
      <c r="D64" s="8">
        <v>1.1642000000000001E-11</v>
      </c>
      <c r="E64" s="1">
        <v>8.0888E-12</v>
      </c>
      <c r="F64" s="45">
        <f t="shared" si="7"/>
        <v>54.281999999999996</v>
      </c>
      <c r="G64" s="8">
        <f t="shared" si="10"/>
        <v>1.216008E-10</v>
      </c>
      <c r="H64" s="1">
        <f t="shared" si="8"/>
        <v>1.0995880000000001E-10</v>
      </c>
      <c r="I64" s="46">
        <f t="shared" si="9"/>
        <v>1.1642000000000001E-11</v>
      </c>
      <c r="N64" s="7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69.028000000000006</v>
      </c>
      <c r="B65" s="8">
        <v>1.1225E-10</v>
      </c>
      <c r="C65" s="8">
        <v>1.0074000000000001E-10</v>
      </c>
      <c r="D65" s="8">
        <v>1.1513000000000001E-11</v>
      </c>
      <c r="E65" s="1">
        <v>8.2046000000000008E-12</v>
      </c>
      <c r="F65" s="45">
        <f t="shared" si="7"/>
        <v>69.028000000000006</v>
      </c>
      <c r="G65" s="8">
        <f t="shared" si="10"/>
        <v>1.204576E-10</v>
      </c>
      <c r="H65" s="1">
        <f t="shared" si="8"/>
        <v>1.0894460000000001E-10</v>
      </c>
      <c r="I65" s="46">
        <f t="shared" si="9"/>
        <v>1.1513000000000001E-11</v>
      </c>
      <c r="N65" s="7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83.774000000000001</v>
      </c>
      <c r="B66" s="8">
        <v>1.1108000000000001E-10</v>
      </c>
      <c r="C66" s="8">
        <v>9.9683999999999994E-11</v>
      </c>
      <c r="D66" s="8">
        <v>1.1392E-11</v>
      </c>
      <c r="E66" s="1">
        <v>8.2389000000000004E-12</v>
      </c>
      <c r="F66" s="45">
        <f t="shared" si="7"/>
        <v>83.774000000000001</v>
      </c>
      <c r="G66" s="8">
        <f t="shared" si="10"/>
        <v>1.1931489999999998E-10</v>
      </c>
      <c r="H66" s="1">
        <f t="shared" si="8"/>
        <v>1.0792289999999999E-10</v>
      </c>
      <c r="I66" s="46">
        <f t="shared" si="9"/>
        <v>1.1392E-11</v>
      </c>
      <c r="N66" s="7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98.519000000000005</v>
      </c>
      <c r="B67" s="8">
        <v>1.0996E-10</v>
      </c>
      <c r="C67" s="8">
        <v>9.8680999999999998E-11</v>
      </c>
      <c r="D67" s="8">
        <v>1.1277999999999999E-11</v>
      </c>
      <c r="E67" s="1">
        <v>8.2242999999999992E-12</v>
      </c>
      <c r="F67" s="45">
        <f t="shared" si="7"/>
        <v>98.519000000000005</v>
      </c>
      <c r="G67" s="8">
        <f t="shared" si="10"/>
        <v>1.1818329999999999E-10</v>
      </c>
      <c r="H67" s="1">
        <f t="shared" si="8"/>
        <v>1.069053E-10</v>
      </c>
      <c r="I67" s="46">
        <f t="shared" si="9"/>
        <v>1.1277999999999999E-11</v>
      </c>
      <c r="N67" s="7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113.26</v>
      </c>
      <c r="B68" s="8">
        <v>1.0888E-10</v>
      </c>
      <c r="C68" s="8">
        <v>9.7708E-11</v>
      </c>
      <c r="D68" s="8">
        <v>1.1167E-11</v>
      </c>
      <c r="E68" s="1">
        <v>8.1816000000000006E-12</v>
      </c>
      <c r="F68" s="45">
        <f t="shared" si="7"/>
        <v>113.26</v>
      </c>
      <c r="G68" s="8">
        <f t="shared" si="10"/>
        <v>1.1705660000000001E-10</v>
      </c>
      <c r="H68" s="1">
        <f t="shared" si="8"/>
        <v>1.058896E-10</v>
      </c>
      <c r="I68" s="46">
        <f t="shared" si="9"/>
        <v>1.1167E-11</v>
      </c>
      <c r="N68" s="7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128.01</v>
      </c>
      <c r="B69" s="8">
        <v>1.0781E-10</v>
      </c>
      <c r="C69" s="8">
        <v>9.6756999999999997E-11</v>
      </c>
      <c r="D69" s="8">
        <v>1.1058000000000001E-11</v>
      </c>
      <c r="E69" s="1">
        <v>8.1233000000000003E-12</v>
      </c>
      <c r="F69" s="45">
        <f t="shared" si="7"/>
        <v>128.01</v>
      </c>
      <c r="G69" s="8">
        <f t="shared" si="10"/>
        <v>1.1593829999999999E-10</v>
      </c>
      <c r="H69" s="1">
        <f t="shared" si="8"/>
        <v>1.048803E-10</v>
      </c>
      <c r="I69" s="46">
        <f t="shared" si="9"/>
        <v>1.1058000000000001E-11</v>
      </c>
      <c r="N69" s="7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142.76</v>
      </c>
      <c r="B70" s="8">
        <v>1.0677E-10</v>
      </c>
      <c r="C70" s="8">
        <v>9.5819999999999998E-11</v>
      </c>
      <c r="D70" s="8">
        <v>1.0951E-11</v>
      </c>
      <c r="E70" s="1">
        <v>8.0565999999999994E-12</v>
      </c>
      <c r="F70" s="45">
        <f t="shared" si="7"/>
        <v>142.76</v>
      </c>
      <c r="G70" s="8">
        <f t="shared" si="10"/>
        <v>1.1482759999999999E-10</v>
      </c>
      <c r="H70" s="1">
        <f t="shared" si="8"/>
        <v>1.038766E-10</v>
      </c>
      <c r="I70" s="46">
        <f t="shared" si="9"/>
        <v>1.0951E-11</v>
      </c>
      <c r="N70" s="7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172.25</v>
      </c>
      <c r="B71" s="8">
        <v>1.0472E-10</v>
      </c>
      <c r="C71" s="8">
        <v>9.3978999999999999E-11</v>
      </c>
      <c r="D71" s="8">
        <v>1.074E-11</v>
      </c>
      <c r="E71" s="1">
        <v>7.9144999999999999E-12</v>
      </c>
      <c r="F71" s="45">
        <f t="shared" si="7"/>
        <v>172.25</v>
      </c>
      <c r="G71" s="8">
        <f t="shared" si="10"/>
        <v>1.1263350000000001E-10</v>
      </c>
      <c r="H71" s="1">
        <f t="shared" si="8"/>
        <v>1.018935E-10</v>
      </c>
      <c r="I71" s="46">
        <f t="shared" si="9"/>
        <v>1.074E-11</v>
      </c>
      <c r="N71" s="7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201.74</v>
      </c>
      <c r="B72" s="8">
        <v>1.0273E-10</v>
      </c>
      <c r="C72" s="8">
        <v>9.2194999999999998E-11</v>
      </c>
      <c r="D72" s="8">
        <v>1.0537E-11</v>
      </c>
      <c r="E72" s="1">
        <v>7.7658999999999995E-12</v>
      </c>
      <c r="F72" s="45">
        <f t="shared" si="7"/>
        <v>201.74</v>
      </c>
      <c r="G72" s="8">
        <f t="shared" si="10"/>
        <v>1.104979E-10</v>
      </c>
      <c r="H72" s="1">
        <f t="shared" si="8"/>
        <v>9.9960899999999999E-11</v>
      </c>
      <c r="I72" s="46">
        <f t="shared" si="9"/>
        <v>1.0537E-11</v>
      </c>
      <c r="N72" s="7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260.72000000000003</v>
      </c>
      <c r="B73" s="8">
        <v>9.8906000000000002E-11</v>
      </c>
      <c r="C73" s="8">
        <v>8.8762000000000003E-11</v>
      </c>
      <c r="D73" s="8">
        <v>1.0144E-11</v>
      </c>
      <c r="E73" s="1">
        <v>7.4776999999999999E-12</v>
      </c>
      <c r="F73" s="45">
        <f t="shared" si="7"/>
        <v>260.72000000000003</v>
      </c>
      <c r="G73" s="8">
        <f t="shared" si="10"/>
        <v>1.063837E-10</v>
      </c>
      <c r="H73" s="1">
        <f t="shared" si="8"/>
        <v>9.6239700000000003E-11</v>
      </c>
      <c r="I73" s="46">
        <f t="shared" si="9"/>
        <v>1.0144E-11</v>
      </c>
      <c r="N73" s="7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378.69</v>
      </c>
      <c r="B74" s="8">
        <v>9.1802E-11</v>
      </c>
      <c r="C74" s="8">
        <v>8.2386999999999999E-11</v>
      </c>
      <c r="D74" s="8">
        <v>9.4155999999999996E-12</v>
      </c>
      <c r="E74" s="1">
        <v>6.9409999999999996E-12</v>
      </c>
      <c r="F74" s="45">
        <f t="shared" si="7"/>
        <v>378.69</v>
      </c>
      <c r="G74" s="8">
        <f t="shared" si="10"/>
        <v>9.8743599999999997E-11</v>
      </c>
      <c r="H74" s="1">
        <f t="shared" si="8"/>
        <v>8.9327999999999999E-11</v>
      </c>
      <c r="I74" s="46">
        <f t="shared" si="9"/>
        <v>9.4155999999999996E-12</v>
      </c>
      <c r="N74" s="7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496.65</v>
      </c>
      <c r="B75" s="8">
        <v>8.5209E-11</v>
      </c>
      <c r="C75" s="8">
        <v>7.6469E-11</v>
      </c>
      <c r="D75" s="8">
        <v>8.7393999999999997E-12</v>
      </c>
      <c r="E75" s="1">
        <v>6.4426E-12</v>
      </c>
      <c r="F75" s="45">
        <f t="shared" si="7"/>
        <v>496.65</v>
      </c>
      <c r="G75" s="8">
        <f t="shared" si="10"/>
        <v>9.1650999999999997E-11</v>
      </c>
      <c r="H75" s="1">
        <f t="shared" si="8"/>
        <v>8.2911599999999994E-11</v>
      </c>
      <c r="I75" s="46">
        <f t="shared" si="9"/>
        <v>8.7393999999999997E-12</v>
      </c>
      <c r="N75" s="7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614.62</v>
      </c>
      <c r="B76" s="8">
        <v>7.9088000000000004E-11</v>
      </c>
      <c r="C76" s="8">
        <v>7.0976999999999997E-11</v>
      </c>
      <c r="D76" s="8">
        <v>8.1115999999999995E-12</v>
      </c>
      <c r="E76" s="1">
        <v>5.9799000000000004E-12</v>
      </c>
      <c r="F76" s="45">
        <f t="shared" si="7"/>
        <v>614.62</v>
      </c>
      <c r="G76" s="8">
        <f t="shared" si="10"/>
        <v>8.5068499999999997E-11</v>
      </c>
      <c r="H76" s="1">
        <f t="shared" si="8"/>
        <v>7.6956899999999993E-11</v>
      </c>
      <c r="I76" s="46">
        <f t="shared" si="9"/>
        <v>8.1115999999999995E-12</v>
      </c>
      <c r="N76" s="7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850.54</v>
      </c>
      <c r="B77" s="8">
        <v>6.7859000000000003E-11</v>
      </c>
      <c r="C77" s="8">
        <v>6.0898999999999996E-11</v>
      </c>
      <c r="D77" s="8">
        <v>6.9600000000000002E-12</v>
      </c>
      <c r="E77" s="1">
        <v>5.1307999999999999E-12</v>
      </c>
      <c r="F77" s="45">
        <f t="shared" si="7"/>
        <v>850.54</v>
      </c>
      <c r="G77" s="8">
        <f t="shared" si="10"/>
        <v>7.2989799999999986E-11</v>
      </c>
      <c r="H77" s="1">
        <f t="shared" si="8"/>
        <v>6.6029799999999992E-11</v>
      </c>
      <c r="I77" s="46">
        <f t="shared" si="9"/>
        <v>6.9600000000000002E-12</v>
      </c>
      <c r="N77" s="7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1086.5</v>
      </c>
      <c r="B78" s="8">
        <v>5.8123000000000002E-11</v>
      </c>
      <c r="C78" s="8">
        <v>5.2162000000000002E-11</v>
      </c>
      <c r="D78" s="8">
        <v>5.9612999999999997E-12</v>
      </c>
      <c r="E78" s="1">
        <v>4.3945999999999999E-12</v>
      </c>
      <c r="F78" s="45">
        <f t="shared" si="7"/>
        <v>1086.5</v>
      </c>
      <c r="G78" s="8">
        <f t="shared" si="10"/>
        <v>6.2517899999999997E-11</v>
      </c>
      <c r="H78" s="1">
        <f t="shared" si="8"/>
        <v>5.6556599999999998E-11</v>
      </c>
      <c r="I78" s="46">
        <f t="shared" si="9"/>
        <v>5.9612999999999997E-12</v>
      </c>
      <c r="N78" s="7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1322.4</v>
      </c>
      <c r="B79" s="8">
        <v>4.9750000000000003E-11</v>
      </c>
      <c r="C79" s="8">
        <v>4.4647999999999998E-11</v>
      </c>
      <c r="D79" s="8">
        <v>5.1025999999999997E-12</v>
      </c>
      <c r="E79" s="1">
        <v>3.7615999999999996E-12</v>
      </c>
      <c r="F79" s="45">
        <f t="shared" si="7"/>
        <v>1322.4</v>
      </c>
      <c r="G79" s="8">
        <f t="shared" si="10"/>
        <v>5.3512200000000001E-11</v>
      </c>
      <c r="H79" s="1">
        <f t="shared" si="8"/>
        <v>4.8409599999999999E-11</v>
      </c>
      <c r="I79" s="46">
        <f t="shared" si="9"/>
        <v>5.1025999999999997E-12</v>
      </c>
      <c r="N79" s="7"/>
      <c r="O79" s="1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1558.3</v>
      </c>
      <c r="B80" s="8">
        <v>4.2571999999999999E-11</v>
      </c>
      <c r="C80" s="8">
        <v>3.8206000000000001E-11</v>
      </c>
      <c r="D80" s="8">
        <v>4.3663999999999997E-12</v>
      </c>
      <c r="E80" s="1">
        <v>3.2188999999999999E-12</v>
      </c>
      <c r="F80" s="45">
        <f t="shared" si="7"/>
        <v>1558.3</v>
      </c>
      <c r="G80" s="8">
        <f t="shared" si="10"/>
        <v>4.5791300000000005E-11</v>
      </c>
      <c r="H80" s="1">
        <f t="shared" si="8"/>
        <v>4.1424900000000002E-11</v>
      </c>
      <c r="I80" s="46">
        <f t="shared" si="9"/>
        <v>4.3663999999999997E-12</v>
      </c>
      <c r="N80" s="7"/>
      <c r="O80" s="1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1794.3</v>
      </c>
      <c r="B81" s="8">
        <v>3.6426000000000002E-11</v>
      </c>
      <c r="C81" s="8">
        <v>3.2689999999999999E-11</v>
      </c>
      <c r="D81" s="8">
        <v>3.7360000000000002E-12</v>
      </c>
      <c r="E81" s="1">
        <v>2.7542000000000001E-12</v>
      </c>
      <c r="F81" s="45">
        <f t="shared" si="7"/>
        <v>1794.3</v>
      </c>
      <c r="G81" s="8">
        <f t="shared" si="10"/>
        <v>3.91802E-11</v>
      </c>
      <c r="H81" s="1">
        <f t="shared" si="8"/>
        <v>3.5444199999999997E-11</v>
      </c>
      <c r="I81" s="46">
        <f t="shared" si="9"/>
        <v>3.7360000000000002E-12</v>
      </c>
      <c r="N81" s="7"/>
      <c r="O81" s="1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2030.2</v>
      </c>
      <c r="B82" s="8">
        <v>3.1165999999999999E-11</v>
      </c>
      <c r="C82" s="8">
        <v>2.7970000000000001E-11</v>
      </c>
      <c r="D82" s="8">
        <v>3.1965E-12</v>
      </c>
      <c r="E82" s="1">
        <v>2.3564999999999999E-12</v>
      </c>
      <c r="F82" s="45">
        <f t="shared" si="7"/>
        <v>2030.2</v>
      </c>
      <c r="G82" s="8">
        <f t="shared" si="10"/>
        <v>3.3523000000000004E-11</v>
      </c>
      <c r="H82" s="1">
        <f t="shared" si="8"/>
        <v>3.0326500000000002E-11</v>
      </c>
      <c r="I82" s="46">
        <f t="shared" si="9"/>
        <v>3.1965E-12</v>
      </c>
      <c r="N82" s="7"/>
      <c r="O82" s="1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2266.1</v>
      </c>
      <c r="B83" s="8">
        <v>2.6664999999999999E-11</v>
      </c>
      <c r="C83" s="8">
        <v>2.3929999999999998E-11</v>
      </c>
      <c r="D83" s="8">
        <v>2.7349E-12</v>
      </c>
      <c r="E83" s="1">
        <v>2.0161999999999998E-12</v>
      </c>
      <c r="F83" s="45">
        <f t="shared" si="7"/>
        <v>2266.1</v>
      </c>
      <c r="G83" s="8">
        <f t="shared" si="10"/>
        <v>2.86811E-11</v>
      </c>
      <c r="H83" s="1">
        <f t="shared" si="8"/>
        <v>2.5946199999999999E-11</v>
      </c>
      <c r="I83" s="46">
        <f t="shared" si="9"/>
        <v>2.7349E-12</v>
      </c>
      <c r="N83" s="7"/>
      <c r="O83" s="1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2502.1</v>
      </c>
      <c r="B84" s="8">
        <v>2.2813999999999999E-11</v>
      </c>
      <c r="C84" s="8">
        <v>2.0474E-11</v>
      </c>
      <c r="D84" s="8">
        <v>2.3399000000000002E-12</v>
      </c>
      <c r="E84" s="1">
        <v>1.725E-12</v>
      </c>
      <c r="F84" s="45">
        <f t="shared" si="7"/>
        <v>2502.1</v>
      </c>
      <c r="G84" s="8">
        <f t="shared" si="10"/>
        <v>2.4538899999999998E-11</v>
      </c>
      <c r="H84" s="1">
        <f t="shared" si="8"/>
        <v>2.2198999999999999E-11</v>
      </c>
      <c r="I84" s="46">
        <f t="shared" si="9"/>
        <v>2.3399000000000002E-12</v>
      </c>
      <c r="N84" s="7"/>
      <c r="O84" s="1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2738</v>
      </c>
      <c r="B85" s="8">
        <v>1.9520000000000001E-11</v>
      </c>
      <c r="C85" s="8">
        <v>1.7517000000000001E-11</v>
      </c>
      <c r="D85" s="8">
        <v>2.0020000000000002E-12</v>
      </c>
      <c r="E85" s="1">
        <v>1.4759E-12</v>
      </c>
      <c r="F85" s="45">
        <f t="shared" si="7"/>
        <v>2738</v>
      </c>
      <c r="G85" s="8">
        <f t="shared" si="10"/>
        <v>2.0994900000000001E-11</v>
      </c>
      <c r="H85" s="1">
        <f t="shared" si="8"/>
        <v>1.8992900000000001E-11</v>
      </c>
      <c r="I85" s="46">
        <f t="shared" si="9"/>
        <v>2.0020000000000002E-12</v>
      </c>
      <c r="N85" s="7"/>
      <c r="O85" s="1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2973.9</v>
      </c>
      <c r="B86" s="8">
        <v>1.6700000000000001E-11</v>
      </c>
      <c r="C86" s="8">
        <v>1.4988E-11</v>
      </c>
      <c r="D86" s="8">
        <v>1.7128999999999999E-12</v>
      </c>
      <c r="E86" s="1">
        <v>1.2627000000000001E-12</v>
      </c>
      <c r="F86" s="45">
        <f t="shared" si="7"/>
        <v>2973.9</v>
      </c>
      <c r="G86" s="8">
        <f t="shared" si="10"/>
        <v>1.7963599999999999E-11</v>
      </c>
      <c r="H86" s="1">
        <f t="shared" si="8"/>
        <v>1.6250699999999999E-11</v>
      </c>
      <c r="I86" s="46">
        <f t="shared" si="9"/>
        <v>1.7128999999999999E-12</v>
      </c>
      <c r="N86" s="7"/>
      <c r="O86" s="1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3209.8</v>
      </c>
      <c r="B87" s="8">
        <v>1.4288999999999999E-11</v>
      </c>
      <c r="C87" s="8">
        <v>1.2823000000000001E-11</v>
      </c>
      <c r="D87" s="8">
        <v>1.4655E-12</v>
      </c>
      <c r="E87" s="1">
        <v>1.0803E-12</v>
      </c>
      <c r="F87" s="45">
        <f t="shared" si="7"/>
        <v>3209.8</v>
      </c>
      <c r="G87" s="8">
        <f t="shared" si="10"/>
        <v>1.53688E-11</v>
      </c>
      <c r="H87" s="1">
        <f t="shared" si="8"/>
        <v>1.39033E-11</v>
      </c>
      <c r="I87" s="46">
        <f t="shared" si="9"/>
        <v>1.4655E-12</v>
      </c>
      <c r="N87" s="7"/>
      <c r="O87" s="1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3445.8</v>
      </c>
      <c r="B88" s="8">
        <v>1.2225E-11</v>
      </c>
      <c r="C88" s="8">
        <v>1.0970999999999999E-11</v>
      </c>
      <c r="D88" s="8">
        <v>1.2538E-12</v>
      </c>
      <c r="E88" s="1">
        <v>9.2432000000000004E-13</v>
      </c>
      <c r="F88" s="45">
        <f t="shared" si="7"/>
        <v>3445.8</v>
      </c>
      <c r="G88" s="8">
        <f t="shared" si="10"/>
        <v>1.3149119999999999E-11</v>
      </c>
      <c r="H88" s="1">
        <f t="shared" si="8"/>
        <v>1.1895319999999999E-11</v>
      </c>
      <c r="I88" s="46">
        <f t="shared" si="9"/>
        <v>1.2538E-12</v>
      </c>
      <c r="N88" s="7"/>
      <c r="O88" s="1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3681.7</v>
      </c>
      <c r="B89" s="8">
        <v>1.0459E-11</v>
      </c>
      <c r="C89" s="8">
        <v>9.3865999999999996E-12</v>
      </c>
      <c r="D89" s="8">
        <v>1.0728E-12</v>
      </c>
      <c r="E89" s="1">
        <v>7.9082999999999997E-13</v>
      </c>
      <c r="F89" s="45">
        <f t="shared" si="7"/>
        <v>3681.7</v>
      </c>
      <c r="G89" s="8">
        <f t="shared" si="10"/>
        <v>1.125023E-11</v>
      </c>
      <c r="H89" s="1">
        <f t="shared" si="8"/>
        <v>1.017743E-11</v>
      </c>
      <c r="I89" s="46">
        <f t="shared" si="9"/>
        <v>1.0728E-12</v>
      </c>
      <c r="N89" s="7"/>
      <c r="O89" s="1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3917.6</v>
      </c>
      <c r="B90" s="8">
        <v>8.9488000000000008E-12</v>
      </c>
      <c r="C90" s="8">
        <v>8.0309999999999992E-12</v>
      </c>
      <c r="D90" s="8">
        <v>9.1782999999999994E-13</v>
      </c>
      <c r="E90" s="1">
        <v>6.7660999999999998E-13</v>
      </c>
      <c r="F90" s="45">
        <f t="shared" si="7"/>
        <v>3917.6</v>
      </c>
      <c r="G90" s="8">
        <f t="shared" si="10"/>
        <v>9.6254399999999994E-12</v>
      </c>
      <c r="H90" s="1">
        <f t="shared" si="8"/>
        <v>8.7076099999999999E-12</v>
      </c>
      <c r="I90" s="46">
        <f t="shared" si="9"/>
        <v>9.1782999999999994E-13</v>
      </c>
      <c r="N90" s="7"/>
      <c r="O90" s="1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4153.6000000000004</v>
      </c>
      <c r="B91" s="8">
        <v>7.6564000000000004E-12</v>
      </c>
      <c r="C91" s="8">
        <v>6.8710999999999997E-12</v>
      </c>
      <c r="D91" s="8">
        <v>7.8527000000000005E-13</v>
      </c>
      <c r="E91" s="1">
        <v>5.7889999999999999E-13</v>
      </c>
      <c r="F91" s="45">
        <f t="shared" si="7"/>
        <v>4153.6000000000004</v>
      </c>
      <c r="G91" s="8">
        <f t="shared" si="10"/>
        <v>8.2352699999999987E-12</v>
      </c>
      <c r="H91" s="1">
        <f t="shared" si="8"/>
        <v>7.4499999999999992E-12</v>
      </c>
      <c r="I91" s="46">
        <f t="shared" si="9"/>
        <v>7.8527000000000005E-13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4320</v>
      </c>
      <c r="B92" s="8">
        <v>6.8569E-12</v>
      </c>
      <c r="C92" s="8">
        <v>6.1536E-12</v>
      </c>
      <c r="D92" s="8">
        <v>7.0326999999999999E-13</v>
      </c>
      <c r="E92" s="1">
        <v>5.1844999999999998E-13</v>
      </c>
      <c r="F92" s="45">
        <f t="shared" si="7"/>
        <v>4320</v>
      </c>
      <c r="G92" s="8">
        <f t="shared" si="10"/>
        <v>7.3753199999999993E-12</v>
      </c>
      <c r="H92" s="1">
        <f t="shared" si="8"/>
        <v>6.6720499999999996E-12</v>
      </c>
      <c r="I92" s="46">
        <f t="shared" si="9"/>
        <v>7.0326999999999999E-13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4105.6000000000004</v>
      </c>
      <c r="B93" s="8">
        <v>3.4873999999999999E-12</v>
      </c>
      <c r="C93" s="8">
        <v>3.1296999999999999E-12</v>
      </c>
      <c r="D93" s="8">
        <v>3.5768E-13</v>
      </c>
      <c r="E93" s="1">
        <v>2.6461000000000002E-13</v>
      </c>
      <c r="F93" s="45">
        <f t="shared" si="7"/>
        <v>4105.6000000000004</v>
      </c>
      <c r="G93" s="8">
        <f t="shared" si="10"/>
        <v>3.7519900000000001E-12</v>
      </c>
      <c r="H93" s="1">
        <f t="shared" si="8"/>
        <v>3.3943099999999999E-12</v>
      </c>
      <c r="I93" s="46">
        <f t="shared" si="9"/>
        <v>3.5768E-13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7.25" thickBot="1" x14ac:dyDescent="0.35">
      <c r="A94" s="7">
        <v>4318</v>
      </c>
      <c r="B94" s="8">
        <v>2.9026000000000002E-12</v>
      </c>
      <c r="C94" s="8">
        <v>2.6048999999999999E-12</v>
      </c>
      <c r="D94" s="8">
        <v>2.9771E-13</v>
      </c>
      <c r="E94" s="1">
        <v>2.2025E-13</v>
      </c>
      <c r="F94" s="47">
        <f t="shared" si="7"/>
        <v>4318</v>
      </c>
      <c r="G94" s="48">
        <f t="shared" si="10"/>
        <v>3.1228599999999999E-12</v>
      </c>
      <c r="H94" s="49">
        <f t="shared" si="8"/>
        <v>2.8251499999999999E-12</v>
      </c>
      <c r="I94" s="50">
        <f t="shared" si="9"/>
        <v>2.9771E-13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7.25" thickBot="1" x14ac:dyDescent="0.35">
      <c r="A95">
        <v>4320</v>
      </c>
      <c r="B95" s="8">
        <v>2.8975000000000001E-12</v>
      </c>
      <c r="C95" s="8">
        <v>2.6003000000000001E-12</v>
      </c>
      <c r="D95" s="8">
        <v>2.9718E-13</v>
      </c>
      <c r="E95" s="8">
        <v>2.1986000000000001E-13</v>
      </c>
      <c r="F95" s="47">
        <f t="shared" si="7"/>
        <v>4320</v>
      </c>
      <c r="G95" s="48">
        <f t="shared" ref="G95" si="11">H95+I95</f>
        <v>3.1173400000000001E-12</v>
      </c>
      <c r="H95" s="49">
        <f t="shared" si="8"/>
        <v>2.82016E-12</v>
      </c>
      <c r="I95" s="50">
        <f t="shared" si="9"/>
        <v>2.9718E-13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B96" s="7"/>
      <c r="C96" s="8"/>
      <c r="D96" s="8"/>
      <c r="E96" s="8"/>
      <c r="F96" s="1"/>
      <c r="G96" s="1"/>
      <c r="H96" s="1"/>
      <c r="I96" s="1"/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 x14ac:dyDescent="0.3">
      <c r="B97" s="7"/>
      <c r="C97" s="8"/>
      <c r="D97" s="8"/>
      <c r="E97" s="8"/>
      <c r="F97" s="1"/>
      <c r="G97" s="1"/>
      <c r="H97" s="1"/>
      <c r="I97" s="1"/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 x14ac:dyDescent="0.3">
      <c r="B98" s="7"/>
      <c r="C98" s="8"/>
      <c r="D98" s="8"/>
      <c r="E98" s="8"/>
      <c r="F98" s="1"/>
      <c r="G98" s="1"/>
      <c r="H98" s="1"/>
      <c r="I98" s="1"/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 x14ac:dyDescent="0.3">
      <c r="B99" s="7"/>
      <c r="C99" s="8"/>
      <c r="D99" s="8"/>
      <c r="E99" s="8"/>
      <c r="F99" s="1"/>
      <c r="G99" s="1"/>
      <c r="H99" s="1"/>
      <c r="I99" s="1"/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 x14ac:dyDescent="0.3">
      <c r="B100" s="7"/>
      <c r="C100" s="8"/>
      <c r="D100" s="8"/>
      <c r="E100" s="8"/>
      <c r="F100" s="1"/>
      <c r="G100" s="1"/>
      <c r="H100" s="1"/>
      <c r="I100" s="1"/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 x14ac:dyDescent="0.3">
      <c r="B101" s="7"/>
      <c r="C101" s="8"/>
      <c r="D101" s="8"/>
      <c r="E101" s="8"/>
      <c r="F101" s="1"/>
      <c r="G101" s="1"/>
      <c r="H101" s="1"/>
      <c r="I101" s="1"/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 x14ac:dyDescent="0.3">
      <c r="B102" s="7"/>
      <c r="C102" s="8"/>
      <c r="D102" s="8"/>
      <c r="E102" s="8"/>
      <c r="F102" s="1"/>
      <c r="G102" s="1"/>
      <c r="H102" s="1"/>
      <c r="I102" s="1"/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 x14ac:dyDescent="0.3">
      <c r="B103" s="7"/>
      <c r="C103" s="8"/>
      <c r="D103" s="8"/>
      <c r="E103" s="8"/>
      <c r="F103" s="1"/>
      <c r="G103" s="1"/>
      <c r="H103" s="1"/>
      <c r="I103" s="1"/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 x14ac:dyDescent="0.3">
      <c r="B104" s="7"/>
      <c r="C104" s="8"/>
      <c r="D104" s="8"/>
      <c r="E104" s="8"/>
      <c r="F104" s="1"/>
      <c r="G104" s="1"/>
      <c r="H104" s="1"/>
      <c r="I104" s="1"/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 x14ac:dyDescent="0.3">
      <c r="B105" s="7"/>
      <c r="C105" s="8"/>
      <c r="D105" s="8"/>
      <c r="E105" s="8"/>
      <c r="F105" s="1"/>
      <c r="G105" s="1"/>
      <c r="H105" s="1"/>
      <c r="I105" s="1"/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 x14ac:dyDescent="0.3">
      <c r="B106" s="7"/>
      <c r="C106" s="8"/>
      <c r="D106" s="8"/>
      <c r="E106" s="8"/>
      <c r="F106" s="1"/>
      <c r="G106" s="1"/>
      <c r="H106" s="1"/>
      <c r="I106" s="1"/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 x14ac:dyDescent="0.3">
      <c r="B107" s="7"/>
      <c r="C107" s="8"/>
      <c r="D107" s="8"/>
      <c r="E107" s="8"/>
      <c r="F107" s="1"/>
      <c r="G107" s="1"/>
      <c r="H107" s="1"/>
      <c r="I107" s="1"/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 x14ac:dyDescent="0.3">
      <c r="B108" s="7"/>
      <c r="C108" s="8"/>
      <c r="D108" s="8"/>
      <c r="E108" s="8"/>
      <c r="F108" s="1"/>
      <c r="G108" s="1"/>
      <c r="H108" s="1"/>
      <c r="I108" s="1"/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 x14ac:dyDescent="0.3">
      <c r="B109" s="7"/>
      <c r="C109" s="8"/>
      <c r="D109" s="8"/>
      <c r="E109" s="8"/>
      <c r="F109" s="1"/>
      <c r="G109" s="1"/>
      <c r="H109" s="1"/>
      <c r="I109" s="1"/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 x14ac:dyDescent="0.3">
      <c r="B110" s="7"/>
      <c r="C110" s="8"/>
      <c r="D110" s="8"/>
      <c r="E110" s="8"/>
      <c r="F110" s="1"/>
      <c r="G110" s="1"/>
      <c r="H110" s="1"/>
      <c r="I110" s="1"/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 x14ac:dyDescent="0.3">
      <c r="B111" s="7"/>
      <c r="C111" s="8"/>
      <c r="D111" s="8"/>
      <c r="E111" s="8"/>
      <c r="F111" s="1"/>
      <c r="G111" s="1"/>
      <c r="H111" s="1"/>
      <c r="I111" s="1"/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 x14ac:dyDescent="0.3">
      <c r="B112" s="7"/>
      <c r="C112" s="8"/>
      <c r="D112" s="8"/>
      <c r="E112" s="8"/>
      <c r="F112" s="1"/>
      <c r="G112" s="1"/>
      <c r="H112" s="1"/>
      <c r="I112" s="1"/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 x14ac:dyDescent="0.3">
      <c r="B113" s="7"/>
      <c r="C113" s="8"/>
      <c r="D113" s="8"/>
      <c r="E113" s="8"/>
      <c r="F113" s="1"/>
      <c r="G113" s="1"/>
      <c r="H113" s="1"/>
      <c r="I113" s="1"/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 x14ac:dyDescent="0.3">
      <c r="B114" s="7"/>
      <c r="C114" s="8"/>
      <c r="D114" s="8"/>
      <c r="E114" s="8"/>
      <c r="F114" s="1"/>
      <c r="G114" s="1"/>
      <c r="H114" s="1"/>
      <c r="I114" s="1"/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 x14ac:dyDescent="0.3">
      <c r="B115" s="7"/>
      <c r="C115" s="8"/>
      <c r="D115" s="8"/>
      <c r="E115" s="8"/>
      <c r="F115" s="1"/>
      <c r="G115" s="1"/>
      <c r="H115" s="1"/>
      <c r="I115" s="1"/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 x14ac:dyDescent="0.3">
      <c r="B116" s="7"/>
      <c r="C116" s="8"/>
      <c r="D116" s="8"/>
      <c r="E116" s="8"/>
      <c r="F116" s="1"/>
      <c r="G116" s="1"/>
      <c r="H116" s="1"/>
      <c r="I116" s="1"/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 x14ac:dyDescent="0.3">
      <c r="B117" s="7"/>
      <c r="C117" s="8"/>
      <c r="D117" s="8"/>
      <c r="E117" s="8"/>
      <c r="F117" s="1"/>
      <c r="G117" s="1"/>
      <c r="H117" s="1"/>
      <c r="I117" s="1"/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 x14ac:dyDescent="0.3">
      <c r="B118" s="7"/>
      <c r="C118" s="8"/>
      <c r="D118" s="8"/>
      <c r="E118" s="8"/>
      <c r="F118" s="1"/>
      <c r="G118" s="1"/>
      <c r="H118" s="1"/>
      <c r="I118" s="1"/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DC07-FAEC-4F25-B9A3-CBB5428D1E33}">
  <dimension ref="A1:BM602"/>
  <sheetViews>
    <sheetView topLeftCell="K1" zoomScale="70" zoomScaleNormal="70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20" max="20" width="11" bestFit="1" customWidth="1"/>
    <col min="21" max="21" width="9.5" bestFit="1" customWidth="1"/>
    <col min="22" max="22" width="13.375" bestFit="1" customWidth="1"/>
    <col min="28" max="28" width="19.1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1.2735937737092E-10</v>
      </c>
      <c r="B1" s="7" t="s">
        <v>0</v>
      </c>
      <c r="C1" s="8" t="s">
        <v>110</v>
      </c>
      <c r="D1" s="8" t="s">
        <v>111</v>
      </c>
      <c r="E1" s="8" t="s">
        <v>111</v>
      </c>
      <c r="F1" t="s">
        <v>111</v>
      </c>
      <c r="G1" t="s">
        <v>111</v>
      </c>
      <c r="H1" t="s">
        <v>112</v>
      </c>
      <c r="I1" t="s">
        <v>113</v>
      </c>
      <c r="J1" t="s">
        <v>114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1.2710218700000001E-10</v>
      </c>
      <c r="D2" s="1">
        <v>1.270823E-10</v>
      </c>
      <c r="E2" s="1">
        <v>1.9887000000000001E-14</v>
      </c>
      <c r="F2" s="1">
        <v>2.5718999999999999E-13</v>
      </c>
      <c r="G2" s="1">
        <v>3.7092E-19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4" si="0">(H2+F2)/$A$1*100</f>
        <v>0.20194037165474102</v>
      </c>
      <c r="R2" s="6">
        <f t="shared" ref="R2:R44" si="1">(G2+I2)/$A$1*100</f>
        <v>2.9123886097506335E-7</v>
      </c>
      <c r="S2" s="10">
        <f t="shared" ref="S2:S44" si="2">J2/$A$1*100</f>
        <v>0</v>
      </c>
      <c r="T2" s="6">
        <f t="shared" ref="T2:V17" si="3">C2/$A$1*100</f>
        <v>99.798059337106409</v>
      </c>
      <c r="U2" s="6">
        <f t="shared" si="3"/>
        <v>99.7824444680559</v>
      </c>
      <c r="V2" s="6">
        <f t="shared" si="3"/>
        <v>1.561486905049899E-2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2.2759999999999998</v>
      </c>
      <c r="C3" s="8">
        <v>1.253764E-10</v>
      </c>
      <c r="D3" s="1">
        <v>1.045384E-10</v>
      </c>
      <c r="E3" s="1">
        <v>2.0838000000000001E-11</v>
      </c>
      <c r="F3" s="1">
        <v>1.8244000000000002E-12</v>
      </c>
      <c r="G3" s="1">
        <v>3.4395E-16</v>
      </c>
      <c r="H3" s="1">
        <v>3.7633999999999999E-14</v>
      </c>
      <c r="I3" s="1">
        <v>5.9076999999999997E-14</v>
      </c>
      <c r="J3" s="1">
        <v>2.7844E-14</v>
      </c>
      <c r="K3" s="1"/>
      <c r="L3" s="1"/>
      <c r="N3" s="7"/>
      <c r="O3">
        <f t="shared" ref="O3:O44" si="4">B3/60</f>
        <v>3.7933333333333333E-2</v>
      </c>
      <c r="P3" s="6">
        <f t="shared" ref="P3:P44" si="5">(SUM(F3:J3)+C3)/$A$1*100</f>
        <v>99.973556386961675</v>
      </c>
      <c r="Q3" s="6">
        <f t="shared" si="0"/>
        <v>1.4620313308984179</v>
      </c>
      <c r="R3" s="6">
        <f t="shared" si="1"/>
        <v>4.6656124760207564E-2</v>
      </c>
      <c r="S3" s="10">
        <f t="shared" si="2"/>
        <v>2.1862544066078033E-2</v>
      </c>
      <c r="T3" s="6">
        <f t="shared" si="3"/>
        <v>98.443006387236963</v>
      </c>
      <c r="U3" s="6">
        <f t="shared" si="3"/>
        <v>82.081431424985354</v>
      </c>
      <c r="V3" s="6">
        <f t="shared" si="3"/>
        <v>16.36157496225162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4.3239999999999998</v>
      </c>
      <c r="C4" s="8">
        <v>1.2482420000000001E-10</v>
      </c>
      <c r="D4" s="1">
        <v>1.0420120000000001E-10</v>
      </c>
      <c r="E4" s="1">
        <v>2.0622999999999999E-11</v>
      </c>
      <c r="F4" s="1">
        <v>2.1126000000000001E-12</v>
      </c>
      <c r="G4" s="1">
        <v>6.6431000000000004E-16</v>
      </c>
      <c r="H4" s="1">
        <v>1.111E-13</v>
      </c>
      <c r="I4" s="1">
        <v>2.1529000000000001E-13</v>
      </c>
      <c r="J4" s="1">
        <v>5.2542000000000002E-14</v>
      </c>
      <c r="K4" s="1"/>
      <c r="L4" s="1"/>
      <c r="N4" s="7"/>
      <c r="O4">
        <f t="shared" si="4"/>
        <v>7.2066666666666668E-2</v>
      </c>
      <c r="P4" s="6">
        <f t="shared" si="5"/>
        <v>99.966252142710459</v>
      </c>
      <c r="Q4" s="6">
        <f t="shared" si="0"/>
        <v>1.7460041387637453</v>
      </c>
      <c r="R4" s="6">
        <f t="shared" si="1"/>
        <v>0.16956294421184009</v>
      </c>
      <c r="S4" s="10">
        <f t="shared" si="2"/>
        <v>4.1254912739544319E-2</v>
      </c>
      <c r="T4" s="6">
        <f t="shared" si="3"/>
        <v>98.009430146995328</v>
      </c>
      <c r="U4" s="6">
        <f t="shared" si="3"/>
        <v>81.816668824098926</v>
      </c>
      <c r="V4" s="6">
        <f t="shared" si="3"/>
        <v>16.192761322896395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7.3959999999999999</v>
      </c>
      <c r="C5" s="8">
        <v>1.2406099999999999E-10</v>
      </c>
      <c r="D5" s="1">
        <v>1.03661E-10</v>
      </c>
      <c r="E5" s="1">
        <v>2.0399999999999999E-11</v>
      </c>
      <c r="F5" s="1">
        <v>2.3404E-12</v>
      </c>
      <c r="G5" s="1">
        <v>9.6326999999999997E-16</v>
      </c>
      <c r="H5" s="1">
        <v>2.3757000000000002E-13</v>
      </c>
      <c r="I5" s="1">
        <v>5.9458999999999999E-13</v>
      </c>
      <c r="J5" s="1">
        <v>8.9200000000000001E-14</v>
      </c>
      <c r="K5" s="1"/>
      <c r="L5" s="1"/>
      <c r="N5" s="7"/>
      <c r="O5">
        <f t="shared" si="4"/>
        <v>0.12326666666666666</v>
      </c>
      <c r="P5" s="6">
        <f t="shared" si="5"/>
        <v>99.972005123096537</v>
      </c>
      <c r="Q5" s="6">
        <f t="shared" si="0"/>
        <v>2.0241697574352533</v>
      </c>
      <c r="R5" s="6">
        <f t="shared" si="1"/>
        <v>0.46761634855164008</v>
      </c>
      <c r="S5" s="10">
        <f t="shared" si="2"/>
        <v>7.0038030839468496E-2</v>
      </c>
      <c r="T5" s="6">
        <f t="shared" si="3"/>
        <v>97.410180986270177</v>
      </c>
      <c r="U5" s="6">
        <f t="shared" si="3"/>
        <v>81.39251474047245</v>
      </c>
      <c r="V5" s="6">
        <f t="shared" si="3"/>
        <v>16.017666245797727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9.2392000000000003</v>
      </c>
      <c r="C6" s="8">
        <v>1.2361969999999999E-10</v>
      </c>
      <c r="D6" s="1">
        <v>1.0331969999999999E-10</v>
      </c>
      <c r="E6" s="1">
        <v>2.03E-11</v>
      </c>
      <c r="F6" s="1">
        <v>2.4069000000000002E-12</v>
      </c>
      <c r="G6" s="1">
        <v>1.0495E-15</v>
      </c>
      <c r="H6" s="1">
        <v>3.1918000000000001E-13</v>
      </c>
      <c r="I6" s="1">
        <v>8.7625000000000003E-13</v>
      </c>
      <c r="J6" s="1">
        <v>1.1102E-13</v>
      </c>
      <c r="K6" s="1"/>
      <c r="L6" s="1"/>
      <c r="N6" s="7"/>
      <c r="O6">
        <f t="shared" si="4"/>
        <v>0.15398666666666666</v>
      </c>
      <c r="P6" s="6">
        <f t="shared" si="5"/>
        <v>99.980152328441122</v>
      </c>
      <c r="Q6" s="6">
        <f t="shared" si="0"/>
        <v>2.1404627254580522</v>
      </c>
      <c r="R6" s="6">
        <f t="shared" si="1"/>
        <v>0.68883777395123635</v>
      </c>
      <c r="S6" s="10">
        <f t="shared" si="2"/>
        <v>8.7170652284728603E-2</v>
      </c>
      <c r="T6" s="6">
        <f t="shared" si="3"/>
        <v>97.06368117674711</v>
      </c>
      <c r="U6" s="6">
        <f t="shared" si="3"/>
        <v>81.124532902742502</v>
      </c>
      <c r="V6" s="6">
        <f t="shared" si="3"/>
        <v>15.9391482740046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0.1</v>
      </c>
      <c r="AH6" s="1">
        <v>0.5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11.082000000000001</v>
      </c>
      <c r="C7" s="8">
        <v>1.231897E-10</v>
      </c>
      <c r="D7" s="1">
        <v>1.0297470000000001E-10</v>
      </c>
      <c r="E7" s="1">
        <v>2.0215000000000001E-11</v>
      </c>
      <c r="F7" s="1">
        <v>2.4433999999999999E-12</v>
      </c>
      <c r="G7" s="1">
        <v>1.0907E-15</v>
      </c>
      <c r="H7" s="1">
        <v>4.0295999999999998E-13</v>
      </c>
      <c r="I7" s="1">
        <v>1.1759000000000001E-12</v>
      </c>
      <c r="J7" s="1">
        <v>1.3274E-13</v>
      </c>
      <c r="K7" s="1"/>
      <c r="L7" s="1"/>
      <c r="N7" s="7"/>
      <c r="O7">
        <f t="shared" si="4"/>
        <v>0.1847</v>
      </c>
      <c r="P7" s="6">
        <f t="shared" si="5"/>
        <v>99.98933202155942</v>
      </c>
      <c r="Q7" s="6">
        <f t="shared" si="0"/>
        <v>2.2349041419308247</v>
      </c>
      <c r="R7" s="6">
        <f t="shared" si="1"/>
        <v>0.9241492258337175</v>
      </c>
      <c r="S7" s="10">
        <f t="shared" si="2"/>
        <v>0.10422475575819559</v>
      </c>
      <c r="T7" s="6">
        <f t="shared" si="3"/>
        <v>96.726053898036668</v>
      </c>
      <c r="U7" s="6">
        <f t="shared" si="3"/>
        <v>80.853645900056236</v>
      </c>
      <c r="V7" s="6">
        <f t="shared" si="3"/>
        <v>15.872407997980446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158</v>
      </c>
      <c r="AH7" s="1" t="s">
        <v>159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12.926</v>
      </c>
      <c r="C8" s="8">
        <v>1.2276549999999999E-10</v>
      </c>
      <c r="D8" s="1">
        <v>1.026285E-10</v>
      </c>
      <c r="E8" s="1">
        <v>2.0137000000000001E-11</v>
      </c>
      <c r="F8" s="1">
        <v>2.4617999999999999E-12</v>
      </c>
      <c r="G8" s="1">
        <v>1.1077E-15</v>
      </c>
      <c r="H8" s="1">
        <v>4.8799000000000002E-13</v>
      </c>
      <c r="I8" s="1">
        <v>1.4839999999999999E-12</v>
      </c>
      <c r="J8" s="1">
        <v>1.5437999999999999E-13</v>
      </c>
      <c r="K8" s="1"/>
      <c r="L8" s="1"/>
      <c r="M8" s="4"/>
      <c r="N8" s="7"/>
      <c r="O8">
        <f t="shared" si="4"/>
        <v>0.21543333333333334</v>
      </c>
      <c r="P8" s="6">
        <f t="shared" si="5"/>
        <v>99.996388431684451</v>
      </c>
      <c r="Q8" s="6">
        <f t="shared" si="0"/>
        <v>2.3161152801564548</v>
      </c>
      <c r="R8" s="6">
        <f t="shared" si="1"/>
        <v>1.1660764449835439</v>
      </c>
      <c r="S8" s="10">
        <f t="shared" si="2"/>
        <v>0.12121604485422809</v>
      </c>
      <c r="T8" s="6">
        <f t="shared" si="3"/>
        <v>96.392980661690231</v>
      </c>
      <c r="U8" s="6">
        <f t="shared" si="3"/>
        <v>80.581816681708432</v>
      </c>
      <c r="V8" s="6">
        <f t="shared" si="3"/>
        <v>15.811163979981805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1.45</v>
      </c>
      <c r="AH8" s="1">
        <v>0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14.769</v>
      </c>
      <c r="C9" s="8">
        <v>1.2234819999999999E-10</v>
      </c>
      <c r="D9" s="1">
        <v>1.022842E-10</v>
      </c>
      <c r="E9" s="1">
        <v>2.0063999999999999E-11</v>
      </c>
      <c r="F9" s="1">
        <v>2.4693E-12</v>
      </c>
      <c r="G9" s="1">
        <v>1.1135E-15</v>
      </c>
      <c r="H9" s="1">
        <v>5.7370999999999999E-13</v>
      </c>
      <c r="I9" s="1">
        <v>1.7956999999999999E-12</v>
      </c>
      <c r="J9" s="1">
        <v>1.7592999999999999E-13</v>
      </c>
      <c r="K9" s="1"/>
      <c r="L9" s="1"/>
      <c r="N9" s="7"/>
      <c r="O9">
        <f t="shared" si="4"/>
        <v>0.24615000000000001</v>
      </c>
      <c r="P9" s="6">
        <f t="shared" si="5"/>
        <v>100.00359308374026</v>
      </c>
      <c r="Q9" s="6">
        <f t="shared" si="0"/>
        <v>2.3893097334620066</v>
      </c>
      <c r="R9" s="6">
        <f t="shared" si="1"/>
        <v>1.410821517105082</v>
      </c>
      <c r="S9" s="10">
        <f t="shared" si="2"/>
        <v>0.13813666777564676</v>
      </c>
      <c r="T9" s="6">
        <f t="shared" si="3"/>
        <v>96.06532516539751</v>
      </c>
      <c r="U9" s="6">
        <f t="shared" si="3"/>
        <v>80.311479304824701</v>
      </c>
      <c r="V9" s="6">
        <f t="shared" si="3"/>
        <v>15.75384586057282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6.82</v>
      </c>
      <c r="AH9" s="1">
        <v>0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16.611999999999998</v>
      </c>
      <c r="C10" s="8">
        <v>1.2193470000000001E-10</v>
      </c>
      <c r="D10" s="1">
        <v>1.019407E-10</v>
      </c>
      <c r="E10" s="1">
        <v>1.9993999999999999E-11</v>
      </c>
      <c r="F10" s="1">
        <v>2.4705E-12</v>
      </c>
      <c r="G10" s="1">
        <v>1.1129999999999999E-15</v>
      </c>
      <c r="H10" s="1">
        <v>6.5977000000000003E-13</v>
      </c>
      <c r="I10" s="1">
        <v>2.1084000000000002E-12</v>
      </c>
      <c r="J10" s="1">
        <v>1.9740999999999999E-13</v>
      </c>
      <c r="K10" s="1"/>
      <c r="L10" s="1"/>
      <c r="N10" s="7"/>
      <c r="O10">
        <f t="shared" si="4"/>
        <v>0.27686666666666665</v>
      </c>
      <c r="P10" s="6">
        <f t="shared" si="5"/>
        <v>100.00982701811078</v>
      </c>
      <c r="Q10" s="6">
        <f t="shared" si="0"/>
        <v>2.4578245156486886</v>
      </c>
      <c r="R10" s="6">
        <f t="shared" si="1"/>
        <v>1.6563468223123285</v>
      </c>
      <c r="S10" s="10">
        <f t="shared" si="2"/>
        <v>0.15500232811681025</v>
      </c>
      <c r="T10" s="6">
        <f t="shared" si="3"/>
        <v>95.74065335203295</v>
      </c>
      <c r="U10" s="6">
        <f t="shared" si="3"/>
        <v>80.04177007171532</v>
      </c>
      <c r="V10" s="6">
        <f t="shared" si="3"/>
        <v>15.698883280317633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1.7E-6</v>
      </c>
      <c r="AH10" s="37">
        <v>1.7E-6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20.297999999999998</v>
      </c>
      <c r="C11" s="8">
        <v>1.2111770000000001E-10</v>
      </c>
      <c r="D11" s="1">
        <v>1.012597E-10</v>
      </c>
      <c r="E11" s="1">
        <v>1.9857999999999999E-11</v>
      </c>
      <c r="F11" s="1">
        <v>2.4644999999999998E-12</v>
      </c>
      <c r="G11" s="1">
        <v>1.0971E-15</v>
      </c>
      <c r="H11" s="1">
        <v>8.3211999999999999E-13</v>
      </c>
      <c r="I11" s="1">
        <v>2.7329000000000002E-12</v>
      </c>
      <c r="J11" s="1">
        <v>2.4014000000000002E-13</v>
      </c>
      <c r="K11" s="1"/>
      <c r="L11" s="1"/>
      <c r="N11" s="7"/>
      <c r="O11">
        <f t="shared" si="4"/>
        <v>0.33829999999999999</v>
      </c>
      <c r="P11" s="6">
        <f t="shared" si="5"/>
        <v>100.02283281347655</v>
      </c>
      <c r="Q11" s="6">
        <f t="shared" si="0"/>
        <v>2.5884391617265536</v>
      </c>
      <c r="R11" s="6">
        <f t="shared" si="1"/>
        <v>2.1466790718028861</v>
      </c>
      <c r="S11" s="10">
        <f t="shared" si="2"/>
        <v>0.18855305746401307</v>
      </c>
      <c r="T11" s="6">
        <f t="shared" si="3"/>
        <v>95.099161522483115</v>
      </c>
      <c r="U11" s="6">
        <f t="shared" si="3"/>
        <v>79.507062683804122</v>
      </c>
      <c r="V11" s="6">
        <f t="shared" si="3"/>
        <v>15.59209883867898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27.670999999999999</v>
      </c>
      <c r="C12" s="8">
        <v>1.1951999999999999E-10</v>
      </c>
      <c r="D12" s="1">
        <v>9.9924999999999994E-11</v>
      </c>
      <c r="E12" s="1">
        <v>1.9595000000000001E-11</v>
      </c>
      <c r="F12" s="1">
        <v>2.4353999999999999E-12</v>
      </c>
      <c r="G12" s="1">
        <v>1.0841E-15</v>
      </c>
      <c r="H12" s="1">
        <v>1.1750999999999999E-12</v>
      </c>
      <c r="I12" s="1">
        <v>3.9713000000000003E-12</v>
      </c>
      <c r="J12" s="1">
        <v>3.2475E-13</v>
      </c>
      <c r="K12" s="1"/>
      <c r="L12" s="1"/>
      <c r="N12" s="7"/>
      <c r="O12">
        <f t="shared" si="4"/>
        <v>0.46118333333333333</v>
      </c>
      <c r="P12" s="6">
        <f t="shared" si="5"/>
        <v>100.05359379928593</v>
      </c>
      <c r="Q12" s="6">
        <f t="shared" si="0"/>
        <v>2.8348913715908179</v>
      </c>
      <c r="R12" s="6">
        <f t="shared" si="1"/>
        <v>3.1190354271526264</v>
      </c>
      <c r="S12" s="10">
        <f t="shared" si="2"/>
        <v>0.25498711339817703</v>
      </c>
      <c r="T12" s="6">
        <f t="shared" si="3"/>
        <v>93.844679887144324</v>
      </c>
      <c r="U12" s="6">
        <f t="shared" si="3"/>
        <v>78.459083314281258</v>
      </c>
      <c r="V12" s="6">
        <f t="shared" si="3"/>
        <v>15.385596572863061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35.043999999999997</v>
      </c>
      <c r="C13" s="8">
        <v>1.1794620000000002E-10</v>
      </c>
      <c r="D13" s="1">
        <v>9.8609200000000012E-11</v>
      </c>
      <c r="E13" s="1">
        <v>1.9337000000000001E-11</v>
      </c>
      <c r="F13" s="1">
        <v>2.4046000000000001E-12</v>
      </c>
      <c r="G13" s="1">
        <v>1.0812000000000001E-15</v>
      </c>
      <c r="H13" s="1">
        <v>1.5145000000000001E-12</v>
      </c>
      <c r="I13" s="1">
        <v>5.1932999999999997E-12</v>
      </c>
      <c r="J13" s="1">
        <v>4.0823999999999999E-13</v>
      </c>
      <c r="K13" s="1"/>
      <c r="L13" s="1"/>
      <c r="N13" s="7"/>
      <c r="O13">
        <f t="shared" si="4"/>
        <v>0.58406666666666662</v>
      </c>
      <c r="P13" s="6">
        <f t="shared" si="5"/>
        <v>100.08522641310024</v>
      </c>
      <c r="Q13" s="6">
        <f t="shared" si="0"/>
        <v>3.0771978325444054</v>
      </c>
      <c r="R13" s="6">
        <f t="shared" si="1"/>
        <v>4.0785227654434451</v>
      </c>
      <c r="S13" s="10">
        <f t="shared" si="2"/>
        <v>0.32054176804825801</v>
      </c>
      <c r="T13" s="6">
        <f t="shared" si="3"/>
        <v>92.60896404706412</v>
      </c>
      <c r="U13" s="6">
        <f t="shared" si="3"/>
        <v>77.425943841427326</v>
      </c>
      <c r="V13" s="6">
        <f t="shared" si="3"/>
        <v>15.183020205636796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49.79</v>
      </c>
      <c r="C14" s="8">
        <v>1.1488E-10</v>
      </c>
      <c r="D14" s="1">
        <v>9.6045999999999998E-11</v>
      </c>
      <c r="E14" s="1">
        <v>1.8834E-11</v>
      </c>
      <c r="F14" s="1">
        <v>2.3429E-12</v>
      </c>
      <c r="G14" s="1">
        <v>1.0536999999999999E-15</v>
      </c>
      <c r="H14" s="1">
        <v>2.1809000000000001E-12</v>
      </c>
      <c r="I14" s="1">
        <v>7.5899000000000002E-12</v>
      </c>
      <c r="J14" s="1">
        <v>5.7196000000000002E-13</v>
      </c>
      <c r="K14" s="1"/>
      <c r="L14" s="1"/>
      <c r="N14" s="7"/>
      <c r="O14">
        <f t="shared" si="4"/>
        <v>0.82983333333333331</v>
      </c>
      <c r="P14" s="6">
        <f t="shared" si="5"/>
        <v>100.16279628038393</v>
      </c>
      <c r="Q14" s="6">
        <f t="shared" si="0"/>
        <v>3.5519960079774391</v>
      </c>
      <c r="R14" s="6">
        <f t="shared" si="1"/>
        <v>5.960262884995263</v>
      </c>
      <c r="S14" s="10">
        <f t="shared" si="2"/>
        <v>0.44909139146796412</v>
      </c>
      <c r="T14" s="6">
        <f t="shared" si="3"/>
        <v>90.201445995943274</v>
      </c>
      <c r="U14" s="6">
        <f t="shared" si="3"/>
        <v>75.413371188425899</v>
      </c>
      <c r="V14" s="6">
        <f t="shared" si="3"/>
        <v>14.78807480751737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79.281000000000006</v>
      </c>
      <c r="C15" s="8">
        <v>1.0905829999999998E-10</v>
      </c>
      <c r="D15" s="1">
        <v>9.117829999999999E-11</v>
      </c>
      <c r="E15" s="1">
        <v>1.7880000000000001E-11</v>
      </c>
      <c r="F15" s="1">
        <v>2.2245000000000001E-12</v>
      </c>
      <c r="G15" s="1">
        <v>1.0019E-15</v>
      </c>
      <c r="H15" s="1">
        <v>3.4640000000000002E-12</v>
      </c>
      <c r="I15" s="1">
        <v>1.2200000000000001E-11</v>
      </c>
      <c r="J15" s="1">
        <v>8.8689999999999999E-13</v>
      </c>
      <c r="K15" s="1"/>
      <c r="L15" s="1"/>
      <c r="N15" s="7"/>
      <c r="O15">
        <f t="shared" si="4"/>
        <v>1.32135</v>
      </c>
      <c r="P15" s="6">
        <f t="shared" si="5"/>
        <v>100.37321517966885</v>
      </c>
      <c r="Q15" s="6">
        <f t="shared" si="0"/>
        <v>4.4664948254519787</v>
      </c>
      <c r="R15" s="6">
        <f t="shared" si="1"/>
        <v>9.5799792303207809</v>
      </c>
      <c r="S15" s="10">
        <f t="shared" si="2"/>
        <v>0.69637589183323545</v>
      </c>
      <c r="T15" s="6">
        <f t="shared" si="3"/>
        <v>85.630365232062843</v>
      </c>
      <c r="U15" s="6">
        <f t="shared" si="3"/>
        <v>71.591351875451892</v>
      </c>
      <c r="V15" s="6">
        <f t="shared" si="3"/>
        <v>14.039013356610949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108.77</v>
      </c>
      <c r="C16" s="8">
        <v>1.035304E-10</v>
      </c>
      <c r="D16" s="1">
        <v>8.6557399999999995E-11</v>
      </c>
      <c r="E16" s="1">
        <v>1.6973E-11</v>
      </c>
      <c r="F16" s="1">
        <v>2.1117999999999999E-12</v>
      </c>
      <c r="G16" s="1">
        <v>9.5053000000000008E-16</v>
      </c>
      <c r="H16" s="1">
        <v>4.6826999999999998E-12</v>
      </c>
      <c r="I16" s="1">
        <v>1.6576999999999999E-11</v>
      </c>
      <c r="J16" s="1">
        <v>1.1859E-12</v>
      </c>
      <c r="K16" s="1"/>
      <c r="L16" s="1"/>
      <c r="N16" s="7"/>
      <c r="O16">
        <f t="shared" si="4"/>
        <v>1.8128333333333333</v>
      </c>
      <c r="P16" s="6">
        <f t="shared" si="5"/>
        <v>100.57268901131309</v>
      </c>
      <c r="Q16" s="6">
        <f t="shared" si="0"/>
        <v>5.3349035934839533</v>
      </c>
      <c r="R16" s="6">
        <f t="shared" si="1"/>
        <v>13.016670521023798</v>
      </c>
      <c r="S16" s="10">
        <f t="shared" si="2"/>
        <v>0.93114462749468252</v>
      </c>
      <c r="T16" s="6">
        <f t="shared" si="3"/>
        <v>81.289970269310629</v>
      </c>
      <c r="U16" s="6">
        <f t="shared" si="3"/>
        <v>67.963114916863333</v>
      </c>
      <c r="V16" s="6">
        <f t="shared" si="3"/>
        <v>13.326855352447295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167.75</v>
      </c>
      <c r="C17" s="8">
        <v>9.35373E-11</v>
      </c>
      <c r="D17" s="1">
        <v>7.8202299999999995E-11</v>
      </c>
      <c r="E17" s="1">
        <v>1.5335000000000001E-11</v>
      </c>
      <c r="F17" s="1">
        <v>1.9079E-12</v>
      </c>
      <c r="G17" s="1">
        <v>8.5778000000000001E-16</v>
      </c>
      <c r="H17" s="1">
        <v>6.9425000000000004E-12</v>
      </c>
      <c r="I17" s="1">
        <v>2.4691999999999999E-11</v>
      </c>
      <c r="J17" s="1">
        <v>1.7402E-12</v>
      </c>
      <c r="K17" s="1"/>
      <c r="L17" s="1"/>
      <c r="N17" s="7"/>
      <c r="O17">
        <f t="shared" si="4"/>
        <v>2.7958333333333334</v>
      </c>
      <c r="P17" s="6">
        <f t="shared" si="5"/>
        <v>101.14744625739172</v>
      </c>
      <c r="Q17" s="6">
        <f t="shared" si="0"/>
        <v>6.9491545755788335</v>
      </c>
      <c r="R17" s="6">
        <f t="shared" si="1"/>
        <v>19.388331106617144</v>
      </c>
      <c r="S17" s="10">
        <f t="shared" si="2"/>
        <v>1.3663697451439807</v>
      </c>
      <c r="T17" s="6">
        <f t="shared" si="3"/>
        <v>73.443590830051747</v>
      </c>
      <c r="U17" s="6">
        <f t="shared" si="3"/>
        <v>61.402859855575855</v>
      </c>
      <c r="V17" s="6">
        <f t="shared" si="3"/>
        <v>12.04073097447589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220.84</v>
      </c>
      <c r="C18" s="8">
        <v>8.5332399999999994E-11</v>
      </c>
      <c r="D18" s="1">
        <v>7.1342399999999999E-11</v>
      </c>
      <c r="E18" s="1">
        <v>1.399E-11</v>
      </c>
      <c r="F18" s="1">
        <v>1.7406000000000001E-12</v>
      </c>
      <c r="G18" s="1">
        <v>7.8312999999999997E-16</v>
      </c>
      <c r="H18" s="1">
        <v>8.7884999999999996E-12</v>
      </c>
      <c r="I18" s="1">
        <v>3.1320999999999997E-11</v>
      </c>
      <c r="J18" s="1">
        <v>2.193E-12</v>
      </c>
      <c r="K18" s="1"/>
      <c r="L18" s="1"/>
      <c r="N18" s="7"/>
      <c r="O18">
        <f t="shared" si="4"/>
        <v>3.6806666666666668</v>
      </c>
      <c r="P18" s="6">
        <f t="shared" si="5"/>
        <v>101.58363349500836</v>
      </c>
      <c r="Q18" s="6">
        <f t="shared" si="0"/>
        <v>8.2672357680700408</v>
      </c>
      <c r="R18" s="6">
        <f t="shared" si="1"/>
        <v>24.593228843117533</v>
      </c>
      <c r="S18" s="10">
        <f t="shared" si="2"/>
        <v>1.7218991214232555</v>
      </c>
      <c r="T18" s="6">
        <f t="shared" ref="T18:V43" si="6">C18/$A$1*100</f>
        <v>67.001269762397541</v>
      </c>
      <c r="U18" s="6">
        <f t="shared" si="6"/>
        <v>56.0166055085392</v>
      </c>
      <c r="V18" s="6">
        <f t="shared" si="6"/>
        <v>10.984664253858343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273.92</v>
      </c>
      <c r="C19" s="8">
        <v>7.7847199999999994E-11</v>
      </c>
      <c r="D19" s="1">
        <v>6.5084199999999991E-11</v>
      </c>
      <c r="E19" s="1">
        <v>1.2763E-11</v>
      </c>
      <c r="F19" s="1">
        <v>1.5878999999999999E-12</v>
      </c>
      <c r="G19" s="1">
        <v>7.1479000000000002E-16</v>
      </c>
      <c r="H19" s="1">
        <v>1.0473E-11</v>
      </c>
      <c r="I19" s="1">
        <v>3.7367999999999998E-11</v>
      </c>
      <c r="J19" s="1">
        <v>2.6061E-12</v>
      </c>
      <c r="K19" s="1"/>
      <c r="L19" s="1"/>
      <c r="N19" s="7"/>
      <c r="O19">
        <f t="shared" si="4"/>
        <v>4.5653333333333332</v>
      </c>
      <c r="P19" s="6">
        <f t="shared" si="5"/>
        <v>101.98143039890222</v>
      </c>
      <c r="Q19" s="6">
        <f t="shared" si="0"/>
        <v>9.4699740599971474</v>
      </c>
      <c r="R19" s="6">
        <f t="shared" si="1"/>
        <v>29.341156938265943</v>
      </c>
      <c r="S19" s="10">
        <f t="shared" si="2"/>
        <v>2.0462568629006594</v>
      </c>
      <c r="T19" s="6">
        <f t="shared" si="6"/>
        <v>61.124042537738468</v>
      </c>
      <c r="U19" s="6">
        <f t="shared" si="6"/>
        <v>51.102793797781779</v>
      </c>
      <c r="V19" s="6">
        <f t="shared" si="6"/>
        <v>10.021248739956686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327.01</v>
      </c>
      <c r="C20" s="8">
        <v>7.1018700000000003E-11</v>
      </c>
      <c r="D20" s="1">
        <v>5.9375700000000005E-11</v>
      </c>
      <c r="E20" s="1">
        <v>1.1643E-11</v>
      </c>
      <c r="F20" s="1">
        <v>1.4485999999999999E-12</v>
      </c>
      <c r="G20" s="1">
        <v>6.5236999999999999E-16</v>
      </c>
      <c r="H20" s="1">
        <v>1.2009E-11</v>
      </c>
      <c r="I20" s="1">
        <v>4.2885999999999998E-11</v>
      </c>
      <c r="J20" s="1">
        <v>2.9829000000000001E-12</v>
      </c>
      <c r="K20" s="1"/>
      <c r="L20" s="1"/>
      <c r="N20" s="7"/>
      <c r="O20">
        <f t="shared" si="4"/>
        <v>5.4501666666666662</v>
      </c>
      <c r="P20" s="6">
        <f t="shared" si="5"/>
        <v>102.34491959738638</v>
      </c>
      <c r="Q20" s="6">
        <f t="shared" si="0"/>
        <v>10.56663457203174</v>
      </c>
      <c r="R20" s="6">
        <f t="shared" si="1"/>
        <v>33.67372961089265</v>
      </c>
      <c r="S20" s="10">
        <f t="shared" si="2"/>
        <v>2.342112580617159</v>
      </c>
      <c r="T20" s="6">
        <f t="shared" si="6"/>
        <v>55.762442833844851</v>
      </c>
      <c r="U20" s="6">
        <f t="shared" si="6"/>
        <v>46.620595377971185</v>
      </c>
      <c r="V20" s="6">
        <f t="shared" si="6"/>
        <v>9.1418474558736715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433.18</v>
      </c>
      <c r="C21" s="8">
        <v>5.8732599999999989E-11</v>
      </c>
      <c r="D21" s="1">
        <v>4.9103699999999994E-11</v>
      </c>
      <c r="E21" s="1">
        <v>9.6288999999999999E-12</v>
      </c>
      <c r="F21" s="1">
        <v>1.1979999999999999E-12</v>
      </c>
      <c r="G21" s="1">
        <v>5.3162000000000005E-16</v>
      </c>
      <c r="H21" s="1">
        <v>1.4687E-11</v>
      </c>
      <c r="I21" s="1">
        <v>5.2501999999999997E-11</v>
      </c>
      <c r="J21" s="1">
        <v>3.6397999999999999E-12</v>
      </c>
      <c r="K21" s="1"/>
      <c r="L21" s="1"/>
      <c r="N21" s="7"/>
      <c r="O21">
        <f t="shared" si="4"/>
        <v>7.2196666666666669</v>
      </c>
      <c r="P21" s="6">
        <f t="shared" si="5"/>
        <v>102.67004622610258</v>
      </c>
      <c r="Q21" s="6">
        <f t="shared" si="0"/>
        <v>12.472579819338081</v>
      </c>
      <c r="R21" s="6">
        <f t="shared" si="1"/>
        <v>41.223922968068713</v>
      </c>
      <c r="S21" s="10">
        <f t="shared" si="2"/>
        <v>2.8578971373262041</v>
      </c>
      <c r="T21" s="6">
        <f t="shared" si="6"/>
        <v>46.11564630136958</v>
      </c>
      <c r="U21" s="6">
        <f t="shared" si="6"/>
        <v>38.555229315381261</v>
      </c>
      <c r="V21" s="6">
        <f t="shared" si="6"/>
        <v>7.5604169859883203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539.34</v>
      </c>
      <c r="C22" s="8">
        <v>4.8433000000000001E-11</v>
      </c>
      <c r="D22" s="1">
        <v>4.0492700000000002E-11</v>
      </c>
      <c r="E22" s="1">
        <v>7.9402999999999992E-12</v>
      </c>
      <c r="F22" s="1">
        <v>9.879200000000001E-13</v>
      </c>
      <c r="G22" s="1">
        <v>4.3380000000000002E-16</v>
      </c>
      <c r="H22" s="1">
        <v>1.6898999999999999E-11</v>
      </c>
      <c r="I22" s="1">
        <v>6.0439000000000004E-11</v>
      </c>
      <c r="J22" s="1">
        <v>4.1823999999999996E-12</v>
      </c>
      <c r="K22" s="1"/>
      <c r="L22" s="1"/>
      <c r="N22" s="7"/>
      <c r="O22">
        <f t="shared" si="4"/>
        <v>8.9890000000000008</v>
      </c>
      <c r="P22" s="6">
        <f t="shared" si="5"/>
        <v>102.81280931410865</v>
      </c>
      <c r="Q22" s="6">
        <f t="shared" si="0"/>
        <v>14.044446800259031</v>
      </c>
      <c r="R22" s="6">
        <f t="shared" si="1"/>
        <v>47.455817583009129</v>
      </c>
      <c r="S22" s="10">
        <f t="shared" si="2"/>
        <v>3.2839356522757059</v>
      </c>
      <c r="T22" s="6">
        <f t="shared" si="6"/>
        <v>38.028609278564765</v>
      </c>
      <c r="U22" s="6">
        <f t="shared" si="6"/>
        <v>31.79404676427518</v>
      </c>
      <c r="V22" s="6">
        <f t="shared" si="6"/>
        <v>6.2345625142895917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168</v>
      </c>
      <c r="AH22" s="1" t="s">
        <v>169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645.51</v>
      </c>
      <c r="C23" s="8">
        <v>3.9893300000000009E-11</v>
      </c>
      <c r="D23" s="1">
        <v>3.3353100000000006E-11</v>
      </c>
      <c r="E23" s="1">
        <v>6.5401999999999999E-12</v>
      </c>
      <c r="F23" s="1">
        <v>8.1373000000000001E-13</v>
      </c>
      <c r="G23" s="1">
        <v>3.6059999999999998E-16</v>
      </c>
      <c r="H23" s="1">
        <v>1.8723000000000001E-11</v>
      </c>
      <c r="I23" s="1">
        <v>6.6979999999999998E-11</v>
      </c>
      <c r="J23" s="1">
        <v>4.6296000000000004E-12</v>
      </c>
      <c r="K23" s="1"/>
      <c r="L23" s="1"/>
      <c r="N23" s="7"/>
      <c r="O23">
        <f t="shared" si="4"/>
        <v>10.7585</v>
      </c>
      <c r="P23" s="6">
        <f t="shared" si="5"/>
        <v>102.88994285702312</v>
      </c>
      <c r="Q23" s="6">
        <f t="shared" si="0"/>
        <v>15.339844150699205</v>
      </c>
      <c r="R23" s="6">
        <f t="shared" si="1"/>
        <v>52.591620642842152</v>
      </c>
      <c r="S23" s="10">
        <f t="shared" si="2"/>
        <v>3.6350680221345666</v>
      </c>
      <c r="T23" s="6">
        <f t="shared" si="6"/>
        <v>31.323410041347184</v>
      </c>
      <c r="U23" s="6">
        <f t="shared" si="6"/>
        <v>26.188177650133149</v>
      </c>
      <c r="V23" s="6">
        <f t="shared" si="6"/>
        <v>5.1352323912140339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166</v>
      </c>
      <c r="AH23" s="1" t="s">
        <v>169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751.68</v>
      </c>
      <c r="C24" s="8">
        <v>3.2843699999999997E-11</v>
      </c>
      <c r="D24" s="1">
        <v>2.7459199999999998E-11</v>
      </c>
      <c r="E24" s="1">
        <v>5.3844999999999999E-12</v>
      </c>
      <c r="F24" s="1">
        <v>6.6992999999999995E-13</v>
      </c>
      <c r="G24" s="1">
        <v>2.9823000000000002E-16</v>
      </c>
      <c r="H24" s="1">
        <v>2.0224000000000001E-11</v>
      </c>
      <c r="I24" s="1">
        <v>7.2368E-11</v>
      </c>
      <c r="J24" s="1">
        <v>4.9978000000000004E-12</v>
      </c>
      <c r="K24" s="1"/>
      <c r="L24" s="1"/>
      <c r="N24" s="7"/>
      <c r="O24">
        <f t="shared" si="4"/>
        <v>12.527999999999999</v>
      </c>
      <c r="P24" s="6">
        <f t="shared" si="5"/>
        <v>102.9399883513681</v>
      </c>
      <c r="Q24" s="6">
        <f t="shared" si="0"/>
        <v>16.405490063875515</v>
      </c>
      <c r="R24" s="6">
        <f t="shared" si="1"/>
        <v>56.822119991396782</v>
      </c>
      <c r="S24" s="10">
        <f t="shared" si="2"/>
        <v>3.9241711942768571</v>
      </c>
      <c r="T24" s="6">
        <f t="shared" si="6"/>
        <v>25.788207101818955</v>
      </c>
      <c r="U24" s="6">
        <f t="shared" si="6"/>
        <v>21.560406910618081</v>
      </c>
      <c r="V24" s="6">
        <f t="shared" si="6"/>
        <v>4.2278001912008758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857.85</v>
      </c>
      <c r="C25" s="8">
        <v>2.7033999999999998E-11</v>
      </c>
      <c r="D25" s="1">
        <v>2.26019E-11</v>
      </c>
      <c r="E25" s="1">
        <v>4.4321000000000001E-12</v>
      </c>
      <c r="F25" s="1">
        <v>5.5144000000000002E-13</v>
      </c>
      <c r="G25" s="1">
        <v>2.4352000000000001E-16</v>
      </c>
      <c r="H25" s="1">
        <v>2.1459999999999999E-11</v>
      </c>
      <c r="I25" s="1">
        <v>7.6805E-11</v>
      </c>
      <c r="J25" s="1">
        <v>5.3010000000000001E-12</v>
      </c>
      <c r="K25" s="1"/>
      <c r="L25" s="1"/>
      <c r="N25" s="7"/>
      <c r="O25">
        <f t="shared" si="4"/>
        <v>14.297500000000001</v>
      </c>
      <c r="P25" s="6">
        <f t="shared" si="5"/>
        <v>102.97764187244363</v>
      </c>
      <c r="Q25" s="6">
        <f t="shared" si="0"/>
        <v>17.282936250460878</v>
      </c>
      <c r="R25" s="6">
        <f t="shared" si="1"/>
        <v>60.305919442675417</v>
      </c>
      <c r="S25" s="10">
        <f t="shared" si="2"/>
        <v>4.1622376847536158</v>
      </c>
      <c r="T25" s="6">
        <f t="shared" si="6"/>
        <v>21.226548494553711</v>
      </c>
      <c r="U25" s="6">
        <f t="shared" si="6"/>
        <v>17.746553466710573</v>
      </c>
      <c r="V25" s="6">
        <f t="shared" si="6"/>
        <v>3.4799950278431426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964.02</v>
      </c>
      <c r="C26" s="8">
        <v>2.22501E-11</v>
      </c>
      <c r="D26" s="1">
        <v>1.8602199999999999E-11</v>
      </c>
      <c r="E26" s="1">
        <v>3.6479000000000002E-12</v>
      </c>
      <c r="F26" s="1">
        <v>4.5386E-13</v>
      </c>
      <c r="G26" s="1">
        <v>1.9952000000000001E-16</v>
      </c>
      <c r="H26" s="1">
        <v>2.2477E-11</v>
      </c>
      <c r="I26" s="1">
        <v>8.0456000000000004E-11</v>
      </c>
      <c r="J26" s="1">
        <v>5.5504999999999998E-12</v>
      </c>
      <c r="K26" s="1"/>
      <c r="L26" s="1"/>
      <c r="N26" s="7"/>
      <c r="O26">
        <f t="shared" si="4"/>
        <v>16.067</v>
      </c>
      <c r="P26" s="6">
        <f t="shared" si="5"/>
        <v>103.00588949797591</v>
      </c>
      <c r="Q26" s="6">
        <f t="shared" si="0"/>
        <v>18.004846186721238</v>
      </c>
      <c r="R26" s="6">
        <f t="shared" si="1"/>
        <v>63.172576044934871</v>
      </c>
      <c r="S26" s="10">
        <f t="shared" si="2"/>
        <v>4.3581400243774642</v>
      </c>
      <c r="T26" s="6">
        <f t="shared" si="6"/>
        <v>17.47032724194235</v>
      </c>
      <c r="U26" s="6">
        <f t="shared" si="6"/>
        <v>14.606070148900905</v>
      </c>
      <c r="V26" s="6">
        <f t="shared" si="6"/>
        <v>2.8642570930414473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1070.2</v>
      </c>
      <c r="C27" s="8">
        <v>1.8312699999999997E-11</v>
      </c>
      <c r="D27" s="1">
        <v>1.5310399999999998E-11</v>
      </c>
      <c r="E27" s="1">
        <v>3.0022999999999998E-12</v>
      </c>
      <c r="F27" s="1">
        <v>3.7353999999999999E-13</v>
      </c>
      <c r="G27" s="1">
        <v>1.6446999999999999E-16</v>
      </c>
      <c r="H27" s="1">
        <v>2.3314999999999999E-11</v>
      </c>
      <c r="I27" s="1">
        <v>8.3459000000000006E-11</v>
      </c>
      <c r="J27" s="1">
        <v>5.7558999999999997E-12</v>
      </c>
      <c r="K27" s="1"/>
      <c r="L27" s="1"/>
      <c r="N27" s="7"/>
      <c r="O27">
        <f t="shared" si="4"/>
        <v>17.836666666666666</v>
      </c>
      <c r="P27" s="6">
        <f t="shared" si="5"/>
        <v>103.02838093173709</v>
      </c>
      <c r="Q27" s="6">
        <f t="shared" si="0"/>
        <v>18.599761155403392</v>
      </c>
      <c r="R27" s="6">
        <f t="shared" si="1"/>
        <v>65.530443217333328</v>
      </c>
      <c r="S27" s="10">
        <f t="shared" si="2"/>
        <v>4.5194159384405452</v>
      </c>
      <c r="T27" s="6">
        <f t="shared" si="6"/>
        <v>14.378760620559802</v>
      </c>
      <c r="U27" s="6">
        <f t="shared" si="6"/>
        <v>12.021415553414778</v>
      </c>
      <c r="V27" s="6">
        <f t="shared" si="6"/>
        <v>2.3573450671450251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1176.4000000000001</v>
      </c>
      <c r="C28" s="8">
        <v>1.5071810000000001E-11</v>
      </c>
      <c r="D28" s="1">
        <v>1.2600910000000001E-11</v>
      </c>
      <c r="E28" s="1">
        <v>2.4708999999999999E-12</v>
      </c>
      <c r="F28" s="1">
        <v>3.0742999999999998E-13</v>
      </c>
      <c r="G28" s="1">
        <v>1.3578000000000001E-16</v>
      </c>
      <c r="H28" s="1">
        <v>2.4004E-11</v>
      </c>
      <c r="I28" s="1">
        <v>8.5931999999999999E-11</v>
      </c>
      <c r="J28" s="1">
        <v>5.9249000000000003E-12</v>
      </c>
      <c r="K28" s="1"/>
      <c r="L28" s="1"/>
      <c r="N28" s="7"/>
      <c r="O28">
        <f t="shared" si="4"/>
        <v>19.606666666666669</v>
      </c>
      <c r="P28" s="6">
        <f t="shared" si="5"/>
        <v>103.04720271816133</v>
      </c>
      <c r="Q28" s="6">
        <f t="shared" si="0"/>
        <v>19.088841749905601</v>
      </c>
      <c r="R28" s="6">
        <f t="shared" si="1"/>
        <v>67.472170132971215</v>
      </c>
      <c r="S28" s="10">
        <f t="shared" si="2"/>
        <v>4.6521113107709287</v>
      </c>
      <c r="T28" s="6">
        <f t="shared" si="6"/>
        <v>11.834079524513561</v>
      </c>
      <c r="U28" s="6">
        <f t="shared" si="6"/>
        <v>9.8939789594772076</v>
      </c>
      <c r="V28" s="6">
        <f t="shared" si="6"/>
        <v>1.940100565036353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1282.5</v>
      </c>
      <c r="C29" s="8">
        <v>1.2404050000000001E-11</v>
      </c>
      <c r="D29" s="1">
        <v>1.037045E-11</v>
      </c>
      <c r="E29" s="1">
        <v>2.0336000000000001E-12</v>
      </c>
      <c r="F29" s="1">
        <v>2.5302000000000002E-13</v>
      </c>
      <c r="G29" s="1">
        <v>1.1166E-16</v>
      </c>
      <c r="H29" s="1">
        <v>2.4571000000000001E-11</v>
      </c>
      <c r="I29" s="1">
        <v>8.7966999999999995E-11</v>
      </c>
      <c r="J29" s="1">
        <v>6.064E-12</v>
      </c>
      <c r="K29" s="1"/>
      <c r="L29" s="1"/>
      <c r="N29" s="7"/>
      <c r="O29">
        <f t="shared" si="4"/>
        <v>21.375</v>
      </c>
      <c r="P29" s="6">
        <f t="shared" si="5"/>
        <v>103.06204723168695</v>
      </c>
      <c r="Q29" s="6">
        <f t="shared" si="0"/>
        <v>19.491317021519986</v>
      </c>
      <c r="R29" s="6">
        <f t="shared" si="1"/>
        <v>69.069991920426546</v>
      </c>
      <c r="S29" s="10">
        <f t="shared" si="2"/>
        <v>4.7613298095351677</v>
      </c>
      <c r="T29" s="6">
        <f t="shared" si="6"/>
        <v>9.7394084802052596</v>
      </c>
      <c r="U29" s="6">
        <f t="shared" si="6"/>
        <v>8.1426670058202468</v>
      </c>
      <c r="V29" s="6">
        <f t="shared" si="6"/>
        <v>1.5967414743850126</v>
      </c>
      <c r="X29" s="5"/>
      <c r="Y29" s="5"/>
      <c r="Z29" s="5"/>
      <c r="AA29" s="5"/>
      <c r="AB29" s="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1388.7</v>
      </c>
      <c r="C30" s="8">
        <v>1.0208649999999999E-11</v>
      </c>
      <c r="D30" s="1">
        <v>8.5349499999999997E-12</v>
      </c>
      <c r="E30" s="1">
        <v>1.6737E-12</v>
      </c>
      <c r="F30" s="1">
        <v>2.0823000000000001E-13</v>
      </c>
      <c r="G30" s="1">
        <v>9.1568999999999997E-17</v>
      </c>
      <c r="H30" s="1">
        <v>2.5038000000000001E-11</v>
      </c>
      <c r="I30" s="1">
        <v>8.9640999999999996E-11</v>
      </c>
      <c r="J30" s="1">
        <v>6.1785E-12</v>
      </c>
      <c r="K30" s="1"/>
      <c r="L30" s="1"/>
      <c r="N30" s="7"/>
      <c r="O30">
        <f t="shared" si="4"/>
        <v>23.145</v>
      </c>
      <c r="P30" s="6">
        <f t="shared" si="5"/>
        <v>103.07405255812276</v>
      </c>
      <c r="Q30" s="6">
        <f t="shared" si="0"/>
        <v>19.822827750227741</v>
      </c>
      <c r="R30" s="6">
        <f t="shared" si="1"/>
        <v>70.384366993197773</v>
      </c>
      <c r="S30" s="10">
        <f t="shared" si="2"/>
        <v>4.8512328872382966</v>
      </c>
      <c r="T30" s="6">
        <f t="shared" si="6"/>
        <v>8.015624927458969</v>
      </c>
      <c r="U30" s="6">
        <f t="shared" si="6"/>
        <v>6.7014696335574166</v>
      </c>
      <c r="V30" s="6">
        <f t="shared" si="6"/>
        <v>1.3141552939015517</v>
      </c>
      <c r="X30" s="5"/>
      <c r="Y30" s="5"/>
      <c r="Z30" s="5"/>
      <c r="AA30" s="5"/>
      <c r="AB30" s="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1494.9</v>
      </c>
      <c r="C31" s="8">
        <v>8.4017000000000004E-12</v>
      </c>
      <c r="D31" s="1">
        <v>7.0243000000000003E-12</v>
      </c>
      <c r="E31" s="1">
        <v>1.3774E-12</v>
      </c>
      <c r="F31" s="1">
        <v>1.7138E-13</v>
      </c>
      <c r="G31" s="1">
        <v>7.5228999999999999E-17</v>
      </c>
      <c r="H31" s="1">
        <v>2.5421999999999999E-11</v>
      </c>
      <c r="I31" s="1">
        <v>9.1019000000000004E-11</v>
      </c>
      <c r="J31" s="1">
        <v>6.2727000000000001E-12</v>
      </c>
      <c r="K31" s="1"/>
      <c r="L31" s="1"/>
      <c r="N31" s="7"/>
      <c r="O31">
        <f t="shared" si="4"/>
        <v>24.915000000000003</v>
      </c>
      <c r="P31" s="6">
        <f t="shared" si="5"/>
        <v>103.08377595678853</v>
      </c>
      <c r="Q31" s="6">
        <f t="shared" si="0"/>
        <v>20.095402889307579</v>
      </c>
      <c r="R31" s="6">
        <f t="shared" si="1"/>
        <v>71.466331814670454</v>
      </c>
      <c r="S31" s="10">
        <f t="shared" si="2"/>
        <v>4.9251968166674214</v>
      </c>
      <c r="T31" s="6">
        <f t="shared" si="6"/>
        <v>6.5968444361430763</v>
      </c>
      <c r="U31" s="6">
        <f t="shared" si="6"/>
        <v>5.515337892664558</v>
      </c>
      <c r="V31" s="6">
        <f t="shared" si="6"/>
        <v>1.0815065434785189</v>
      </c>
      <c r="X31" s="5"/>
      <c r="Y31" s="68" t="s">
        <v>135</v>
      </c>
      <c r="Z31" s="69"/>
      <c r="AA31" s="70"/>
      <c r="AB31" s="71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1601</v>
      </c>
      <c r="C32" s="8">
        <v>6.9147100000000001E-12</v>
      </c>
      <c r="D32" s="1">
        <v>5.7811100000000002E-12</v>
      </c>
      <c r="E32" s="1">
        <v>1.1335999999999999E-12</v>
      </c>
      <c r="F32" s="1">
        <v>1.4104999999999999E-13</v>
      </c>
      <c r="G32" s="1">
        <v>6.2200000000000005E-17</v>
      </c>
      <c r="H32" s="1">
        <v>2.5737999999999999E-11</v>
      </c>
      <c r="I32" s="1">
        <v>9.2153999999999995E-11</v>
      </c>
      <c r="J32" s="1">
        <v>6.3502000000000001E-12</v>
      </c>
      <c r="K32" s="1"/>
      <c r="L32" s="1"/>
      <c r="N32" s="7"/>
      <c r="O32">
        <f t="shared" si="4"/>
        <v>26.683333333333334</v>
      </c>
      <c r="P32" s="6">
        <f t="shared" si="5"/>
        <v>103.09254403592844</v>
      </c>
      <c r="Q32" s="6">
        <f t="shared" si="0"/>
        <v>20.319705179329002</v>
      </c>
      <c r="R32" s="6">
        <f t="shared" si="1"/>
        <v>72.357500564415886</v>
      </c>
      <c r="S32" s="10">
        <f t="shared" si="2"/>
        <v>4.9860482448070949</v>
      </c>
      <c r="T32" s="6">
        <f t="shared" si="6"/>
        <v>5.4292900473764707</v>
      </c>
      <c r="U32" s="6">
        <f t="shared" si="6"/>
        <v>4.5392103191295927</v>
      </c>
      <c r="V32" s="6">
        <f t="shared" si="6"/>
        <v>0.89007972824687764</v>
      </c>
      <c r="X32" s="5"/>
      <c r="Y32" s="72"/>
      <c r="Z32" s="73"/>
      <c r="AA32" s="74"/>
      <c r="AB32" s="7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1707.2</v>
      </c>
      <c r="C33" s="8">
        <v>5.6908100000000001E-12</v>
      </c>
      <c r="D33" s="1">
        <v>4.75782E-12</v>
      </c>
      <c r="E33" s="1">
        <v>9.3299000000000005E-13</v>
      </c>
      <c r="F33" s="1">
        <v>1.1608E-13</v>
      </c>
      <c r="G33" s="1">
        <v>5.1200999999999997E-17</v>
      </c>
      <c r="H33" s="1">
        <v>2.5998E-11</v>
      </c>
      <c r="I33" s="1">
        <v>9.3086999999999999E-11</v>
      </c>
      <c r="J33" s="1">
        <v>6.4141000000000003E-12</v>
      </c>
      <c r="K33" s="1"/>
      <c r="L33" s="1"/>
      <c r="N33" s="7"/>
      <c r="O33" s="58">
        <f t="shared" si="4"/>
        <v>28.453333333333333</v>
      </c>
      <c r="P33" s="59">
        <f t="shared" si="5"/>
        <v>103.09884039287172</v>
      </c>
      <c r="Q33" s="59">
        <f t="shared" si="0"/>
        <v>20.504245968434386</v>
      </c>
      <c r="R33" s="59">
        <f t="shared" si="1"/>
        <v>73.090064605054039</v>
      </c>
      <c r="S33" s="10">
        <f t="shared" si="2"/>
        <v>5.0362212287829022</v>
      </c>
      <c r="T33" s="59">
        <f t="shared" si="6"/>
        <v>4.4683085906004001</v>
      </c>
      <c r="U33" s="59">
        <f t="shared" si="6"/>
        <v>3.7357437655677126</v>
      </c>
      <c r="V33" s="59">
        <f t="shared" si="6"/>
        <v>0.73256482503268738</v>
      </c>
      <c r="X33" s="5"/>
      <c r="Y33" s="76" t="s">
        <v>143</v>
      </c>
      <c r="Z33" s="73"/>
      <c r="AA33" s="74"/>
      <c r="AB33" s="7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1813.4</v>
      </c>
      <c r="C34" s="8">
        <v>4.6835500000000002E-12</v>
      </c>
      <c r="D34" s="1">
        <v>3.9157000000000004E-12</v>
      </c>
      <c r="E34" s="1">
        <v>7.6785E-13</v>
      </c>
      <c r="F34" s="1">
        <v>9.5536000000000003E-14</v>
      </c>
      <c r="G34" s="1">
        <v>4.1952999999999999E-17</v>
      </c>
      <c r="H34" s="1">
        <v>2.6212E-11</v>
      </c>
      <c r="I34" s="1">
        <v>9.3854999999999995E-11</v>
      </c>
      <c r="J34" s="1">
        <v>6.4665999999999999E-12</v>
      </c>
      <c r="K34" s="1"/>
      <c r="L34" s="1"/>
      <c r="N34" s="7"/>
      <c r="O34" s="58">
        <f t="shared" si="4"/>
        <v>30.223333333333336</v>
      </c>
      <c r="P34" s="59">
        <f t="shared" si="5"/>
        <v>103.10409069492097</v>
      </c>
      <c r="Q34" s="59">
        <f t="shared" si="0"/>
        <v>20.656143695946497</v>
      </c>
      <c r="R34" s="59">
        <f t="shared" si="1"/>
        <v>73.69307536708321</v>
      </c>
      <c r="S34" s="10">
        <f t="shared" si="2"/>
        <v>5.0774431639742925</v>
      </c>
      <c r="T34" s="59">
        <f t="shared" si="6"/>
        <v>3.677428467916958</v>
      </c>
      <c r="U34" s="59">
        <f t="shared" si="6"/>
        <v>3.0745282215034391</v>
      </c>
      <c r="V34" s="59">
        <f t="shared" si="6"/>
        <v>0.6029002464135188</v>
      </c>
      <c r="X34" s="5"/>
      <c r="Y34" s="76" t="s">
        <v>144</v>
      </c>
      <c r="Z34" s="73"/>
      <c r="AA34" s="74"/>
      <c r="AB34" s="7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x14ac:dyDescent="0.3">
      <c r="B35" s="7">
        <v>1919.5</v>
      </c>
      <c r="C35" s="8">
        <v>3.8546100000000003E-12</v>
      </c>
      <c r="D35" s="1">
        <v>3.2226600000000003E-12</v>
      </c>
      <c r="E35" s="1">
        <v>6.3195000000000005E-13</v>
      </c>
      <c r="F35" s="1">
        <v>7.8626000000000002E-14</v>
      </c>
      <c r="G35" s="1">
        <v>3.4569000000000001E-17</v>
      </c>
      <c r="H35" s="1">
        <v>2.6388000000000001E-11</v>
      </c>
      <c r="I35" s="1">
        <v>9.4487000000000002E-11</v>
      </c>
      <c r="J35" s="1">
        <v>6.5098000000000004E-12</v>
      </c>
      <c r="K35" s="1"/>
      <c r="L35" s="1"/>
      <c r="N35" s="7"/>
      <c r="O35" s="58">
        <f t="shared" si="4"/>
        <v>31.991666666666667</v>
      </c>
      <c r="P35" s="59">
        <f t="shared" si="5"/>
        <v>103.10828560864486</v>
      </c>
      <c r="Q35" s="59">
        <f t="shared" si="0"/>
        <v>20.78105793727218</v>
      </c>
      <c r="R35" s="59">
        <f t="shared" si="1"/>
        <v>74.189303151048733</v>
      </c>
      <c r="S35" s="10">
        <f t="shared" si="2"/>
        <v>5.1113629277889236</v>
      </c>
      <c r="T35" s="59">
        <f t="shared" si="6"/>
        <v>3.0265615925350184</v>
      </c>
      <c r="U35" s="59">
        <f t="shared" si="6"/>
        <v>2.5303672697883579</v>
      </c>
      <c r="V35" s="59">
        <f t="shared" si="6"/>
        <v>0.49619432274666042</v>
      </c>
      <c r="X35" s="5"/>
      <c r="Y35" s="76" t="s">
        <v>145</v>
      </c>
      <c r="Z35" s="73"/>
      <c r="AA35" s="74"/>
      <c r="AB35" s="7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x14ac:dyDescent="0.3">
      <c r="B36" s="7">
        <v>2025.7</v>
      </c>
      <c r="C36" s="8">
        <v>3.1723499999999999E-12</v>
      </c>
      <c r="D36" s="1">
        <v>2.6522499999999997E-12</v>
      </c>
      <c r="E36" s="1">
        <v>5.2009999999999997E-13</v>
      </c>
      <c r="F36" s="1">
        <v>6.4709999999999996E-14</v>
      </c>
      <c r="G36" s="1">
        <v>2.8518000000000002E-17</v>
      </c>
      <c r="H36" s="1">
        <v>2.6534E-11</v>
      </c>
      <c r="I36" s="1">
        <v>9.5007999999999999E-11</v>
      </c>
      <c r="J36" s="1">
        <v>6.5454E-12</v>
      </c>
      <c r="K36" s="1"/>
      <c r="L36" s="1"/>
      <c r="N36" s="7"/>
      <c r="O36" s="58">
        <f t="shared" si="4"/>
        <v>33.76166666666667</v>
      </c>
      <c r="P36" s="59">
        <f t="shared" si="5"/>
        <v>103.11332485203037</v>
      </c>
      <c r="Q36" s="59">
        <f t="shared" si="0"/>
        <v>20.884767615135413</v>
      </c>
      <c r="R36" s="59">
        <f t="shared" si="1"/>
        <v>74.598377032968457</v>
      </c>
      <c r="S36" s="10">
        <f t="shared" si="2"/>
        <v>5.1393153257472761</v>
      </c>
      <c r="T36" s="59">
        <f t="shared" si="6"/>
        <v>2.4908648781792362</v>
      </c>
      <c r="U36" s="59">
        <f t="shared" si="6"/>
        <v>2.082492906883187</v>
      </c>
      <c r="V36" s="59">
        <f t="shared" si="6"/>
        <v>0.40837197129604885</v>
      </c>
      <c r="X36" s="5"/>
      <c r="Y36" s="76" t="s">
        <v>146</v>
      </c>
      <c r="Z36" s="73"/>
      <c r="AA36" s="74"/>
      <c r="AB36" s="7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x14ac:dyDescent="0.3">
      <c r="B37" s="7">
        <v>2131.9</v>
      </c>
      <c r="C37" s="8">
        <v>2.6109199999999999E-12</v>
      </c>
      <c r="D37" s="1">
        <v>2.1828800000000001E-12</v>
      </c>
      <c r="E37" s="1">
        <v>4.2804000000000001E-13</v>
      </c>
      <c r="F37" s="1">
        <v>5.3257000000000002E-14</v>
      </c>
      <c r="G37" s="1">
        <v>2.3427999999999999E-17</v>
      </c>
      <c r="H37" s="1">
        <v>2.6653E-11</v>
      </c>
      <c r="I37" s="1">
        <v>9.5436E-11</v>
      </c>
      <c r="J37" s="1">
        <v>6.5747000000000002E-12</v>
      </c>
      <c r="K37" s="1"/>
      <c r="L37" s="1"/>
      <c r="N37" s="7"/>
      <c r="O37" s="58">
        <f t="shared" si="4"/>
        <v>35.531666666666666</v>
      </c>
      <c r="P37" s="59">
        <f t="shared" si="5"/>
        <v>103.11600381456178</v>
      </c>
      <c r="Q37" s="59">
        <f t="shared" si="0"/>
        <v>20.969211338259765</v>
      </c>
      <c r="R37" s="59">
        <f t="shared" si="1"/>
        <v>74.934429955678269</v>
      </c>
      <c r="S37" s="10">
        <f t="shared" si="2"/>
        <v>5.1623210914826627</v>
      </c>
      <c r="T37" s="59">
        <f t="shared" si="6"/>
        <v>2.0500414291410882</v>
      </c>
      <c r="U37" s="59">
        <f t="shared" si="6"/>
        <v>1.7139531026777912</v>
      </c>
      <c r="V37" s="59">
        <f t="shared" si="6"/>
        <v>0.336088326463297</v>
      </c>
      <c r="X37" s="5"/>
      <c r="Y37" s="72"/>
      <c r="Z37" s="73"/>
      <c r="AA37" s="74"/>
      <c r="AB37" s="75"/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x14ac:dyDescent="0.3">
      <c r="B38" s="7">
        <v>2238</v>
      </c>
      <c r="C38" s="8">
        <v>2.14874E-12</v>
      </c>
      <c r="D38" s="1">
        <v>1.79646E-12</v>
      </c>
      <c r="E38" s="1">
        <v>3.5227999999999999E-13</v>
      </c>
      <c r="F38" s="1">
        <v>4.3830000000000001E-14</v>
      </c>
      <c r="G38" s="1">
        <v>1.9279999999999999E-17</v>
      </c>
      <c r="H38" s="1">
        <v>2.6751E-11</v>
      </c>
      <c r="I38" s="1">
        <v>9.5789000000000004E-11</v>
      </c>
      <c r="J38" s="1">
        <v>6.5987999999999997E-12</v>
      </c>
      <c r="K38" s="1"/>
      <c r="L38" s="1"/>
      <c r="N38" s="7"/>
      <c r="O38" s="58">
        <f t="shared" si="4"/>
        <v>37.299999999999997</v>
      </c>
      <c r="P38" s="59">
        <f t="shared" si="5"/>
        <v>103.11874319039104</v>
      </c>
      <c r="Q38" s="59">
        <f t="shared" si="0"/>
        <v>21.038757061416096</v>
      </c>
      <c r="R38" s="59">
        <f t="shared" si="1"/>
        <v>75.211595139182535</v>
      </c>
      <c r="S38" s="10">
        <f t="shared" si="2"/>
        <v>5.1812439226848053</v>
      </c>
      <c r="T38" s="59">
        <f t="shared" si="6"/>
        <v>1.6871470671076181</v>
      </c>
      <c r="U38" s="59">
        <f t="shared" si="6"/>
        <v>1.4105439560747934</v>
      </c>
      <c r="V38" s="59">
        <f t="shared" si="6"/>
        <v>0.27660311103282464</v>
      </c>
      <c r="X38" s="5"/>
      <c r="Y38" s="72"/>
      <c r="Z38" s="73"/>
      <c r="AA38" s="74"/>
      <c r="AB38" s="75"/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2344.1999999999998</v>
      </c>
      <c r="C39" s="8">
        <v>1.7684899999999999E-12</v>
      </c>
      <c r="D39" s="1">
        <v>1.4785599999999999E-12</v>
      </c>
      <c r="E39" s="1">
        <v>2.8993000000000001E-13</v>
      </c>
      <c r="F39" s="1">
        <v>3.6073000000000001E-14</v>
      </c>
      <c r="G39" s="1">
        <v>1.5886E-17</v>
      </c>
      <c r="H39" s="1">
        <v>2.6832E-11</v>
      </c>
      <c r="I39" s="1">
        <v>9.6078999999999997E-11</v>
      </c>
      <c r="J39" s="1">
        <v>6.6186000000000001E-12</v>
      </c>
      <c r="K39" s="1"/>
      <c r="L39" s="1"/>
      <c r="N39" s="7"/>
      <c r="O39" s="58">
        <f t="shared" si="4"/>
        <v>39.07</v>
      </c>
      <c r="P39" s="59">
        <f t="shared" si="5"/>
        <v>103.12093353244327</v>
      </c>
      <c r="Q39" s="59">
        <f t="shared" si="0"/>
        <v>21.096265979496533</v>
      </c>
      <c r="R39" s="59">
        <f t="shared" si="1"/>
        <v>75.439294592482639</v>
      </c>
      <c r="S39" s="10">
        <f t="shared" si="2"/>
        <v>5.1967904810998444</v>
      </c>
      <c r="T39" s="59">
        <f t="shared" si="6"/>
        <v>1.3885824793642558</v>
      </c>
      <c r="U39" s="59">
        <f t="shared" si="6"/>
        <v>1.1609353237444453</v>
      </c>
      <c r="V39" s="59">
        <f t="shared" si="6"/>
        <v>0.22764715561981053</v>
      </c>
      <c r="X39" s="5"/>
      <c r="Y39" s="77" t="s">
        <v>141</v>
      </c>
      <c r="Z39" s="78" t="s">
        <v>136</v>
      </c>
      <c r="AA39" s="79"/>
      <c r="AB39" s="80">
        <v>0.21155670089363199</v>
      </c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2450.4</v>
      </c>
      <c r="C40" s="8">
        <v>1.4554419999999998E-12</v>
      </c>
      <c r="D40" s="1">
        <v>1.2168319999999999E-12</v>
      </c>
      <c r="E40" s="1">
        <v>2.3860999999999998E-13</v>
      </c>
      <c r="F40" s="1">
        <v>2.9687999999999998E-14</v>
      </c>
      <c r="G40" s="1">
        <v>1.3070999999999999E-17</v>
      </c>
      <c r="H40" s="1">
        <v>2.6899E-11</v>
      </c>
      <c r="I40" s="1">
        <v>9.6318000000000005E-11</v>
      </c>
      <c r="J40" s="1">
        <v>6.6349000000000003E-12</v>
      </c>
      <c r="K40" s="1"/>
      <c r="L40" s="1"/>
      <c r="N40" s="7"/>
      <c r="O40" s="58">
        <f t="shared" si="4"/>
        <v>40.840000000000003</v>
      </c>
      <c r="P40" s="59">
        <f t="shared" si="5"/>
        <v>103.12318243241367</v>
      </c>
      <c r="Q40" s="59">
        <f t="shared" si="0"/>
        <v>21.143859648098935</v>
      </c>
      <c r="R40" s="59">
        <f t="shared" si="1"/>
        <v>75.626950334787296</v>
      </c>
      <c r="S40" s="5">
        <f t="shared" si="2"/>
        <v>5.2095889105021245</v>
      </c>
      <c r="T40" s="59">
        <f t="shared" si="6"/>
        <v>1.1427835390253103</v>
      </c>
      <c r="U40" s="60">
        <f t="shared" si="6"/>
        <v>0.95543180652973225</v>
      </c>
      <c r="V40" s="60">
        <f t="shared" si="6"/>
        <v>0.18735173249557821</v>
      </c>
      <c r="X40" s="5"/>
      <c r="Y40" s="81"/>
      <c r="Z40" s="82" t="s">
        <v>137</v>
      </c>
      <c r="AA40" s="79"/>
      <c r="AB40" s="80">
        <v>21.3712029444576</v>
      </c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2556.5</v>
      </c>
      <c r="C41" s="8">
        <v>1.1978399999999999E-12</v>
      </c>
      <c r="D41" s="1">
        <v>1.0014599999999999E-12</v>
      </c>
      <c r="E41" s="1">
        <v>1.9637999999999999E-13</v>
      </c>
      <c r="F41" s="1">
        <v>2.4432999999999999E-14</v>
      </c>
      <c r="G41" s="1">
        <v>1.0747E-17</v>
      </c>
      <c r="H41" s="1">
        <v>2.6953000000000001E-11</v>
      </c>
      <c r="I41" s="1">
        <v>9.6513999999999994E-11</v>
      </c>
      <c r="J41" s="1">
        <v>6.6483999999999998E-12</v>
      </c>
      <c r="K41" s="1"/>
      <c r="L41" s="1"/>
      <c r="N41" s="7"/>
      <c r="O41" s="58">
        <f t="shared" si="4"/>
        <v>42.608333333333334</v>
      </c>
      <c r="P41" s="59">
        <f t="shared" si="5"/>
        <v>103.12368547821464</v>
      </c>
      <c r="Q41" s="59">
        <f t="shared" si="0"/>
        <v>21.182133233449495</v>
      </c>
      <c r="R41" s="59">
        <f t="shared" si="1"/>
        <v>75.780843734744153</v>
      </c>
      <c r="S41" s="5">
        <f t="shared" si="2"/>
        <v>5.220188836694196</v>
      </c>
      <c r="T41" s="59">
        <f t="shared" si="6"/>
        <v>0.94051967332678177</v>
      </c>
      <c r="U41" s="60">
        <f t="shared" si="6"/>
        <v>0.78632608031944051</v>
      </c>
      <c r="V41" s="60">
        <f t="shared" si="6"/>
        <v>0.15419359300734106</v>
      </c>
      <c r="X41" s="5"/>
      <c r="Y41" s="81"/>
      <c r="Z41" s="82" t="s">
        <v>138</v>
      </c>
      <c r="AA41" s="79"/>
      <c r="AB41" s="80">
        <v>7.7362113104622807E-2</v>
      </c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2662.7</v>
      </c>
      <c r="C42" s="8">
        <v>9.8583000000000005E-13</v>
      </c>
      <c r="D42" s="1">
        <v>8.2420999999999998E-13</v>
      </c>
      <c r="E42" s="1">
        <v>1.6162E-13</v>
      </c>
      <c r="F42" s="1">
        <v>2.0108999999999999E-14</v>
      </c>
      <c r="G42" s="1">
        <v>8.8511000000000006E-18</v>
      </c>
      <c r="H42" s="1">
        <v>2.6997999999999999E-11</v>
      </c>
      <c r="I42" s="1">
        <v>9.6676E-11</v>
      </c>
      <c r="J42" s="1">
        <v>6.6593999999999997E-12</v>
      </c>
      <c r="K42" s="1"/>
      <c r="L42" s="1"/>
      <c r="N42" s="7"/>
      <c r="O42" s="58">
        <f t="shared" si="4"/>
        <v>44.37833333333333</v>
      </c>
      <c r="P42" s="59">
        <f t="shared" si="5"/>
        <v>103.12499209900248</v>
      </c>
      <c r="Q42" s="59">
        <f t="shared" si="0"/>
        <v>21.214071203656065</v>
      </c>
      <c r="R42" s="59">
        <f t="shared" si="1"/>
        <v>75.908041360426807</v>
      </c>
      <c r="S42" s="5">
        <f t="shared" si="2"/>
        <v>5.2288258135914401</v>
      </c>
      <c r="T42" s="59">
        <f t="shared" si="6"/>
        <v>0.77405372132817507</v>
      </c>
      <c r="U42" s="60">
        <f t="shared" si="6"/>
        <v>0.6471529753161247</v>
      </c>
      <c r="V42" s="60">
        <f t="shared" si="6"/>
        <v>0.12690074601205042</v>
      </c>
      <c r="X42" s="5"/>
      <c r="Y42" s="81"/>
      <c r="Z42" s="82" t="s">
        <v>139</v>
      </c>
      <c r="AA42" s="79"/>
      <c r="AB42" s="80">
        <v>29.986854515468099</v>
      </c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2768.9</v>
      </c>
      <c r="C43" s="8">
        <v>8.1134700000000006E-13</v>
      </c>
      <c r="D43" s="8">
        <v>6.7832700000000008E-13</v>
      </c>
      <c r="E43" s="8">
        <v>1.3302E-13</v>
      </c>
      <c r="F43" s="1">
        <v>1.655E-14</v>
      </c>
      <c r="G43" s="1">
        <v>7.2756E-18</v>
      </c>
      <c r="H43" s="1">
        <v>2.7035E-11</v>
      </c>
      <c r="I43" s="1">
        <v>9.6809000000000004E-11</v>
      </c>
      <c r="J43" s="1">
        <v>6.6684999999999997E-12</v>
      </c>
      <c r="K43" s="1"/>
      <c r="L43" s="1"/>
      <c r="N43" s="7"/>
      <c r="O43" s="58">
        <f t="shared" si="4"/>
        <v>46.148333333333333</v>
      </c>
      <c r="P43" s="59">
        <f t="shared" si="5"/>
        <v>103.12582158209342</v>
      </c>
      <c r="Q43" s="59">
        <f t="shared" si="0"/>
        <v>21.240328398603406</v>
      </c>
      <c r="R43" s="59">
        <f t="shared" si="1"/>
        <v>76.012469025861009</v>
      </c>
      <c r="S43" s="5">
        <f t="shared" si="2"/>
        <v>5.2359709490246145</v>
      </c>
      <c r="T43" s="59">
        <f t="shared" si="6"/>
        <v>0.63705320860437498</v>
      </c>
      <c r="U43" s="60">
        <f t="shared" si="6"/>
        <v>0.53260860252515863</v>
      </c>
      <c r="V43" s="60">
        <f t="shared" si="6"/>
        <v>0.10444460607921635</v>
      </c>
      <c r="X43" s="5"/>
      <c r="Y43" s="81"/>
      <c r="Z43" s="82" t="s">
        <v>140</v>
      </c>
      <c r="AA43" s="79"/>
      <c r="AB43" s="80">
        <v>0.109070548346018</v>
      </c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2875</v>
      </c>
      <c r="C44" s="8">
        <v>6.6774000000000004E-13</v>
      </c>
      <c r="D44" s="8">
        <v>5.5827E-13</v>
      </c>
      <c r="E44" s="8">
        <v>1.0947E-13</v>
      </c>
      <c r="F44" s="1">
        <v>1.362E-14</v>
      </c>
      <c r="G44" s="1">
        <v>5.9882000000000002E-18</v>
      </c>
      <c r="H44" s="1">
        <v>2.7066000000000001E-11</v>
      </c>
      <c r="I44" s="1">
        <v>9.6917999999999996E-11</v>
      </c>
      <c r="J44" s="1">
        <v>6.6760000000000002E-12</v>
      </c>
      <c r="K44" s="1"/>
      <c r="L44" s="1"/>
      <c r="N44" s="7"/>
      <c r="O44" s="58">
        <f t="shared" si="4"/>
        <v>47.916666666666664</v>
      </c>
      <c r="P44" s="59">
        <f t="shared" si="5"/>
        <v>103.12657669932139</v>
      </c>
      <c r="Q44" s="59">
        <f t="shared" si="0"/>
        <v>21.262368393285737</v>
      </c>
      <c r="R44" s="59">
        <f t="shared" si="1"/>
        <v>76.098052604275139</v>
      </c>
      <c r="S44" s="5">
        <f t="shared" si="2"/>
        <v>5.2418597969090994</v>
      </c>
      <c r="T44" s="59">
        <f t="shared" ref="T44:V44" si="7">C44/$A$1*100</f>
        <v>0.5242959048514203</v>
      </c>
      <c r="U44" s="60">
        <f t="shared" si="7"/>
        <v>0.43834228112948515</v>
      </c>
      <c r="V44" s="60">
        <f t="shared" si="7"/>
        <v>8.5953623721935157E-2</v>
      </c>
      <c r="X44" s="5"/>
      <c r="Y44" s="81"/>
      <c r="Z44" s="103" t="s">
        <v>151</v>
      </c>
      <c r="AA44" s="85"/>
      <c r="AB44" s="109">
        <v>49.087129812530698</v>
      </c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2981.2</v>
      </c>
      <c r="C45" s="8">
        <v>5.4955099999999999E-13</v>
      </c>
      <c r="D45" s="8">
        <v>4.5945400000000001E-13</v>
      </c>
      <c r="E45" s="8">
        <v>9.0097E-14</v>
      </c>
      <c r="F45" s="1">
        <v>1.121E-14</v>
      </c>
      <c r="G45" s="1">
        <v>4.9388000000000003E-18</v>
      </c>
      <c r="H45" s="1">
        <v>2.7090999999999999E-11</v>
      </c>
      <c r="I45" s="1">
        <v>9.7008000000000005E-11</v>
      </c>
      <c r="J45" s="8">
        <v>6.6821999999999999E-12</v>
      </c>
      <c r="K45" s="1"/>
      <c r="L45" s="1"/>
      <c r="N45" s="7"/>
      <c r="O45" s="58">
        <f t="shared" ref="O45:O58" si="8">B45/60</f>
        <v>49.68666666666666</v>
      </c>
      <c r="P45" s="59">
        <f t="shared" ref="P45:P58" si="9">(SUM(F45:J45)+C45)/$A$1*100</f>
        <v>103.12704776836428</v>
      </c>
      <c r="Q45" s="59">
        <f t="shared" ref="Q45:Q58" si="10">(H45+F45)/$A$1*100</f>
        <v>21.280105603113803</v>
      </c>
      <c r="R45" s="59">
        <f t="shared" ref="R45:R58" si="11">(G45+I45)/$A$1*100</f>
        <v>76.168717954921377</v>
      </c>
      <c r="S45" s="5">
        <f t="shared" ref="S45:S58" si="12">J45/$A$1*100</f>
        <v>5.2467279111602725</v>
      </c>
      <c r="T45" s="59">
        <f t="shared" ref="T45:T58" si="13">C45/$A$1*100</f>
        <v>0.43149629916884247</v>
      </c>
      <c r="U45" s="60">
        <f t="shared" ref="U45:U58" si="14">D45/$A$1*100</f>
        <v>0.36075396212238964</v>
      </c>
      <c r="V45" s="60">
        <f t="shared" ref="V45:V58" si="15">E45/$A$1*100</f>
        <v>7.074233704645283E-2</v>
      </c>
      <c r="X45" s="5"/>
      <c r="Y45" s="81"/>
      <c r="Z45" s="103" t="s">
        <v>152</v>
      </c>
      <c r="AA45" s="85"/>
      <c r="AB45" s="109">
        <v>-29.986854515468099</v>
      </c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>
        <v>3087.4</v>
      </c>
      <c r="C46" s="8">
        <v>4.52286E-13</v>
      </c>
      <c r="D46" s="8">
        <v>3.7813600000000001E-13</v>
      </c>
      <c r="E46" s="8">
        <v>7.4150000000000005E-14</v>
      </c>
      <c r="F46" s="1">
        <v>9.2257E-15</v>
      </c>
      <c r="G46" s="1">
        <v>4.0616999999999997E-18</v>
      </c>
      <c r="H46" s="1">
        <v>2.7112000000000002E-11</v>
      </c>
      <c r="I46" s="1">
        <v>9.7083000000000002E-11</v>
      </c>
      <c r="J46" s="8">
        <v>6.6872E-12</v>
      </c>
      <c r="K46" s="1"/>
      <c r="L46" s="1"/>
      <c r="N46" s="7"/>
      <c r="O46" s="58">
        <f t="shared" si="8"/>
        <v>51.456666666666671</v>
      </c>
      <c r="P46" s="59">
        <f t="shared" si="9"/>
        <v>103.12842169381533</v>
      </c>
      <c r="Q46" s="59">
        <f t="shared" si="10"/>
        <v>21.29503634507607</v>
      </c>
      <c r="R46" s="59">
        <f t="shared" si="11"/>
        <v>76.227605745085086</v>
      </c>
      <c r="S46" s="5">
        <f t="shared" si="12"/>
        <v>5.2506538097499291</v>
      </c>
      <c r="T46" s="59">
        <f t="shared" si="13"/>
        <v>0.35512579390425836</v>
      </c>
      <c r="U46" s="60">
        <f t="shared" si="14"/>
        <v>0.29690471781965538</v>
      </c>
      <c r="V46" s="60">
        <f t="shared" si="15"/>
        <v>5.8221076084603016E-2</v>
      </c>
      <c r="X46" s="5"/>
      <c r="Y46" s="81"/>
      <c r="Z46" s="103" t="s">
        <v>153</v>
      </c>
      <c r="AA46" s="85"/>
      <c r="AB46" s="109">
        <v>2.1293506450209598</v>
      </c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3193.6</v>
      </c>
      <c r="C47" s="8">
        <v>3.7223299999999999E-13</v>
      </c>
      <c r="D47" s="8">
        <v>3.1120699999999998E-13</v>
      </c>
      <c r="E47" s="8">
        <v>6.1025999999999994E-14</v>
      </c>
      <c r="F47" s="1">
        <v>7.5927999999999998E-15</v>
      </c>
      <c r="G47" s="1">
        <v>3.3387999999999999E-18</v>
      </c>
      <c r="H47" s="1">
        <v>2.7128999999999999E-11</v>
      </c>
      <c r="I47" s="1">
        <v>9.7143999999999996E-11</v>
      </c>
      <c r="J47" s="8">
        <v>6.6914000000000003E-12</v>
      </c>
      <c r="K47" s="1"/>
      <c r="L47" s="1"/>
      <c r="N47" s="7"/>
      <c r="O47" s="58">
        <f t="shared" si="8"/>
        <v>53.226666666666667</v>
      </c>
      <c r="P47" s="59">
        <f t="shared" si="9"/>
        <v>103.12882478710192</v>
      </c>
      <c r="Q47" s="59">
        <f t="shared" si="10"/>
        <v>21.307102280319491</v>
      </c>
      <c r="R47" s="59">
        <f t="shared" si="11"/>
        <v>76.275501140272468</v>
      </c>
      <c r="S47" s="5">
        <f t="shared" si="12"/>
        <v>5.2539515645652406</v>
      </c>
      <c r="T47" s="59">
        <f t="shared" si="13"/>
        <v>0.29226980194470714</v>
      </c>
      <c r="U47" s="60">
        <f t="shared" si="14"/>
        <v>0.24435342447823397</v>
      </c>
      <c r="V47" s="60">
        <f t="shared" si="15"/>
        <v>4.7916377466473134E-2</v>
      </c>
      <c r="X47" s="5"/>
      <c r="Y47" s="81"/>
      <c r="Z47" s="103" t="s">
        <v>154</v>
      </c>
      <c r="AA47" s="85"/>
      <c r="AB47" s="109">
        <v>-0.109070548346018</v>
      </c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x14ac:dyDescent="0.3">
      <c r="B48" s="7">
        <v>3299.7</v>
      </c>
      <c r="C48" s="8">
        <v>3.0635300000000002E-13</v>
      </c>
      <c r="D48" s="8">
        <v>2.56128E-13</v>
      </c>
      <c r="E48" s="8">
        <v>5.0225000000000002E-14</v>
      </c>
      <c r="F48" s="1">
        <v>6.2489000000000002E-15</v>
      </c>
      <c r="G48" s="1">
        <v>2.7540000000000001E-18</v>
      </c>
      <c r="H48" s="1">
        <v>2.7142999999999999E-11</v>
      </c>
      <c r="I48" s="1">
        <v>9.7193999999999998E-11</v>
      </c>
      <c r="J48" s="8">
        <v>6.6948999999999997E-12</v>
      </c>
      <c r="K48" s="1"/>
      <c r="L48" s="1"/>
      <c r="N48" s="7"/>
      <c r="O48" s="58">
        <f t="shared" si="8"/>
        <v>54.994999999999997</v>
      </c>
      <c r="P48" s="59">
        <f t="shared" si="9"/>
        <v>103.12904111604892</v>
      </c>
      <c r="Q48" s="59">
        <f t="shared" si="10"/>
        <v>21.317039593347602</v>
      </c>
      <c r="R48" s="59">
        <f t="shared" si="11"/>
        <v>76.31475966699594</v>
      </c>
      <c r="S48" s="5">
        <f t="shared" si="12"/>
        <v>5.2566996935779997</v>
      </c>
      <c r="T48" s="59">
        <f t="shared" si="13"/>
        <v>0.24054216212739563</v>
      </c>
      <c r="U48" s="60">
        <f t="shared" si="14"/>
        <v>0.20110651079429803</v>
      </c>
      <c r="V48" s="60">
        <f t="shared" si="15"/>
        <v>3.9435651333097586E-2</v>
      </c>
      <c r="X48" s="5"/>
      <c r="Y48" s="81"/>
      <c r="Z48" s="101"/>
      <c r="AA48" s="83"/>
      <c r="AB48" s="110"/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2:65" ht="18.75" x14ac:dyDescent="0.3">
      <c r="B49">
        <v>3405.9</v>
      </c>
      <c r="C49">
        <v>2.5213099999999998E-13</v>
      </c>
      <c r="D49">
        <v>2.1079599999999998E-13</v>
      </c>
      <c r="E49">
        <v>4.1335000000000001E-14</v>
      </c>
      <c r="F49" s="1">
        <v>5.1429E-15</v>
      </c>
      <c r="G49" s="1">
        <v>2.2675000000000001E-18</v>
      </c>
      <c r="H49" s="1">
        <v>2.7154E-11</v>
      </c>
      <c r="I49" s="1">
        <v>9.7235000000000001E-11</v>
      </c>
      <c r="J49" s="1">
        <v>6.6976999999999996E-12</v>
      </c>
      <c r="N49" s="7"/>
      <c r="O49" s="58">
        <f t="shared" si="8"/>
        <v>56.765000000000001</v>
      </c>
      <c r="P49" s="59">
        <f t="shared" si="9"/>
        <v>103.12862615916791</v>
      </c>
      <c r="Q49" s="59">
        <f t="shared" si="10"/>
        <v>21.324808161476813</v>
      </c>
      <c r="R49" s="59">
        <f t="shared" si="11"/>
        <v>76.346951653441181</v>
      </c>
      <c r="S49" s="5">
        <f t="shared" si="12"/>
        <v>5.2588981967882074</v>
      </c>
      <c r="T49" s="59">
        <f t="shared" si="13"/>
        <v>0.19796814746172678</v>
      </c>
      <c r="U49" s="60">
        <f t="shared" si="14"/>
        <v>0.16551274382103809</v>
      </c>
      <c r="V49" s="60">
        <f t="shared" si="15"/>
        <v>3.2455403640688676E-2</v>
      </c>
      <c r="X49" s="5"/>
      <c r="Y49" s="77" t="s">
        <v>142</v>
      </c>
      <c r="Z49" s="102" t="s">
        <v>136</v>
      </c>
      <c r="AA49" s="83"/>
      <c r="AB49" s="111">
        <v>4.5448892352319596E-12</v>
      </c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2:65" ht="18.75" x14ac:dyDescent="0.3">
      <c r="B50">
        <v>3512.1</v>
      </c>
      <c r="C50">
        <v>2.0750599999999998E-13</v>
      </c>
      <c r="D50">
        <v>1.7348699999999999E-13</v>
      </c>
      <c r="E50">
        <v>3.4019E-14</v>
      </c>
      <c r="F50" s="1">
        <v>4.2326000000000002E-15</v>
      </c>
      <c r="G50" s="1">
        <v>1.8631999999999998E-18</v>
      </c>
      <c r="H50" s="1">
        <v>2.7163999999999999E-11</v>
      </c>
      <c r="I50" s="1">
        <v>9.7268999999999995E-11</v>
      </c>
      <c r="J50" s="1">
        <v>6.7000000000000001E-12</v>
      </c>
      <c r="N50" s="7"/>
      <c r="O50">
        <f t="shared" si="8"/>
        <v>58.534999999999997</v>
      </c>
      <c r="P50" s="6">
        <f t="shared" si="9"/>
        <v>103.12922626865009</v>
      </c>
      <c r="Q50" s="6">
        <f t="shared" si="10"/>
        <v>21.331945209558892</v>
      </c>
      <c r="R50" s="6">
        <f t="shared" si="11"/>
        <v>76.373647446402686</v>
      </c>
      <c r="S50" s="56">
        <f t="shared" si="12"/>
        <v>5.2607041101394501</v>
      </c>
      <c r="T50" s="6">
        <f t="shared" si="13"/>
        <v>0.16292950254904426</v>
      </c>
      <c r="U50" s="1">
        <f t="shared" si="14"/>
        <v>0.13621847372474069</v>
      </c>
      <c r="V50" s="1">
        <f t="shared" si="15"/>
        <v>2.6711028824303571E-2</v>
      </c>
      <c r="X50" s="5"/>
      <c r="Y50" s="81"/>
      <c r="Z50" s="102" t="s">
        <v>137</v>
      </c>
      <c r="AA50" s="83"/>
      <c r="AB50" s="111">
        <v>76.536037528822703</v>
      </c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2:65" ht="18.75" x14ac:dyDescent="0.3">
      <c r="B51">
        <v>3618.2</v>
      </c>
      <c r="C51">
        <v>1.7078000000000001E-13</v>
      </c>
      <c r="D51">
        <v>1.4278199999999999E-13</v>
      </c>
      <c r="E51">
        <v>2.7998000000000001E-14</v>
      </c>
      <c r="F51" s="1">
        <v>3.4834999999999999E-15</v>
      </c>
      <c r="G51" s="1">
        <v>1.5371000000000001E-18</v>
      </c>
      <c r="H51" s="1">
        <v>2.7171999999999999E-11</v>
      </c>
      <c r="I51" s="1">
        <v>9.7297000000000003E-11</v>
      </c>
      <c r="J51" s="1">
        <v>6.7018999999999999E-12</v>
      </c>
      <c r="N51" s="7"/>
      <c r="O51">
        <f t="shared" si="8"/>
        <v>60.303333333333327</v>
      </c>
      <c r="P51" s="6">
        <f t="shared" si="9"/>
        <v>103.12955963546511</v>
      </c>
      <c r="Q51" s="6">
        <f t="shared" si="10"/>
        <v>21.337638469175641</v>
      </c>
      <c r="R51" s="6">
        <f t="shared" si="11"/>
        <v>76.39563222245765</v>
      </c>
      <c r="S51" s="56">
        <f t="shared" si="12"/>
        <v>5.2621959516035188</v>
      </c>
      <c r="T51" s="6">
        <f t="shared" si="13"/>
        <v>0.13409299222830079</v>
      </c>
      <c r="U51" s="1">
        <f t="shared" si="14"/>
        <v>0.11210953048566132</v>
      </c>
      <c r="V51" s="1">
        <f t="shared" si="15"/>
        <v>2.1983461742639449E-2</v>
      </c>
      <c r="X51" s="5"/>
      <c r="Y51" s="81"/>
      <c r="Z51" s="102" t="s">
        <v>138</v>
      </c>
      <c r="AA51" s="83"/>
      <c r="AB51" s="111">
        <v>-1.0197570682404599E-2</v>
      </c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2:65" ht="18.75" x14ac:dyDescent="0.3">
      <c r="B52">
        <v>3724.4</v>
      </c>
      <c r="C52">
        <v>1.405508E-13</v>
      </c>
      <c r="D52">
        <v>1.1750880000000001E-13</v>
      </c>
      <c r="E52">
        <v>2.3041999999999999E-14</v>
      </c>
      <c r="F52" s="1">
        <v>2.8669000000000001E-15</v>
      </c>
      <c r="G52" s="1">
        <v>1.2679999999999999E-18</v>
      </c>
      <c r="H52" s="1">
        <v>2.7177999999999999E-11</v>
      </c>
      <c r="I52" s="1">
        <v>9.7320000000000006E-11</v>
      </c>
      <c r="J52" s="1">
        <v>6.7035000000000003E-12</v>
      </c>
      <c r="N52" s="7"/>
      <c r="O52">
        <f t="shared" si="8"/>
        <v>62.073333333333338</v>
      </c>
      <c r="P52" s="6">
        <f t="shared" si="9"/>
        <v>103.12936642699859</v>
      </c>
      <c r="Q52" s="6">
        <f t="shared" si="10"/>
        <v>21.34186540566915</v>
      </c>
      <c r="R52" s="6">
        <f t="shared" si="11"/>
        <v>76.413691144678225</v>
      </c>
      <c r="S52" s="56">
        <f t="shared" si="12"/>
        <v>5.2634522391522092</v>
      </c>
      <c r="T52" s="6">
        <f t="shared" si="13"/>
        <v>0.11035763749901309</v>
      </c>
      <c r="U52" s="1">
        <f t="shared" si="14"/>
        <v>9.2265526438440992E-2</v>
      </c>
      <c r="V52" s="1">
        <f t="shared" si="15"/>
        <v>1.8092111060572118E-2</v>
      </c>
      <c r="X52" s="5"/>
      <c r="Y52" s="81"/>
      <c r="Z52" s="102" t="s">
        <v>139</v>
      </c>
      <c r="AA52" s="83"/>
      <c r="AB52" s="111">
        <v>8.6057283760173906</v>
      </c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2:65" ht="18.75" x14ac:dyDescent="0.3">
      <c r="B53">
        <v>3830.6</v>
      </c>
      <c r="C53">
        <v>1.1567300000000002E-13</v>
      </c>
      <c r="D53">
        <v>9.6709000000000002E-14</v>
      </c>
      <c r="E53">
        <v>1.8964000000000001E-14</v>
      </c>
      <c r="F53" s="1">
        <v>2.3595000000000002E-15</v>
      </c>
      <c r="G53" s="1">
        <v>1.0435000000000001E-18</v>
      </c>
      <c r="H53" s="1">
        <v>2.7183E-11</v>
      </c>
      <c r="I53" s="1">
        <v>9.7339000000000001E-11</v>
      </c>
      <c r="J53" s="1">
        <v>6.7048000000000003E-12</v>
      </c>
      <c r="N53" s="7"/>
      <c r="O53">
        <f t="shared" si="8"/>
        <v>63.843333333333334</v>
      </c>
      <c r="P53" s="6">
        <f t="shared" si="9"/>
        <v>103.12929935341376</v>
      </c>
      <c r="Q53" s="6">
        <f t="shared" si="10"/>
        <v>21.345392904069929</v>
      </c>
      <c r="R53" s="6">
        <f t="shared" si="11"/>
        <v>76.428609383046066</v>
      </c>
      <c r="S53" s="56">
        <f t="shared" si="12"/>
        <v>5.2644729727855193</v>
      </c>
      <c r="T53" s="6">
        <f t="shared" si="13"/>
        <v>9.0824093512262782E-2</v>
      </c>
      <c r="U53" s="1">
        <f t="shared" si="14"/>
        <v>7.593394534141433E-2</v>
      </c>
      <c r="V53" s="1">
        <f t="shared" si="15"/>
        <v>1.4890148170848435E-2</v>
      </c>
      <c r="X53" s="5"/>
      <c r="Y53" s="81"/>
      <c r="Z53" s="102" t="s">
        <v>140</v>
      </c>
      <c r="AA53" s="83"/>
      <c r="AB53" s="111">
        <v>0.108862952910164</v>
      </c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2:65" ht="18.75" x14ac:dyDescent="0.3">
      <c r="B54">
        <v>3936.7</v>
      </c>
      <c r="C54">
        <v>9.520030000000001E-14</v>
      </c>
      <c r="D54">
        <v>7.9592300000000007E-14</v>
      </c>
      <c r="E54">
        <v>1.5608E-14</v>
      </c>
      <c r="F54" s="1">
        <v>1.9418999999999999E-15</v>
      </c>
      <c r="G54" s="1">
        <v>8.6109999999999999E-19</v>
      </c>
      <c r="H54" s="1">
        <v>2.7188000000000001E-11</v>
      </c>
      <c r="I54" s="1">
        <v>9.7354999999999996E-11</v>
      </c>
      <c r="J54" s="1">
        <v>6.7059000000000003E-12</v>
      </c>
      <c r="N54" s="7"/>
      <c r="O54">
        <f t="shared" si="8"/>
        <v>65.611666666666665</v>
      </c>
      <c r="P54" s="6">
        <f t="shared" si="9"/>
        <v>103.13024904210178</v>
      </c>
      <c r="Q54" s="6">
        <f t="shared" si="10"/>
        <v>21.348990911609377</v>
      </c>
      <c r="R54" s="6">
        <f t="shared" si="11"/>
        <v>76.441172115316164</v>
      </c>
      <c r="S54" s="56">
        <f t="shared" si="12"/>
        <v>5.2653366704752438</v>
      </c>
      <c r="T54" s="6">
        <f t="shared" si="13"/>
        <v>7.4749344700971443E-2</v>
      </c>
      <c r="U54" s="1">
        <f t="shared" si="14"/>
        <v>6.2494259663500321E-2</v>
      </c>
      <c r="V54" s="1">
        <f t="shared" si="15"/>
        <v>1.2255085037471124E-2</v>
      </c>
      <c r="X54" s="5"/>
      <c r="Y54" s="81"/>
      <c r="Z54" s="103" t="s">
        <v>151</v>
      </c>
      <c r="AA54" s="86"/>
      <c r="AB54" s="109">
        <v>-6.7166131034610199</v>
      </c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2:65" ht="18.75" x14ac:dyDescent="0.3">
      <c r="B55">
        <v>4042.9</v>
      </c>
      <c r="C55">
        <v>7.8349899999999995E-14</v>
      </c>
      <c r="D55">
        <v>6.55049E-14</v>
      </c>
      <c r="E55">
        <v>1.2844999999999999E-14</v>
      </c>
      <c r="F55" s="1">
        <v>1.5982E-15</v>
      </c>
      <c r="G55" s="1">
        <v>7.1210000000000005E-19</v>
      </c>
      <c r="H55" s="1">
        <v>2.7191000000000001E-11</v>
      </c>
      <c r="I55" s="1">
        <v>9.7368000000000004E-11</v>
      </c>
      <c r="J55" s="1">
        <v>6.7067000000000001E-12</v>
      </c>
      <c r="N55" s="7"/>
      <c r="O55">
        <f t="shared" si="8"/>
        <v>67.381666666666675</v>
      </c>
      <c r="P55" s="6">
        <f t="shared" si="9"/>
        <v>103.12993948578317</v>
      </c>
      <c r="Q55" s="6">
        <f t="shared" si="10"/>
        <v>21.351076584494116</v>
      </c>
      <c r="R55" s="6">
        <f t="shared" si="11"/>
        <v>76.451379334657503</v>
      </c>
      <c r="S55" s="56">
        <f t="shared" si="12"/>
        <v>5.265964814249589</v>
      </c>
      <c r="T55" s="6">
        <f t="shared" si="13"/>
        <v>6.1518752381942515E-2</v>
      </c>
      <c r="U55" s="1">
        <f t="shared" si="14"/>
        <v>5.1433118905115462E-2</v>
      </c>
      <c r="V55" s="1">
        <f t="shared" si="15"/>
        <v>1.0085633476827048E-2</v>
      </c>
      <c r="X55" s="5"/>
      <c r="Y55" s="81"/>
      <c r="Z55" s="103" t="s">
        <v>152</v>
      </c>
      <c r="AA55" s="86"/>
      <c r="AB55" s="109">
        <v>-8.6057283760173906</v>
      </c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2:65" ht="18.75" x14ac:dyDescent="0.3">
      <c r="B56">
        <v>4149.1000000000004</v>
      </c>
      <c r="C56">
        <v>6.4483199999999998E-14</v>
      </c>
      <c r="D56">
        <v>5.3911199999999999E-14</v>
      </c>
      <c r="E56">
        <v>1.0572000000000001E-14</v>
      </c>
      <c r="F56" s="1">
        <v>1.3153000000000001E-15</v>
      </c>
      <c r="G56" s="1">
        <v>5.8664999999999998E-19</v>
      </c>
      <c r="H56" s="1">
        <v>2.7194000000000001E-11</v>
      </c>
      <c r="I56" s="1">
        <v>9.7378999999999995E-11</v>
      </c>
      <c r="J56" s="1">
        <v>6.7074999999999998E-12</v>
      </c>
      <c r="N56" s="7"/>
      <c r="O56">
        <f t="shared" si="8"/>
        <v>69.151666666666671</v>
      </c>
      <c r="P56" s="6">
        <f t="shared" si="9"/>
        <v>103.1304500681709</v>
      </c>
      <c r="Q56" s="6">
        <f t="shared" si="10"/>
        <v>21.353209996305711</v>
      </c>
      <c r="R56" s="6">
        <f t="shared" si="11"/>
        <v>76.460016213053947</v>
      </c>
      <c r="S56" s="56">
        <f t="shared" si="12"/>
        <v>5.2665929580239332</v>
      </c>
      <c r="T56" s="6">
        <f t="shared" si="13"/>
        <v>5.0630900787305096E-2</v>
      </c>
      <c r="U56" s="1">
        <f t="shared" si="14"/>
        <v>4.2329980809335803E-2</v>
      </c>
      <c r="V56" s="1">
        <f t="shared" si="15"/>
        <v>8.3009199779692927E-3</v>
      </c>
      <c r="X56" s="5"/>
      <c r="Y56" s="81"/>
      <c r="Z56" s="103" t="s">
        <v>153</v>
      </c>
      <c r="AA56" s="86"/>
      <c r="AB56" s="109">
        <v>8.4169045868083607</v>
      </c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2:65" ht="18.75" x14ac:dyDescent="0.3">
      <c r="B57">
        <v>4255.2</v>
      </c>
      <c r="C57">
        <v>5.3070499999999993E-14</v>
      </c>
      <c r="D57">
        <v>4.4369899999999997E-14</v>
      </c>
      <c r="E57">
        <v>8.7005999999999994E-15</v>
      </c>
      <c r="F57" s="1">
        <v>1.0824999999999999E-15</v>
      </c>
      <c r="G57" s="1">
        <v>4.8547000000000004E-19</v>
      </c>
      <c r="H57" s="1">
        <v>2.7197000000000001E-11</v>
      </c>
      <c r="I57" s="1">
        <v>9.7386999999999999E-11</v>
      </c>
      <c r="J57" s="1">
        <v>6.7080999999999997E-12</v>
      </c>
      <c r="N57" s="7"/>
      <c r="O57">
        <f t="shared" si="8"/>
        <v>70.92</v>
      </c>
      <c r="P57" s="6">
        <f t="shared" si="9"/>
        <v>103.13041426304925</v>
      </c>
      <c r="Q57" s="6">
        <f t="shared" si="10"/>
        <v>21.355382745621171</v>
      </c>
      <c r="R57" s="6">
        <f t="shared" si="11"/>
        <v>76.466297571352925</v>
      </c>
      <c r="S57" s="56">
        <f t="shared" si="12"/>
        <v>5.2670640658546919</v>
      </c>
      <c r="T57" s="6">
        <f t="shared" si="13"/>
        <v>4.1669880220470981E-2</v>
      </c>
      <c r="U57" s="1">
        <f t="shared" si="14"/>
        <v>3.4838345566638257E-2</v>
      </c>
      <c r="V57" s="1">
        <f t="shared" si="15"/>
        <v>6.8315346538327304E-3</v>
      </c>
      <c r="X57" s="5"/>
      <c r="Y57" s="84"/>
      <c r="Z57" s="104" t="s">
        <v>154</v>
      </c>
      <c r="AA57" s="87"/>
      <c r="AB57" s="112">
        <v>-0.108862952910164</v>
      </c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2:65" x14ac:dyDescent="0.3">
      <c r="B58">
        <v>4320</v>
      </c>
      <c r="C58">
        <v>4.7100000000000003E-14</v>
      </c>
      <c r="D58">
        <v>3.9378200000000001E-14</v>
      </c>
      <c r="E58">
        <v>7.7218000000000002E-15</v>
      </c>
      <c r="F58" s="1">
        <v>9.6073999999999991E-16</v>
      </c>
      <c r="G58" s="1">
        <v>4.3281999999999998E-19</v>
      </c>
      <c r="H58" s="1">
        <v>2.7197999999999999E-11</v>
      </c>
      <c r="I58" s="1">
        <v>9.7392000000000003E-11</v>
      </c>
      <c r="J58" s="1">
        <v>6.7084E-12</v>
      </c>
      <c r="N58" s="7"/>
      <c r="O58" s="51">
        <f t="shared" si="8"/>
        <v>72</v>
      </c>
      <c r="P58" s="52">
        <f t="shared" si="9"/>
        <v>103.13057733494415</v>
      </c>
      <c r="Q58" s="52">
        <f t="shared" si="10"/>
        <v>21.356072321856644</v>
      </c>
      <c r="R58" s="52">
        <f t="shared" si="11"/>
        <v>76.470223428602864</v>
      </c>
      <c r="S58" s="53">
        <f t="shared" si="12"/>
        <v>5.2672996197700712</v>
      </c>
      <c r="T58" s="52">
        <f t="shared" si="13"/>
        <v>3.6981964714562401E-2</v>
      </c>
      <c r="U58" s="54">
        <f t="shared" si="14"/>
        <v>3.0918963968640786E-2</v>
      </c>
      <c r="V58" s="54">
        <f t="shared" si="15"/>
        <v>6.0630007459216116E-3</v>
      </c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2:65" x14ac:dyDescent="0.3">
      <c r="N59" s="7"/>
      <c r="O59" s="1"/>
      <c r="P59" s="6"/>
      <c r="Q59" s="6"/>
      <c r="R59" s="6"/>
      <c r="S59" s="5"/>
      <c r="T59" s="6"/>
      <c r="U59" s="1"/>
      <c r="V59" s="1"/>
      <c r="X59" s="5"/>
      <c r="Y59" s="5"/>
      <c r="Z59" s="67" t="s">
        <v>148</v>
      </c>
      <c r="AA59" s="95">
        <v>8973.7743828574494</v>
      </c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2:65" x14ac:dyDescent="0.3">
      <c r="N60" s="7"/>
      <c r="O60" s="1"/>
      <c r="P60" s="6"/>
      <c r="Q60" s="6"/>
      <c r="R60" s="6"/>
      <c r="S60" s="5"/>
      <c r="T60" s="6"/>
      <c r="U60" s="1"/>
      <c r="V60" s="1"/>
      <c r="X60" s="5"/>
      <c r="Y60" s="5"/>
      <c r="Z60" s="67" t="s">
        <v>149</v>
      </c>
      <c r="AA60" s="95">
        <v>8750.6314051102108</v>
      </c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2:65" ht="18.75" x14ac:dyDescent="0.3">
      <c r="N61" s="7"/>
      <c r="O61" s="1"/>
      <c r="P61" s="6"/>
      <c r="Q61" s="6"/>
      <c r="R61" s="6"/>
      <c r="S61" s="5"/>
      <c r="T61" s="6"/>
      <c r="U61" s="1"/>
      <c r="V61" s="1"/>
      <c r="X61" s="5"/>
      <c r="Y61" s="5"/>
      <c r="Z61" s="66" t="s">
        <v>150</v>
      </c>
      <c r="AA61" s="96">
        <f>AA60/AA59*100</f>
        <v>97.513387698118336</v>
      </c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2:65" x14ac:dyDescent="0.3">
      <c r="N62" s="7"/>
      <c r="O62" s="1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2:65" x14ac:dyDescent="0.3">
      <c r="N63" s="7"/>
      <c r="O63" s="1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2:65" x14ac:dyDescent="0.3">
      <c r="N64" s="7"/>
      <c r="O64" s="1"/>
      <c r="P64" s="6"/>
      <c r="Q64" s="6"/>
      <c r="R64" s="6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N65" s="7"/>
      <c r="O65" s="1"/>
      <c r="P65" s="6"/>
      <c r="Q65" s="6"/>
      <c r="R65" s="6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N66" s="7"/>
      <c r="O66" s="1"/>
      <c r="P66" s="6"/>
      <c r="Q66" s="6"/>
      <c r="R66" s="6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N67" s="7"/>
      <c r="O67" s="1"/>
      <c r="P67" s="6"/>
      <c r="Q67" s="6"/>
      <c r="R67" s="6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N68" s="7"/>
      <c r="O68" s="1"/>
      <c r="P68" s="6"/>
      <c r="Q68" s="6"/>
      <c r="R68" s="6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N69" s="7"/>
      <c r="O69" s="1"/>
      <c r="P69" s="6"/>
      <c r="Q69" s="6"/>
      <c r="R69" s="6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N70" s="7"/>
      <c r="O70" s="1"/>
      <c r="P70" s="6"/>
      <c r="Q70" s="6"/>
      <c r="R70" s="6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7.25" thickBot="1" x14ac:dyDescent="0.35">
      <c r="N71" s="7"/>
      <c r="O71" s="1"/>
      <c r="P71" s="6"/>
      <c r="Q71" s="6"/>
      <c r="R71" s="6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/>
      <c r="B72" s="8" t="s">
        <v>18</v>
      </c>
      <c r="C72" s="8" t="s">
        <v>18</v>
      </c>
      <c r="D72" s="8" t="s">
        <v>18</v>
      </c>
      <c r="E72" s="1" t="s">
        <v>74</v>
      </c>
      <c r="F72" s="40"/>
      <c r="G72" s="41" t="s">
        <v>75</v>
      </c>
      <c r="H72" s="41" t="s">
        <v>75</v>
      </c>
      <c r="I72" s="42" t="s">
        <v>75</v>
      </c>
      <c r="N72" s="7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/>
      <c r="B73" s="8" t="s">
        <v>73</v>
      </c>
      <c r="C73" s="8" t="s">
        <v>71</v>
      </c>
      <c r="D73" s="8" t="s">
        <v>72</v>
      </c>
      <c r="E73" s="1" t="s">
        <v>71</v>
      </c>
      <c r="F73" s="43"/>
      <c r="G73" s="8" t="s">
        <v>73</v>
      </c>
      <c r="H73" s="8" t="s">
        <v>71</v>
      </c>
      <c r="I73" s="44" t="s">
        <v>72</v>
      </c>
      <c r="N73" s="7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 t="s">
        <v>0</v>
      </c>
      <c r="B74" s="8" t="s">
        <v>110</v>
      </c>
      <c r="C74" s="8" t="s">
        <v>111</v>
      </c>
      <c r="D74" s="8" t="s">
        <v>111</v>
      </c>
      <c r="E74" s="1" t="s">
        <v>111</v>
      </c>
      <c r="F74" s="45" t="str">
        <f>A74</f>
        <v>Time (min)</v>
      </c>
      <c r="G74" s="8" t="str">
        <f>B74</f>
        <v>MW=5.8, sigma_ve=0.1, sigma_le=0, p_ve=1E-8, p_le=7.2E-8, D_gel=9.4E-11, kf_m=1.45, kr_m=6.82, k_decay=1.7E-6, cA+cMA (mol)</v>
      </c>
      <c r="H74" s="8" t="str">
        <f>C74</f>
        <v>MW=5.8, sigma_ve=0.1, sigma_le=0, p_ve=1E-8, p_le=7.2E-8, D_gel=9.4E-11, kf_m=1.45, kr_m=6.82, k_decay=1.7E-6, Concentration (mol)</v>
      </c>
      <c r="I74" s="44" t="str">
        <f>D74</f>
        <v>MW=5.8, sigma_ve=0.1, sigma_le=0, p_ve=1E-8, p_le=7.2E-8, D_gel=9.4E-11, kf_m=1.45, kr_m=6.82, k_decay=1.7E-6, Concentration (mol)</v>
      </c>
      <c r="N74" s="7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0</v>
      </c>
      <c r="B75" s="8">
        <v>1.2102999999999999E-10</v>
      </c>
      <c r="C75" s="8">
        <v>1.2101E-10</v>
      </c>
      <c r="D75" s="8">
        <v>1.9887000000000001E-14</v>
      </c>
      <c r="E75" s="1">
        <v>6.0723000000000003E-12</v>
      </c>
      <c r="F75" s="45">
        <f t="shared" ref="F75:F117" si="16">A75</f>
        <v>0</v>
      </c>
      <c r="G75" s="8">
        <f>H75+I75</f>
        <v>1.2710218700000001E-10</v>
      </c>
      <c r="H75" s="1">
        <f t="shared" ref="H75:H117" si="17">C75+E75</f>
        <v>1.270823E-10</v>
      </c>
      <c r="I75" s="46">
        <f t="shared" ref="I75:I117" si="18">D75</f>
        <v>1.9887000000000001E-14</v>
      </c>
      <c r="N75" s="7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2.2759999999999998</v>
      </c>
      <c r="B76" s="8">
        <v>1.1885000000000001E-10</v>
      </c>
      <c r="C76" s="8">
        <v>9.8008000000000002E-11</v>
      </c>
      <c r="D76" s="8">
        <v>2.0838000000000001E-11</v>
      </c>
      <c r="E76" s="1">
        <v>6.5303999999999997E-12</v>
      </c>
      <c r="F76" s="45">
        <f t="shared" si="16"/>
        <v>2.2759999999999998</v>
      </c>
      <c r="G76" s="8">
        <f t="shared" ref="G76:G117" si="19">H76+I76</f>
        <v>1.253764E-10</v>
      </c>
      <c r="H76" s="1">
        <f t="shared" si="17"/>
        <v>1.045384E-10</v>
      </c>
      <c r="I76" s="46">
        <f t="shared" si="18"/>
        <v>2.0838000000000001E-11</v>
      </c>
      <c r="N76" s="7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4.3239999999999998</v>
      </c>
      <c r="B77" s="8">
        <v>1.1762E-10</v>
      </c>
      <c r="C77" s="8">
        <v>9.7000000000000001E-11</v>
      </c>
      <c r="D77" s="8">
        <v>2.0622999999999999E-11</v>
      </c>
      <c r="E77" s="1">
        <v>7.2011999999999996E-12</v>
      </c>
      <c r="F77" s="45">
        <f t="shared" si="16"/>
        <v>4.3239999999999998</v>
      </c>
      <c r="G77" s="8">
        <f t="shared" si="19"/>
        <v>1.2482420000000001E-10</v>
      </c>
      <c r="H77" s="1">
        <f t="shared" si="17"/>
        <v>1.0420120000000001E-10</v>
      </c>
      <c r="I77" s="46">
        <f t="shared" si="18"/>
        <v>2.0622999999999999E-11</v>
      </c>
      <c r="N77" s="7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7.3959999999999999</v>
      </c>
      <c r="B78" s="8">
        <v>1.1635E-10</v>
      </c>
      <c r="C78" s="8">
        <v>9.5950999999999998E-11</v>
      </c>
      <c r="D78" s="8">
        <v>2.0399999999999999E-11</v>
      </c>
      <c r="E78" s="1">
        <v>7.7100000000000001E-12</v>
      </c>
      <c r="F78" s="45">
        <f t="shared" si="16"/>
        <v>7.3959999999999999</v>
      </c>
      <c r="G78" s="8">
        <f t="shared" si="19"/>
        <v>1.2406099999999999E-10</v>
      </c>
      <c r="H78" s="1">
        <f t="shared" si="17"/>
        <v>1.03661E-10</v>
      </c>
      <c r="I78" s="46">
        <f t="shared" si="18"/>
        <v>2.0399999999999999E-11</v>
      </c>
      <c r="N78" s="7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9.2392000000000003</v>
      </c>
      <c r="B79" s="8">
        <v>1.1578E-10</v>
      </c>
      <c r="C79" s="8">
        <v>9.5480999999999998E-11</v>
      </c>
      <c r="D79" s="8">
        <v>2.03E-11</v>
      </c>
      <c r="E79" s="1">
        <v>7.8386999999999997E-12</v>
      </c>
      <c r="F79" s="45">
        <f t="shared" si="16"/>
        <v>9.2392000000000003</v>
      </c>
      <c r="G79" s="8">
        <f t="shared" si="19"/>
        <v>1.2361969999999999E-10</v>
      </c>
      <c r="H79" s="1">
        <f t="shared" si="17"/>
        <v>1.0331969999999999E-10</v>
      </c>
      <c r="I79" s="46">
        <f t="shared" si="18"/>
        <v>2.03E-11</v>
      </c>
      <c r="N79" s="7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11.082000000000001</v>
      </c>
      <c r="B80" s="8">
        <v>1.1529E-10</v>
      </c>
      <c r="C80" s="8">
        <v>9.5078000000000005E-11</v>
      </c>
      <c r="D80" s="8">
        <v>2.0215000000000001E-11</v>
      </c>
      <c r="E80" s="1">
        <v>7.8966999999999997E-12</v>
      </c>
      <c r="F80" s="45">
        <f t="shared" si="16"/>
        <v>11.082000000000001</v>
      </c>
      <c r="G80" s="8">
        <f t="shared" si="19"/>
        <v>1.231897E-10</v>
      </c>
      <c r="H80" s="1">
        <f t="shared" si="17"/>
        <v>1.0297470000000001E-10</v>
      </c>
      <c r="I80" s="46">
        <f t="shared" si="18"/>
        <v>2.0215000000000001E-11</v>
      </c>
      <c r="N80" s="7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12.926</v>
      </c>
      <c r="B81" s="8">
        <v>1.1485E-10</v>
      </c>
      <c r="C81" s="8">
        <v>9.4713000000000002E-11</v>
      </c>
      <c r="D81" s="8">
        <v>2.0137000000000001E-11</v>
      </c>
      <c r="E81" s="1">
        <v>7.9155000000000004E-12</v>
      </c>
      <c r="F81" s="45">
        <f t="shared" si="16"/>
        <v>12.926</v>
      </c>
      <c r="G81" s="8">
        <f t="shared" si="19"/>
        <v>1.2276549999999999E-10</v>
      </c>
      <c r="H81" s="1">
        <f t="shared" si="17"/>
        <v>1.026285E-10</v>
      </c>
      <c r="I81" s="46">
        <f t="shared" si="18"/>
        <v>2.0137000000000001E-11</v>
      </c>
      <c r="N81" s="7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14.769</v>
      </c>
      <c r="B82" s="8">
        <v>1.1443E-10</v>
      </c>
      <c r="C82" s="8">
        <v>9.4371000000000002E-11</v>
      </c>
      <c r="D82" s="8">
        <v>2.0063999999999999E-11</v>
      </c>
      <c r="E82" s="1">
        <v>7.9132000000000007E-12</v>
      </c>
      <c r="F82" s="45">
        <f t="shared" si="16"/>
        <v>14.769</v>
      </c>
      <c r="G82" s="8">
        <f t="shared" si="19"/>
        <v>1.2234819999999999E-10</v>
      </c>
      <c r="H82" s="1">
        <f t="shared" si="17"/>
        <v>1.022842E-10</v>
      </c>
      <c r="I82" s="46">
        <f t="shared" si="18"/>
        <v>2.0063999999999999E-11</v>
      </c>
      <c r="N82" s="7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16.611999999999998</v>
      </c>
      <c r="B83" s="8">
        <v>1.1404E-10</v>
      </c>
      <c r="C83" s="8">
        <v>9.4041000000000001E-11</v>
      </c>
      <c r="D83" s="8">
        <v>1.9993999999999999E-11</v>
      </c>
      <c r="E83" s="1">
        <v>7.8996999999999995E-12</v>
      </c>
      <c r="F83" s="45">
        <f t="shared" si="16"/>
        <v>16.611999999999998</v>
      </c>
      <c r="G83" s="8">
        <f t="shared" si="19"/>
        <v>1.2193470000000001E-10</v>
      </c>
      <c r="H83" s="1">
        <f t="shared" si="17"/>
        <v>1.019407E-10</v>
      </c>
      <c r="I83" s="46">
        <f t="shared" si="18"/>
        <v>1.9993999999999999E-11</v>
      </c>
      <c r="N83" s="7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20.297999999999998</v>
      </c>
      <c r="B84" s="8">
        <v>1.1326E-10</v>
      </c>
      <c r="C84" s="8">
        <v>9.3399E-11</v>
      </c>
      <c r="D84" s="8">
        <v>1.9857999999999999E-11</v>
      </c>
      <c r="E84" s="1">
        <v>7.8606999999999994E-12</v>
      </c>
      <c r="F84" s="45">
        <f t="shared" si="16"/>
        <v>20.297999999999998</v>
      </c>
      <c r="G84" s="8">
        <f t="shared" si="19"/>
        <v>1.2111770000000001E-10</v>
      </c>
      <c r="H84" s="1">
        <f t="shared" si="17"/>
        <v>1.012597E-10</v>
      </c>
      <c r="I84" s="46">
        <f t="shared" si="18"/>
        <v>1.9857999999999999E-11</v>
      </c>
      <c r="N84" s="7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27.670999999999999</v>
      </c>
      <c r="B85" s="8">
        <v>1.1176E-10</v>
      </c>
      <c r="C85" s="8">
        <v>9.2164999999999999E-11</v>
      </c>
      <c r="D85" s="8">
        <v>1.9595000000000001E-11</v>
      </c>
      <c r="E85" s="1">
        <v>7.7599999999999992E-12</v>
      </c>
      <c r="F85" s="45">
        <f t="shared" si="16"/>
        <v>27.670999999999999</v>
      </c>
      <c r="G85" s="8">
        <f t="shared" si="19"/>
        <v>1.1951999999999999E-10</v>
      </c>
      <c r="H85" s="1">
        <f t="shared" si="17"/>
        <v>9.9924999999999994E-11</v>
      </c>
      <c r="I85" s="46">
        <f t="shared" si="18"/>
        <v>1.9595000000000001E-11</v>
      </c>
      <c r="N85" s="7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35.043999999999997</v>
      </c>
      <c r="B86" s="8">
        <v>1.1029E-10</v>
      </c>
      <c r="C86" s="8">
        <v>9.0950000000000006E-11</v>
      </c>
      <c r="D86" s="8">
        <v>1.9337000000000001E-11</v>
      </c>
      <c r="E86" s="1">
        <v>7.6591999999999995E-12</v>
      </c>
      <c r="F86" s="45">
        <f t="shared" si="16"/>
        <v>35.043999999999997</v>
      </c>
      <c r="G86" s="8">
        <f t="shared" si="19"/>
        <v>1.1794620000000002E-10</v>
      </c>
      <c r="H86" s="1">
        <f t="shared" si="17"/>
        <v>9.8609200000000012E-11</v>
      </c>
      <c r="I86" s="46">
        <f t="shared" si="18"/>
        <v>1.9337000000000001E-11</v>
      </c>
      <c r="N86" s="7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49.79</v>
      </c>
      <c r="B87" s="8">
        <v>1.0742E-10</v>
      </c>
      <c r="C87" s="8">
        <v>8.8584999999999997E-11</v>
      </c>
      <c r="D87" s="8">
        <v>1.8834E-11</v>
      </c>
      <c r="E87" s="1">
        <v>7.4609999999999998E-12</v>
      </c>
      <c r="F87" s="45">
        <f t="shared" si="16"/>
        <v>49.79</v>
      </c>
      <c r="G87" s="8">
        <f t="shared" si="19"/>
        <v>1.1488E-10</v>
      </c>
      <c r="H87" s="1">
        <f t="shared" si="17"/>
        <v>9.6045999999999998E-11</v>
      </c>
      <c r="I87" s="46">
        <f t="shared" si="18"/>
        <v>1.8834E-11</v>
      </c>
      <c r="N87" s="7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79.281000000000006</v>
      </c>
      <c r="B88" s="8">
        <v>1.0197E-10</v>
      </c>
      <c r="C88" s="8">
        <v>8.4094999999999995E-11</v>
      </c>
      <c r="D88" s="8">
        <v>1.7880000000000001E-11</v>
      </c>
      <c r="E88" s="1">
        <v>7.0832999999999999E-12</v>
      </c>
      <c r="F88" s="45">
        <f t="shared" si="16"/>
        <v>79.281000000000006</v>
      </c>
      <c r="G88" s="8">
        <f t="shared" si="19"/>
        <v>1.0905829999999998E-10</v>
      </c>
      <c r="H88" s="1">
        <f t="shared" si="17"/>
        <v>9.117829999999999E-11</v>
      </c>
      <c r="I88" s="46">
        <f t="shared" si="18"/>
        <v>1.7880000000000001E-11</v>
      </c>
      <c r="N88" s="7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108.77</v>
      </c>
      <c r="B89" s="8">
        <v>9.6806000000000004E-11</v>
      </c>
      <c r="C89" s="8">
        <v>7.9832999999999997E-11</v>
      </c>
      <c r="D89" s="8">
        <v>1.6973E-11</v>
      </c>
      <c r="E89" s="1">
        <v>6.7243999999999999E-12</v>
      </c>
      <c r="F89" s="45">
        <f t="shared" si="16"/>
        <v>108.77</v>
      </c>
      <c r="G89" s="8">
        <f t="shared" si="19"/>
        <v>1.035304E-10</v>
      </c>
      <c r="H89" s="1">
        <f t="shared" si="17"/>
        <v>8.6557399999999995E-11</v>
      </c>
      <c r="I89" s="46">
        <f t="shared" si="18"/>
        <v>1.6973E-11</v>
      </c>
      <c r="N89" s="7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167.75</v>
      </c>
      <c r="B90" s="8">
        <v>8.7460999999999997E-11</v>
      </c>
      <c r="C90" s="8">
        <v>7.2127000000000001E-11</v>
      </c>
      <c r="D90" s="8">
        <v>1.5335000000000001E-11</v>
      </c>
      <c r="E90" s="1">
        <v>6.0753000000000002E-12</v>
      </c>
      <c r="F90" s="45">
        <f t="shared" si="16"/>
        <v>167.75</v>
      </c>
      <c r="G90" s="8">
        <f t="shared" si="19"/>
        <v>9.35373E-11</v>
      </c>
      <c r="H90" s="1">
        <f t="shared" si="17"/>
        <v>7.8202299999999995E-11</v>
      </c>
      <c r="I90" s="46">
        <f t="shared" si="18"/>
        <v>1.5335000000000001E-11</v>
      </c>
      <c r="N90" s="7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220.84</v>
      </c>
      <c r="B91" s="8">
        <v>7.9790000000000003E-11</v>
      </c>
      <c r="C91" s="8">
        <v>6.5799999999999995E-11</v>
      </c>
      <c r="D91" s="8">
        <v>1.399E-11</v>
      </c>
      <c r="E91" s="1">
        <v>5.5424000000000003E-12</v>
      </c>
      <c r="F91" s="45">
        <f t="shared" si="16"/>
        <v>220.84</v>
      </c>
      <c r="G91" s="8">
        <f t="shared" si="19"/>
        <v>8.5332399999999994E-11</v>
      </c>
      <c r="H91" s="1">
        <f t="shared" si="17"/>
        <v>7.1342399999999999E-11</v>
      </c>
      <c r="I91" s="46">
        <f t="shared" si="18"/>
        <v>1.399E-11</v>
      </c>
      <c r="N91" s="7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273.92</v>
      </c>
      <c r="B92" s="8">
        <v>7.2790999999999997E-11</v>
      </c>
      <c r="C92" s="8">
        <v>6.0027999999999994E-11</v>
      </c>
      <c r="D92" s="8">
        <v>1.2763E-11</v>
      </c>
      <c r="E92" s="1">
        <v>5.0562000000000002E-12</v>
      </c>
      <c r="F92" s="45">
        <f t="shared" si="16"/>
        <v>273.92</v>
      </c>
      <c r="G92" s="8">
        <f t="shared" si="19"/>
        <v>7.7847199999999994E-11</v>
      </c>
      <c r="H92" s="1">
        <f t="shared" si="17"/>
        <v>6.5084199999999991E-11</v>
      </c>
      <c r="I92" s="46">
        <f t="shared" si="18"/>
        <v>1.2763E-11</v>
      </c>
      <c r="N92" s="7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327.01</v>
      </c>
      <c r="B93" s="8">
        <v>6.6405999999999998E-11</v>
      </c>
      <c r="C93" s="8">
        <v>5.4763E-11</v>
      </c>
      <c r="D93" s="8">
        <v>1.1643E-11</v>
      </c>
      <c r="E93" s="1">
        <v>4.6127000000000003E-12</v>
      </c>
      <c r="F93" s="45">
        <f t="shared" si="16"/>
        <v>327.01</v>
      </c>
      <c r="G93" s="8">
        <f t="shared" si="19"/>
        <v>7.1018700000000003E-11</v>
      </c>
      <c r="H93" s="1">
        <f t="shared" si="17"/>
        <v>5.9375700000000005E-11</v>
      </c>
      <c r="I93" s="46">
        <f t="shared" si="18"/>
        <v>1.1643E-11</v>
      </c>
      <c r="N93" s="7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433.18</v>
      </c>
      <c r="B94" s="8">
        <v>5.4917999999999998E-11</v>
      </c>
      <c r="C94" s="8">
        <v>4.5288999999999997E-11</v>
      </c>
      <c r="D94" s="8">
        <v>9.6288999999999999E-12</v>
      </c>
      <c r="E94" s="1">
        <v>3.8146999999999999E-12</v>
      </c>
      <c r="F94" s="45">
        <f t="shared" si="16"/>
        <v>433.18</v>
      </c>
      <c r="G94" s="8">
        <f t="shared" si="19"/>
        <v>5.8732599999999989E-11</v>
      </c>
      <c r="H94" s="1">
        <f t="shared" si="17"/>
        <v>4.9103699999999994E-11</v>
      </c>
      <c r="I94" s="46">
        <f t="shared" si="18"/>
        <v>9.6288999999999999E-12</v>
      </c>
      <c r="N94" s="7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539.34</v>
      </c>
      <c r="B95" s="8">
        <v>4.5287E-11</v>
      </c>
      <c r="C95" s="8">
        <v>3.7346999999999999E-11</v>
      </c>
      <c r="D95" s="8">
        <v>7.9402999999999992E-12</v>
      </c>
      <c r="E95" s="1">
        <v>3.1456999999999998E-12</v>
      </c>
      <c r="F95" s="45">
        <f t="shared" si="16"/>
        <v>539.34</v>
      </c>
      <c r="G95" s="8">
        <f t="shared" si="19"/>
        <v>4.8433000000000001E-11</v>
      </c>
      <c r="H95" s="1">
        <f t="shared" si="17"/>
        <v>4.0492700000000002E-11</v>
      </c>
      <c r="I95" s="46">
        <f t="shared" si="18"/>
        <v>7.9402999999999992E-12</v>
      </c>
      <c r="J95" s="8"/>
      <c r="K95" s="1"/>
      <c r="L95" s="1"/>
      <c r="N95" s="7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645.51</v>
      </c>
      <c r="B96" s="8">
        <v>3.7302000000000001E-11</v>
      </c>
      <c r="C96" s="8">
        <v>3.0762000000000003E-11</v>
      </c>
      <c r="D96" s="8">
        <v>6.5401999999999999E-12</v>
      </c>
      <c r="E96" s="1">
        <v>2.5911000000000001E-12</v>
      </c>
      <c r="F96" s="45">
        <f t="shared" si="16"/>
        <v>645.51</v>
      </c>
      <c r="G96" s="8">
        <f t="shared" si="19"/>
        <v>3.9893300000000009E-11</v>
      </c>
      <c r="H96" s="1">
        <f t="shared" si="17"/>
        <v>3.3353100000000006E-11</v>
      </c>
      <c r="I96" s="46">
        <f t="shared" si="18"/>
        <v>6.5401999999999999E-12</v>
      </c>
      <c r="J96" s="8"/>
      <c r="K96" s="1"/>
      <c r="L96" s="1"/>
      <c r="N96" s="7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751.68</v>
      </c>
      <c r="B97" s="8">
        <v>3.0710000000000003E-11</v>
      </c>
      <c r="C97" s="8">
        <v>2.5325999999999999E-11</v>
      </c>
      <c r="D97" s="8">
        <v>5.3844999999999999E-12</v>
      </c>
      <c r="E97" s="1">
        <v>2.1331999999999998E-12</v>
      </c>
      <c r="F97" s="45">
        <f t="shared" si="16"/>
        <v>751.68</v>
      </c>
      <c r="G97" s="8">
        <f t="shared" si="19"/>
        <v>3.2843699999999997E-11</v>
      </c>
      <c r="H97" s="1">
        <f t="shared" si="17"/>
        <v>2.7459199999999998E-11</v>
      </c>
      <c r="I97" s="46">
        <f t="shared" si="18"/>
        <v>5.3844999999999999E-12</v>
      </c>
      <c r="J97" s="8"/>
      <c r="K97" s="1"/>
      <c r="L97" s="1"/>
      <c r="N97" s="7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857.85</v>
      </c>
      <c r="B98" s="8">
        <v>2.5278000000000001E-11</v>
      </c>
      <c r="C98" s="8">
        <v>2.0845999999999999E-11</v>
      </c>
      <c r="D98" s="8">
        <v>4.4321000000000001E-12</v>
      </c>
      <c r="E98" s="1">
        <v>1.7559E-12</v>
      </c>
      <c r="F98" s="45">
        <f t="shared" si="16"/>
        <v>857.85</v>
      </c>
      <c r="G98" s="8">
        <f t="shared" si="19"/>
        <v>2.7033999999999998E-11</v>
      </c>
      <c r="H98" s="1">
        <f t="shared" si="17"/>
        <v>2.26019E-11</v>
      </c>
      <c r="I98" s="46">
        <f t="shared" si="18"/>
        <v>4.4321000000000001E-12</v>
      </c>
      <c r="J98" s="8"/>
      <c r="K98" s="1"/>
      <c r="L98" s="1"/>
      <c r="N98" s="7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964.02</v>
      </c>
      <c r="B99" s="8">
        <v>2.0804999999999999E-11</v>
      </c>
      <c r="C99" s="8">
        <v>1.7156999999999999E-11</v>
      </c>
      <c r="D99" s="8">
        <v>3.6479000000000002E-12</v>
      </c>
      <c r="E99" s="1">
        <v>1.4451999999999999E-12</v>
      </c>
      <c r="F99" s="45">
        <f t="shared" si="16"/>
        <v>964.02</v>
      </c>
      <c r="G99" s="8">
        <f t="shared" si="19"/>
        <v>2.22501E-11</v>
      </c>
      <c r="H99" s="1">
        <f t="shared" si="17"/>
        <v>1.8602199999999999E-11</v>
      </c>
      <c r="I99" s="46">
        <f t="shared" si="18"/>
        <v>3.6479000000000002E-12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1070.2</v>
      </c>
      <c r="B100" s="8">
        <v>1.7123000000000001E-11</v>
      </c>
      <c r="C100" s="8">
        <v>1.4120999999999999E-11</v>
      </c>
      <c r="D100" s="8">
        <v>3.0022999999999998E-12</v>
      </c>
      <c r="E100" s="1">
        <v>1.1894E-12</v>
      </c>
      <c r="F100" s="45">
        <f t="shared" si="16"/>
        <v>1070.2</v>
      </c>
      <c r="G100" s="8">
        <f t="shared" si="19"/>
        <v>1.8312699999999997E-11</v>
      </c>
      <c r="H100" s="1">
        <f t="shared" si="17"/>
        <v>1.5310399999999998E-11</v>
      </c>
      <c r="I100" s="46">
        <f t="shared" si="18"/>
        <v>3.0022999999999998E-12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1176.4000000000001</v>
      </c>
      <c r="B101" s="8">
        <v>1.4093E-11</v>
      </c>
      <c r="C101" s="8">
        <v>1.1622E-11</v>
      </c>
      <c r="D101" s="8">
        <v>2.4708999999999999E-12</v>
      </c>
      <c r="E101" s="1">
        <v>9.7890999999999992E-13</v>
      </c>
      <c r="F101" s="45">
        <f t="shared" si="16"/>
        <v>1176.4000000000001</v>
      </c>
      <c r="G101" s="8">
        <f t="shared" si="19"/>
        <v>1.5071810000000001E-11</v>
      </c>
      <c r="H101" s="1">
        <f t="shared" si="17"/>
        <v>1.2600910000000001E-11</v>
      </c>
      <c r="I101" s="46">
        <f t="shared" si="18"/>
        <v>2.4708999999999999E-12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1282.5</v>
      </c>
      <c r="B102" s="8">
        <v>1.1598E-11</v>
      </c>
      <c r="C102" s="8">
        <v>9.5648000000000006E-12</v>
      </c>
      <c r="D102" s="8">
        <v>2.0336000000000001E-12</v>
      </c>
      <c r="E102" s="1">
        <v>8.0565000000000001E-13</v>
      </c>
      <c r="F102" s="45">
        <f t="shared" si="16"/>
        <v>1282.5</v>
      </c>
      <c r="G102" s="8">
        <f t="shared" si="19"/>
        <v>1.2404050000000001E-11</v>
      </c>
      <c r="H102" s="1">
        <f t="shared" si="17"/>
        <v>1.037045E-11</v>
      </c>
      <c r="I102" s="46">
        <f t="shared" si="18"/>
        <v>2.0336000000000001E-12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1388.7</v>
      </c>
      <c r="B103" s="8">
        <v>9.5456E-12</v>
      </c>
      <c r="C103" s="8">
        <v>7.8718999999999992E-12</v>
      </c>
      <c r="D103" s="8">
        <v>1.6737E-12</v>
      </c>
      <c r="E103" s="1">
        <v>6.6304999999999999E-13</v>
      </c>
      <c r="F103" s="45">
        <f t="shared" si="16"/>
        <v>1388.7</v>
      </c>
      <c r="G103" s="8">
        <f t="shared" si="19"/>
        <v>1.0208649999999999E-11</v>
      </c>
      <c r="H103" s="1">
        <f t="shared" si="17"/>
        <v>8.5349499999999997E-12</v>
      </c>
      <c r="I103" s="46">
        <f t="shared" si="18"/>
        <v>1.6737E-12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1494.9</v>
      </c>
      <c r="B104" s="8">
        <v>7.8561E-12</v>
      </c>
      <c r="C104" s="8">
        <v>6.4786000000000003E-12</v>
      </c>
      <c r="D104" s="8">
        <v>1.3774E-12</v>
      </c>
      <c r="E104" s="1">
        <v>5.4569999999999999E-13</v>
      </c>
      <c r="F104" s="45">
        <f t="shared" si="16"/>
        <v>1494.9</v>
      </c>
      <c r="G104" s="8">
        <f t="shared" si="19"/>
        <v>8.4017000000000004E-12</v>
      </c>
      <c r="H104" s="1">
        <f t="shared" si="17"/>
        <v>7.0243000000000003E-12</v>
      </c>
      <c r="I104" s="46">
        <f t="shared" si="18"/>
        <v>1.3774E-12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3">
      <c r="A105" s="7">
        <v>1601</v>
      </c>
      <c r="B105" s="8">
        <v>6.4656000000000002E-12</v>
      </c>
      <c r="C105" s="8">
        <v>5.3320000000000003E-12</v>
      </c>
      <c r="D105" s="8">
        <v>1.1335999999999999E-12</v>
      </c>
      <c r="E105" s="1">
        <v>4.4910999999999999E-13</v>
      </c>
      <c r="F105" s="45">
        <f t="shared" si="16"/>
        <v>1601</v>
      </c>
      <c r="G105" s="8">
        <f t="shared" si="19"/>
        <v>6.9147100000000001E-12</v>
      </c>
      <c r="H105" s="1">
        <f t="shared" si="17"/>
        <v>5.7811100000000002E-12</v>
      </c>
      <c r="I105" s="46">
        <f t="shared" si="18"/>
        <v>1.1335999999999999E-12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3">
      <c r="A106" s="7">
        <v>1707.2</v>
      </c>
      <c r="B106" s="8">
        <v>5.3212000000000004E-12</v>
      </c>
      <c r="C106" s="8">
        <v>4.3882000000000002E-12</v>
      </c>
      <c r="D106" s="8">
        <v>9.3299000000000005E-13</v>
      </c>
      <c r="E106" s="1">
        <v>3.6961999999999999E-13</v>
      </c>
      <c r="F106" s="45">
        <f t="shared" si="16"/>
        <v>1707.2</v>
      </c>
      <c r="G106" s="8">
        <f t="shared" si="19"/>
        <v>5.6908100000000001E-12</v>
      </c>
      <c r="H106" s="1">
        <f t="shared" si="17"/>
        <v>4.75782E-12</v>
      </c>
      <c r="I106" s="46">
        <f t="shared" si="18"/>
        <v>9.3299000000000005E-13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x14ac:dyDescent="0.3">
      <c r="A107" s="7">
        <v>1813.4</v>
      </c>
      <c r="B107" s="8">
        <v>4.3793999999999997E-12</v>
      </c>
      <c r="C107" s="8">
        <v>3.6115000000000001E-12</v>
      </c>
      <c r="D107" s="8">
        <v>7.6785E-13</v>
      </c>
      <c r="E107" s="1">
        <v>3.0420000000000001E-13</v>
      </c>
      <c r="F107" s="45">
        <f t="shared" si="16"/>
        <v>1813.4</v>
      </c>
      <c r="G107" s="8">
        <f t="shared" si="19"/>
        <v>4.6835500000000002E-12</v>
      </c>
      <c r="H107" s="1">
        <f t="shared" si="17"/>
        <v>3.9157000000000004E-12</v>
      </c>
      <c r="I107" s="46">
        <f t="shared" si="18"/>
        <v>7.6785E-13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x14ac:dyDescent="0.3">
      <c r="A108" s="7">
        <v>1919.5</v>
      </c>
      <c r="B108" s="8">
        <v>3.6042999999999999E-12</v>
      </c>
      <c r="C108" s="8">
        <v>2.9723000000000002E-12</v>
      </c>
      <c r="D108" s="8">
        <v>6.3195000000000005E-13</v>
      </c>
      <c r="E108" s="1">
        <v>2.5036000000000001E-13</v>
      </c>
      <c r="F108" s="45">
        <f t="shared" si="16"/>
        <v>1919.5</v>
      </c>
      <c r="G108" s="8">
        <f t="shared" si="19"/>
        <v>3.8546100000000003E-12</v>
      </c>
      <c r="H108" s="1">
        <f t="shared" si="17"/>
        <v>3.2226600000000003E-12</v>
      </c>
      <c r="I108" s="46">
        <f t="shared" si="18"/>
        <v>6.3195000000000005E-13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x14ac:dyDescent="0.3">
      <c r="A109" s="7">
        <v>2025.7</v>
      </c>
      <c r="B109" s="8">
        <v>2.9663E-12</v>
      </c>
      <c r="C109" s="8">
        <v>2.4461999999999998E-12</v>
      </c>
      <c r="D109" s="8">
        <v>5.2009999999999997E-13</v>
      </c>
      <c r="E109" s="1">
        <v>2.0604999999999999E-13</v>
      </c>
      <c r="F109" s="45">
        <f t="shared" si="16"/>
        <v>2025.7</v>
      </c>
      <c r="G109" s="8">
        <f t="shared" si="19"/>
        <v>3.1723499999999999E-12</v>
      </c>
      <c r="H109" s="1">
        <f t="shared" si="17"/>
        <v>2.6522499999999997E-12</v>
      </c>
      <c r="I109" s="46">
        <f t="shared" si="18"/>
        <v>5.2009999999999997E-13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x14ac:dyDescent="0.3">
      <c r="A110" s="7">
        <v>2131.9</v>
      </c>
      <c r="B110" s="8">
        <v>2.4413000000000001E-12</v>
      </c>
      <c r="C110" s="8">
        <v>2.0132999999999999E-12</v>
      </c>
      <c r="D110" s="8">
        <v>4.2804000000000001E-13</v>
      </c>
      <c r="E110" s="1">
        <v>1.6958E-13</v>
      </c>
      <c r="F110" s="45">
        <f t="shared" si="16"/>
        <v>2131.9</v>
      </c>
      <c r="G110" s="8">
        <f t="shared" si="19"/>
        <v>2.6109199999999999E-12</v>
      </c>
      <c r="H110" s="1">
        <f t="shared" si="17"/>
        <v>2.1828800000000001E-12</v>
      </c>
      <c r="I110" s="46">
        <f t="shared" si="18"/>
        <v>4.2804000000000001E-13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x14ac:dyDescent="0.3">
      <c r="A111" s="7">
        <v>2238</v>
      </c>
      <c r="B111" s="8">
        <v>2.0092E-12</v>
      </c>
      <c r="C111" s="8">
        <v>1.6568999999999999E-12</v>
      </c>
      <c r="D111" s="8">
        <v>3.5227999999999999E-13</v>
      </c>
      <c r="E111" s="1">
        <v>1.3955999999999999E-13</v>
      </c>
      <c r="F111" s="45">
        <f t="shared" si="16"/>
        <v>2238</v>
      </c>
      <c r="G111" s="8">
        <f t="shared" si="19"/>
        <v>2.14874E-12</v>
      </c>
      <c r="H111" s="1">
        <f t="shared" si="17"/>
        <v>1.79646E-12</v>
      </c>
      <c r="I111" s="46">
        <f t="shared" si="18"/>
        <v>3.5227999999999999E-13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x14ac:dyDescent="0.3">
      <c r="A112" s="7">
        <v>2344.1999999999998</v>
      </c>
      <c r="B112" s="8">
        <v>1.6535999999999999E-12</v>
      </c>
      <c r="C112" s="8">
        <v>1.3636999999999999E-12</v>
      </c>
      <c r="D112" s="8">
        <v>2.8993000000000001E-13</v>
      </c>
      <c r="E112" s="1">
        <v>1.1486E-13</v>
      </c>
      <c r="F112" s="45">
        <f t="shared" si="16"/>
        <v>2344.1999999999998</v>
      </c>
      <c r="G112" s="8">
        <f t="shared" si="19"/>
        <v>1.7684899999999999E-12</v>
      </c>
      <c r="H112" s="1">
        <f t="shared" si="17"/>
        <v>1.4785599999999999E-12</v>
      </c>
      <c r="I112" s="46">
        <f t="shared" si="18"/>
        <v>2.8993000000000001E-13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x14ac:dyDescent="0.3">
      <c r="A113" s="7">
        <v>2450.4</v>
      </c>
      <c r="B113" s="8">
        <v>1.3609E-12</v>
      </c>
      <c r="C113" s="8">
        <v>1.1223E-12</v>
      </c>
      <c r="D113" s="8">
        <v>2.3860999999999998E-13</v>
      </c>
      <c r="E113" s="1">
        <v>9.4531999999999995E-14</v>
      </c>
      <c r="F113" s="45">
        <f t="shared" si="16"/>
        <v>2450.4</v>
      </c>
      <c r="G113" s="8">
        <f t="shared" si="19"/>
        <v>1.4554419999999998E-12</v>
      </c>
      <c r="H113" s="1">
        <f t="shared" si="17"/>
        <v>1.2168319999999999E-12</v>
      </c>
      <c r="I113" s="46">
        <f t="shared" si="18"/>
        <v>2.3860999999999998E-13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x14ac:dyDescent="0.3">
      <c r="A114" s="7">
        <v>2556.5</v>
      </c>
      <c r="B114" s="8">
        <v>1.1200000000000001E-12</v>
      </c>
      <c r="C114" s="8">
        <v>9.2365999999999992E-13</v>
      </c>
      <c r="D114" s="8">
        <v>1.9637999999999999E-13</v>
      </c>
      <c r="E114" s="1">
        <v>7.7799999999999994E-14</v>
      </c>
      <c r="F114" s="45">
        <f t="shared" si="16"/>
        <v>2556.5</v>
      </c>
      <c r="G114" s="8">
        <f t="shared" si="19"/>
        <v>1.1978399999999999E-12</v>
      </c>
      <c r="H114" s="1">
        <f t="shared" si="17"/>
        <v>1.0014599999999999E-12</v>
      </c>
      <c r="I114" s="46">
        <f t="shared" si="18"/>
        <v>1.9637999999999999E-13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x14ac:dyDescent="0.3">
      <c r="A115" s="7">
        <v>2662.7</v>
      </c>
      <c r="B115" s="8">
        <v>9.2179999999999997E-13</v>
      </c>
      <c r="C115" s="8">
        <v>7.6018E-13</v>
      </c>
      <c r="D115" s="8">
        <v>1.6162E-13</v>
      </c>
      <c r="E115" s="1">
        <v>6.4030000000000006E-14</v>
      </c>
      <c r="F115" s="45">
        <f t="shared" si="16"/>
        <v>2662.7</v>
      </c>
      <c r="G115" s="8">
        <f t="shared" si="19"/>
        <v>9.8583000000000005E-13</v>
      </c>
      <c r="H115" s="1">
        <f t="shared" si="17"/>
        <v>8.2420999999999998E-13</v>
      </c>
      <c r="I115" s="46">
        <f t="shared" si="18"/>
        <v>1.6162E-13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x14ac:dyDescent="0.3">
      <c r="A116" s="7">
        <v>2768.9</v>
      </c>
      <c r="B116" s="8">
        <v>7.5865E-13</v>
      </c>
      <c r="C116" s="8">
        <v>6.2563000000000003E-13</v>
      </c>
      <c r="D116" s="8">
        <v>1.3302E-13</v>
      </c>
      <c r="E116" s="1">
        <v>5.2697000000000003E-14</v>
      </c>
      <c r="F116" s="45">
        <f t="shared" si="16"/>
        <v>2768.9</v>
      </c>
      <c r="G116" s="8">
        <f t="shared" si="19"/>
        <v>8.1134700000000006E-13</v>
      </c>
      <c r="H116" s="1">
        <f t="shared" si="17"/>
        <v>6.7832700000000008E-13</v>
      </c>
      <c r="I116" s="46">
        <f t="shared" si="18"/>
        <v>1.3302E-13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7.25" thickBot="1" x14ac:dyDescent="0.35">
      <c r="A117" s="7">
        <v>2875</v>
      </c>
      <c r="B117" s="8">
        <v>6.2436999999999999E-13</v>
      </c>
      <c r="C117" s="8">
        <v>5.1489999999999996E-13</v>
      </c>
      <c r="D117" s="8">
        <v>1.0947E-13</v>
      </c>
      <c r="E117" s="1">
        <v>4.3370000000000002E-14</v>
      </c>
      <c r="F117" s="47">
        <f t="shared" si="16"/>
        <v>2875</v>
      </c>
      <c r="G117" s="48">
        <f t="shared" si="19"/>
        <v>6.6774000000000004E-13</v>
      </c>
      <c r="H117" s="49">
        <f t="shared" si="17"/>
        <v>5.5827E-13</v>
      </c>
      <c r="I117" s="50">
        <f t="shared" si="18"/>
        <v>1.0947E-13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7.25" thickBot="1" x14ac:dyDescent="0.35">
      <c r="A118">
        <v>2981.2</v>
      </c>
      <c r="B118" s="8">
        <v>5.1385999999999999E-13</v>
      </c>
      <c r="C118" s="8">
        <v>4.2376E-13</v>
      </c>
      <c r="D118" s="8">
        <v>9.0097E-14</v>
      </c>
      <c r="E118" s="8">
        <v>3.5694000000000003E-14</v>
      </c>
      <c r="F118" s="47">
        <f t="shared" ref="F118:F131" si="20">A118</f>
        <v>2981.2</v>
      </c>
      <c r="G118" s="48">
        <f t="shared" ref="G118:G131" si="21">H118+I118</f>
        <v>5.4955099999999999E-13</v>
      </c>
      <c r="H118" s="49">
        <f t="shared" ref="H118:H131" si="22">C118+E118</f>
        <v>4.5945400000000001E-13</v>
      </c>
      <c r="I118" s="50">
        <f t="shared" ref="I118:I131" si="23">D118</f>
        <v>9.0097E-14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7.25" thickBot="1" x14ac:dyDescent="0.35">
      <c r="A119">
        <v>3087.4</v>
      </c>
      <c r="B119" s="8">
        <v>4.2291000000000001E-13</v>
      </c>
      <c r="C119" s="8">
        <v>3.4876000000000002E-13</v>
      </c>
      <c r="D119" s="8">
        <v>7.4150000000000005E-14</v>
      </c>
      <c r="E119" s="8">
        <v>2.9375999999999998E-14</v>
      </c>
      <c r="F119" s="47">
        <f t="shared" si="20"/>
        <v>3087.4</v>
      </c>
      <c r="G119" s="48">
        <f t="shared" si="21"/>
        <v>4.52286E-13</v>
      </c>
      <c r="H119" s="49">
        <f t="shared" si="22"/>
        <v>3.7813600000000001E-13</v>
      </c>
      <c r="I119" s="50">
        <f t="shared" si="23"/>
        <v>7.4150000000000005E-14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7.25" thickBot="1" x14ac:dyDescent="0.35">
      <c r="A120">
        <v>3193.6</v>
      </c>
      <c r="B120" s="8">
        <v>3.4805999999999998E-13</v>
      </c>
      <c r="C120" s="8">
        <v>2.8702999999999999E-13</v>
      </c>
      <c r="D120" s="8">
        <v>6.1025999999999994E-14</v>
      </c>
      <c r="E120" s="8">
        <v>2.4177000000000001E-14</v>
      </c>
      <c r="F120" s="47">
        <f t="shared" si="20"/>
        <v>3193.6</v>
      </c>
      <c r="G120" s="48">
        <f t="shared" si="21"/>
        <v>3.7223299999999999E-13</v>
      </c>
      <c r="H120" s="49">
        <f t="shared" si="22"/>
        <v>3.1120699999999998E-13</v>
      </c>
      <c r="I120" s="50">
        <f t="shared" si="23"/>
        <v>6.1025999999999994E-14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7.25" thickBot="1" x14ac:dyDescent="0.35">
      <c r="A121">
        <v>3299.7</v>
      </c>
      <c r="B121" s="8">
        <v>2.8645000000000001E-13</v>
      </c>
      <c r="C121" s="8">
        <v>2.3622999999999999E-13</v>
      </c>
      <c r="D121" s="8">
        <v>5.0225000000000002E-14</v>
      </c>
      <c r="E121" s="8">
        <v>1.9898E-14</v>
      </c>
      <c r="F121" s="47">
        <f t="shared" si="20"/>
        <v>3299.7</v>
      </c>
      <c r="G121" s="48">
        <f t="shared" si="21"/>
        <v>3.0635300000000002E-13</v>
      </c>
      <c r="H121" s="49">
        <f t="shared" si="22"/>
        <v>2.56128E-13</v>
      </c>
      <c r="I121" s="50">
        <f t="shared" si="23"/>
        <v>5.0225000000000002E-14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7.25" thickBot="1" x14ac:dyDescent="0.35">
      <c r="A122">
        <v>3405.9</v>
      </c>
      <c r="B122" s="8">
        <v>2.3574999999999998E-13</v>
      </c>
      <c r="C122" s="8">
        <v>1.9441999999999999E-13</v>
      </c>
      <c r="D122" s="8">
        <v>4.1335000000000001E-14</v>
      </c>
      <c r="E122" s="8">
        <v>1.6375999999999999E-14</v>
      </c>
      <c r="F122" s="47">
        <f t="shared" si="20"/>
        <v>3405.9</v>
      </c>
      <c r="G122" s="48">
        <f t="shared" si="21"/>
        <v>2.5213099999999998E-13</v>
      </c>
      <c r="H122" s="49">
        <f t="shared" si="22"/>
        <v>2.1079599999999998E-13</v>
      </c>
      <c r="I122" s="50">
        <f t="shared" si="23"/>
        <v>4.1335000000000001E-14</v>
      </c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7.25" thickBot="1" x14ac:dyDescent="0.35">
      <c r="A123">
        <v>3512.1</v>
      </c>
      <c r="B123" s="8">
        <v>1.9403000000000001E-13</v>
      </c>
      <c r="C123" s="8">
        <v>1.6000999999999999E-13</v>
      </c>
      <c r="D123" s="8">
        <v>3.4019E-14</v>
      </c>
      <c r="E123" s="8">
        <v>1.3477E-14</v>
      </c>
      <c r="F123" s="47">
        <f t="shared" si="20"/>
        <v>3512.1</v>
      </c>
      <c r="G123" s="48">
        <f t="shared" si="21"/>
        <v>2.0750599999999998E-13</v>
      </c>
      <c r="H123" s="49">
        <f t="shared" si="22"/>
        <v>1.7348699999999999E-13</v>
      </c>
      <c r="I123" s="50">
        <f t="shared" si="23"/>
        <v>3.4019E-14</v>
      </c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7.25" thickBot="1" x14ac:dyDescent="0.35">
      <c r="A124">
        <v>3618.2</v>
      </c>
      <c r="B124" s="8">
        <v>1.5968000000000001E-13</v>
      </c>
      <c r="C124" s="8">
        <v>1.3168999999999999E-13</v>
      </c>
      <c r="D124" s="8">
        <v>2.7998000000000001E-14</v>
      </c>
      <c r="E124" s="8">
        <v>1.1092E-14</v>
      </c>
      <c r="F124" s="47">
        <f t="shared" si="20"/>
        <v>3618.2</v>
      </c>
      <c r="G124" s="48">
        <f t="shared" si="21"/>
        <v>1.7078000000000001E-13</v>
      </c>
      <c r="H124" s="49">
        <f t="shared" si="22"/>
        <v>1.4278199999999999E-13</v>
      </c>
      <c r="I124" s="50">
        <f t="shared" si="23"/>
        <v>2.7998000000000001E-14</v>
      </c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7.25" thickBot="1" x14ac:dyDescent="0.35">
      <c r="A125">
        <v>3724.4</v>
      </c>
      <c r="B125" s="8">
        <v>1.3142000000000001E-13</v>
      </c>
      <c r="C125" s="8">
        <v>1.0838E-13</v>
      </c>
      <c r="D125" s="8">
        <v>2.3041999999999999E-14</v>
      </c>
      <c r="E125" s="8">
        <v>9.1287999999999996E-15</v>
      </c>
      <c r="F125" s="47">
        <f t="shared" si="20"/>
        <v>3724.4</v>
      </c>
      <c r="G125" s="48">
        <f t="shared" si="21"/>
        <v>1.405508E-13</v>
      </c>
      <c r="H125" s="49">
        <f t="shared" si="22"/>
        <v>1.1750880000000001E-13</v>
      </c>
      <c r="I125" s="50">
        <f t="shared" si="23"/>
        <v>2.3041999999999999E-14</v>
      </c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7.25" thickBot="1" x14ac:dyDescent="0.35">
      <c r="A126">
        <v>3830.6</v>
      </c>
      <c r="B126" s="8">
        <v>1.0816E-13</v>
      </c>
      <c r="C126" s="8">
        <v>8.9196000000000002E-14</v>
      </c>
      <c r="D126" s="8">
        <v>1.8964000000000001E-14</v>
      </c>
      <c r="E126" s="8">
        <v>7.5130000000000004E-15</v>
      </c>
      <c r="F126" s="47">
        <f t="shared" si="20"/>
        <v>3830.6</v>
      </c>
      <c r="G126" s="48">
        <f t="shared" si="21"/>
        <v>1.1567300000000002E-13</v>
      </c>
      <c r="H126" s="49">
        <f t="shared" si="22"/>
        <v>9.6709000000000002E-14</v>
      </c>
      <c r="I126" s="50">
        <f t="shared" si="23"/>
        <v>1.8964000000000001E-14</v>
      </c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7.25" thickBot="1" x14ac:dyDescent="0.35">
      <c r="A127">
        <v>3936.7</v>
      </c>
      <c r="B127" s="8">
        <v>8.9017000000000006E-14</v>
      </c>
      <c r="C127" s="8">
        <v>7.3409000000000003E-14</v>
      </c>
      <c r="D127" s="8">
        <v>1.5608E-14</v>
      </c>
      <c r="E127" s="8">
        <v>6.1833000000000001E-15</v>
      </c>
      <c r="F127" s="47">
        <f t="shared" si="20"/>
        <v>3936.7</v>
      </c>
      <c r="G127" s="48">
        <f t="shared" si="21"/>
        <v>9.520030000000001E-14</v>
      </c>
      <c r="H127" s="49">
        <f t="shared" si="22"/>
        <v>7.9592300000000007E-14</v>
      </c>
      <c r="I127" s="50">
        <f t="shared" si="23"/>
        <v>1.5608E-14</v>
      </c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7.25" thickBot="1" x14ac:dyDescent="0.35">
      <c r="A128">
        <v>4042.9</v>
      </c>
      <c r="B128" s="8">
        <v>7.3261000000000005E-14</v>
      </c>
      <c r="C128" s="8">
        <v>6.0415999999999997E-14</v>
      </c>
      <c r="D128" s="8">
        <v>1.2844999999999999E-14</v>
      </c>
      <c r="E128" s="8">
        <v>5.0889000000000003E-15</v>
      </c>
      <c r="F128" s="47">
        <f t="shared" si="20"/>
        <v>4042.9</v>
      </c>
      <c r="G128" s="48">
        <f t="shared" si="21"/>
        <v>7.8349899999999995E-14</v>
      </c>
      <c r="H128" s="49">
        <f t="shared" si="22"/>
        <v>6.55049E-14</v>
      </c>
      <c r="I128" s="50">
        <f t="shared" si="23"/>
        <v>1.2844999999999999E-14</v>
      </c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7.25" thickBot="1" x14ac:dyDescent="0.35">
      <c r="A129">
        <v>4149.1000000000004</v>
      </c>
      <c r="B129" s="8">
        <v>6.0294999999999997E-14</v>
      </c>
      <c r="C129" s="8">
        <v>4.9722999999999998E-14</v>
      </c>
      <c r="D129" s="8">
        <v>1.0572000000000001E-14</v>
      </c>
      <c r="E129" s="8">
        <v>4.1881999999999997E-15</v>
      </c>
      <c r="F129" s="47">
        <f t="shared" si="20"/>
        <v>4149.1000000000004</v>
      </c>
      <c r="G129" s="48">
        <f t="shared" si="21"/>
        <v>6.4483199999999998E-14</v>
      </c>
      <c r="H129" s="49">
        <f t="shared" si="22"/>
        <v>5.3911199999999999E-14</v>
      </c>
      <c r="I129" s="50">
        <f t="shared" si="23"/>
        <v>1.0572000000000001E-14</v>
      </c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7.25" thickBot="1" x14ac:dyDescent="0.35">
      <c r="A130">
        <v>4255.2</v>
      </c>
      <c r="B130" s="8">
        <v>4.9622999999999997E-14</v>
      </c>
      <c r="C130" s="8">
        <v>4.0923E-14</v>
      </c>
      <c r="D130" s="8">
        <v>8.7005999999999994E-15</v>
      </c>
      <c r="E130" s="8">
        <v>3.4469000000000001E-15</v>
      </c>
      <c r="F130" s="47">
        <f t="shared" si="20"/>
        <v>4255.2</v>
      </c>
      <c r="G130" s="48">
        <f t="shared" si="21"/>
        <v>5.3070499999999993E-14</v>
      </c>
      <c r="H130" s="49">
        <f t="shared" si="22"/>
        <v>4.4369899999999997E-14</v>
      </c>
      <c r="I130" s="50">
        <f t="shared" si="23"/>
        <v>8.7005999999999994E-15</v>
      </c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7.25" thickBot="1" x14ac:dyDescent="0.35">
      <c r="A131">
        <v>4320</v>
      </c>
      <c r="B131" s="8">
        <v>4.4040999999999998E-14</v>
      </c>
      <c r="C131" s="8">
        <v>3.6319E-14</v>
      </c>
      <c r="D131" s="8">
        <v>7.7218000000000002E-15</v>
      </c>
      <c r="E131" s="8">
        <v>3.0592000000000001E-15</v>
      </c>
      <c r="F131" s="47">
        <f t="shared" si="20"/>
        <v>4320</v>
      </c>
      <c r="G131" s="48">
        <f t="shared" si="21"/>
        <v>4.7100000000000003E-14</v>
      </c>
      <c r="H131" s="49">
        <f t="shared" si="22"/>
        <v>3.9378200000000001E-14</v>
      </c>
      <c r="I131" s="50">
        <f t="shared" si="23"/>
        <v>7.7218000000000002E-15</v>
      </c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3840-1142-4738-B94B-21DCAA7828A9}">
  <dimension ref="A1:BM602"/>
  <sheetViews>
    <sheetView topLeftCell="N1" zoomScale="55" zoomScaleNormal="55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19" max="19" width="12.625" bestFit="1" customWidth="1"/>
    <col min="20" max="21" width="13.5" bestFit="1" customWidth="1"/>
    <col min="22" max="22" width="13.875" bestFit="1" customWidth="1"/>
    <col min="28" max="28" width="15.1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1.2736176240811999E-10</v>
      </c>
      <c r="B1" s="7" t="s">
        <v>0</v>
      </c>
      <c r="C1" s="8" t="s">
        <v>115</v>
      </c>
      <c r="D1" s="8" t="s">
        <v>116</v>
      </c>
      <c r="E1" s="8" t="s">
        <v>116</v>
      </c>
      <c r="F1" t="s">
        <v>116</v>
      </c>
      <c r="G1" t="s">
        <v>116</v>
      </c>
      <c r="H1" t="s">
        <v>117</v>
      </c>
      <c r="I1" t="s">
        <v>118</v>
      </c>
      <c r="J1" t="s">
        <v>119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1.2710463219999998E-10</v>
      </c>
      <c r="D2" s="1">
        <v>1.2710229999999999E-10</v>
      </c>
      <c r="E2" s="1">
        <v>2.3321999999999999E-15</v>
      </c>
      <c r="F2" s="1">
        <v>2.5712999999999999E-13</v>
      </c>
      <c r="G2" s="1">
        <v>2.0812000000000001E-19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1" si="0">(H2+F2)/$A$1*100</f>
        <v>0.20188948012202332</v>
      </c>
      <c r="R2" s="6">
        <f t="shared" ref="R2:R41" si="1">(G2+I2)/$A$1*100</f>
        <v>1.634085427721211E-7</v>
      </c>
      <c r="S2" s="10">
        <f t="shared" ref="S2:S41" si="2">J2/$A$1*100</f>
        <v>0</v>
      </c>
      <c r="T2" s="6">
        <f t="shared" ref="T2:V17" si="3">C2/$A$1*100</f>
        <v>99.798110356469422</v>
      </c>
      <c r="U2" s="6">
        <f t="shared" si="3"/>
        <v>99.796279194623125</v>
      </c>
      <c r="V2" s="6">
        <f t="shared" si="3"/>
        <v>1.8311618463056928E-3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2.7240000000000002</v>
      </c>
      <c r="C3" s="8">
        <v>1.2605240000000001E-10</v>
      </c>
      <c r="D3" s="1">
        <v>1.2193820000000002E-10</v>
      </c>
      <c r="E3" s="1">
        <v>4.1142000000000004E-12</v>
      </c>
      <c r="F3" s="1">
        <v>1.2131999999999999E-12</v>
      </c>
      <c r="G3" s="1">
        <v>9.3671E-18</v>
      </c>
      <c r="H3" s="1">
        <v>2.9560999999999999E-14</v>
      </c>
      <c r="I3" s="1">
        <v>1.9751999999999998E-15</v>
      </c>
      <c r="J3" s="1">
        <v>3.3423000000000001E-14</v>
      </c>
      <c r="K3" s="1"/>
      <c r="L3" s="1"/>
      <c r="N3" s="7"/>
      <c r="O3">
        <f t="shared" ref="O3:O41" si="4">B3/60</f>
        <v>4.5400000000000003E-2</v>
      </c>
      <c r="P3" s="6">
        <f t="shared" ref="P3:P41" si="5">(SUM(F3:J3)+C3)/$A$1*100</f>
        <v>99.975507687370083</v>
      </c>
      <c r="Q3" s="6">
        <f t="shared" si="0"/>
        <v>0.97577245831262738</v>
      </c>
      <c r="R3" s="6">
        <f t="shared" si="1"/>
        <v>1.5582126554127154E-3</v>
      </c>
      <c r="S3" s="10">
        <f t="shared" si="2"/>
        <v>2.624257027230734E-2</v>
      </c>
      <c r="T3" s="6">
        <f t="shared" si="3"/>
        <v>98.971934446129723</v>
      </c>
      <c r="U3" s="6">
        <f t="shared" si="3"/>
        <v>95.741608544375651</v>
      </c>
      <c r="V3" s="6">
        <f t="shared" si="3"/>
        <v>3.2303259017540871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4.7720000000000002</v>
      </c>
      <c r="C4" s="8">
        <v>1.2573339999999999E-10</v>
      </c>
      <c r="D4" s="1">
        <v>1.2163159999999999E-10</v>
      </c>
      <c r="E4" s="1">
        <v>4.1018000000000002E-12</v>
      </c>
      <c r="F4" s="1">
        <v>1.4469E-12</v>
      </c>
      <c r="G4" s="1">
        <v>1.1115E-17</v>
      </c>
      <c r="H4" s="1">
        <v>7.8281000000000005E-14</v>
      </c>
      <c r="I4" s="1">
        <v>5.1732999999999999E-15</v>
      </c>
      <c r="J4" s="1">
        <v>5.8358999999999994E-14</v>
      </c>
      <c r="K4" s="1"/>
      <c r="L4" s="1"/>
      <c r="N4" s="7"/>
      <c r="O4">
        <f t="shared" si="4"/>
        <v>7.9533333333333331E-2</v>
      </c>
      <c r="P4" s="6">
        <f t="shared" si="5"/>
        <v>99.968877634565871</v>
      </c>
      <c r="Q4" s="6">
        <f t="shared" si="0"/>
        <v>1.1975187616458121</v>
      </c>
      <c r="R4" s="6">
        <f t="shared" si="1"/>
        <v>4.0706212775126187E-3</v>
      </c>
      <c r="S4" s="10">
        <f t="shared" si="2"/>
        <v>4.5821445068413486E-2</v>
      </c>
      <c r="T4" s="6">
        <f t="shared" si="3"/>
        <v>98.721466806574128</v>
      </c>
      <c r="U4" s="6">
        <f t="shared" si="3"/>
        <v>95.500876950997124</v>
      </c>
      <c r="V4" s="6">
        <f t="shared" si="3"/>
        <v>3.2205898555770052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6.82</v>
      </c>
      <c r="C5" s="8">
        <v>1.2547620000000002E-10</v>
      </c>
      <c r="D5" s="1">
        <v>1.2138710000000001E-10</v>
      </c>
      <c r="E5" s="1">
        <v>4.0890999999999996E-12</v>
      </c>
      <c r="F5" s="1">
        <v>1.6082999999999999E-12</v>
      </c>
      <c r="G5" s="1">
        <v>1.3277E-17</v>
      </c>
      <c r="H5" s="1">
        <v>1.3460999999999999E-13</v>
      </c>
      <c r="I5" s="1">
        <v>8.9359000000000007E-15</v>
      </c>
      <c r="J5" s="1">
        <v>8.3219000000000001E-14</v>
      </c>
      <c r="K5" s="1"/>
      <c r="L5" s="1"/>
      <c r="N5" s="7"/>
      <c r="O5">
        <f t="shared" si="4"/>
        <v>0.11366666666666667</v>
      </c>
      <c r="P5" s="6">
        <f t="shared" si="5"/>
        <v>99.960361547951734</v>
      </c>
      <c r="Q5" s="6">
        <f t="shared" si="0"/>
        <v>1.3684719550401574</v>
      </c>
      <c r="R5" s="6">
        <f t="shared" si="1"/>
        <v>7.0265806870064501E-3</v>
      </c>
      <c r="S5" s="10">
        <f t="shared" si="2"/>
        <v>6.5340647323434295E-2</v>
      </c>
      <c r="T5" s="6">
        <f t="shared" si="3"/>
        <v>98.519522364901135</v>
      </c>
      <c r="U5" s="6">
        <f t="shared" si="3"/>
        <v>95.308904105005482</v>
      </c>
      <c r="V5" s="6">
        <f t="shared" si="3"/>
        <v>3.210618259895639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8.8680000000000003</v>
      </c>
      <c r="C6" s="8">
        <v>1.2525000000000001E-10</v>
      </c>
      <c r="D6" s="1">
        <v>1.211734E-10</v>
      </c>
      <c r="E6" s="1">
        <v>4.0765999999999998E-12</v>
      </c>
      <c r="F6" s="1">
        <v>1.7383E-12</v>
      </c>
      <c r="G6" s="1">
        <v>1.5644000000000001E-17</v>
      </c>
      <c r="H6" s="1">
        <v>1.9656E-13</v>
      </c>
      <c r="I6" s="1">
        <v>1.341E-14</v>
      </c>
      <c r="J6" s="1">
        <v>1.0799999999999999E-13</v>
      </c>
      <c r="K6" s="1"/>
      <c r="L6" s="1"/>
      <c r="N6" s="7"/>
      <c r="O6">
        <f t="shared" si="4"/>
        <v>0.14780000000000001</v>
      </c>
      <c r="P6" s="6">
        <f t="shared" si="5"/>
        <v>99.956441585707495</v>
      </c>
      <c r="Q6" s="6">
        <f t="shared" si="0"/>
        <v>1.519184379531358</v>
      </c>
      <c r="R6" s="6">
        <f t="shared" si="1"/>
        <v>1.0541345962989E-2</v>
      </c>
      <c r="S6" s="10">
        <f t="shared" si="2"/>
        <v>8.4797821542326915E-2</v>
      </c>
      <c r="T6" s="6">
        <f t="shared" si="3"/>
        <v>98.341918038670812</v>
      </c>
      <c r="U6" s="6">
        <f t="shared" si="3"/>
        <v>95.141114341453687</v>
      </c>
      <c r="V6" s="6">
        <f t="shared" si="3"/>
        <v>3.2008036972171285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0.7</v>
      </c>
      <c r="AH6" s="36">
        <v>0.7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10.916</v>
      </c>
      <c r="C7" s="8">
        <v>1.2503939999999998E-10</v>
      </c>
      <c r="D7" s="1">
        <v>1.2097499999999999E-10</v>
      </c>
      <c r="E7" s="1">
        <v>4.0644000000000003E-12</v>
      </c>
      <c r="F7" s="1">
        <v>1.8476999999999999E-12</v>
      </c>
      <c r="G7" s="1">
        <v>1.819E-17</v>
      </c>
      <c r="H7" s="1">
        <v>2.6314999999999999E-13</v>
      </c>
      <c r="I7" s="1">
        <v>1.8662999999999999E-14</v>
      </c>
      <c r="J7" s="1">
        <v>1.3271E-13</v>
      </c>
      <c r="K7" s="1"/>
      <c r="L7" s="1"/>
      <c r="N7" s="7"/>
      <c r="O7">
        <f t="shared" si="4"/>
        <v>0.18193333333333334</v>
      </c>
      <c r="P7" s="6">
        <f t="shared" si="5"/>
        <v>99.952794922916226</v>
      </c>
      <c r="Q7" s="6">
        <f t="shared" si="0"/>
        <v>1.6573655703946371</v>
      </c>
      <c r="R7" s="6">
        <f t="shared" si="1"/>
        <v>1.4667816813132428E-2</v>
      </c>
      <c r="S7" s="10">
        <f t="shared" si="2"/>
        <v>0.1041992490452056</v>
      </c>
      <c r="T7" s="6">
        <f t="shared" si="3"/>
        <v>98.176562286663255</v>
      </c>
      <c r="U7" s="6">
        <f t="shared" si="3"/>
        <v>94.985337602620362</v>
      </c>
      <c r="V7" s="6">
        <f t="shared" si="3"/>
        <v>3.1912246840429028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161</v>
      </c>
      <c r="AH7" s="1" t="s">
        <v>162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12.964</v>
      </c>
      <c r="C8" s="8">
        <v>1.248365E-10</v>
      </c>
      <c r="D8" s="1">
        <v>1.2078379999999999E-10</v>
      </c>
      <c r="E8" s="1">
        <v>4.0527000000000003E-12</v>
      </c>
      <c r="F8" s="1">
        <v>1.9423999999999999E-12</v>
      </c>
      <c r="G8" s="1">
        <v>2.0903999999999999E-17</v>
      </c>
      <c r="H8" s="1">
        <v>3.3377E-13</v>
      </c>
      <c r="I8" s="1">
        <v>2.4748999999999999E-14</v>
      </c>
      <c r="J8" s="1">
        <v>1.5735000000000001E-13</v>
      </c>
      <c r="K8" s="1"/>
      <c r="L8" s="1"/>
      <c r="M8" s="4"/>
      <c r="N8" s="7"/>
      <c r="O8">
        <f t="shared" si="4"/>
        <v>0.21606666666666668</v>
      </c>
      <c r="P8" s="6">
        <f t="shared" si="5"/>
        <v>99.947415532846207</v>
      </c>
      <c r="Q8" s="6">
        <f t="shared" si="0"/>
        <v>1.7871690505555395</v>
      </c>
      <c r="R8" s="6">
        <f t="shared" si="1"/>
        <v>1.9448462027894162E-2</v>
      </c>
      <c r="S8" s="10">
        <f t="shared" si="2"/>
        <v>0.12354571499708464</v>
      </c>
      <c r="T8" s="6">
        <f t="shared" si="3"/>
        <v>98.017252305265686</v>
      </c>
      <c r="U8" s="6">
        <f t="shared" si="3"/>
        <v>94.835214051889864</v>
      </c>
      <c r="V8" s="6">
        <f t="shared" si="3"/>
        <v>3.1820382533758176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0.17</v>
      </c>
      <c r="AH8" s="37">
        <v>0.17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17.059999999999999</v>
      </c>
      <c r="C9" s="8">
        <v>1.244548E-10</v>
      </c>
      <c r="D9" s="1">
        <v>1.2042439999999999E-10</v>
      </c>
      <c r="E9" s="1">
        <v>4.0304000000000003E-12</v>
      </c>
      <c r="F9" s="1">
        <v>2.1075000000000001E-12</v>
      </c>
      <c r="G9" s="1">
        <v>2.6630000000000001E-17</v>
      </c>
      <c r="H9" s="1">
        <v>4.8541999999999997E-13</v>
      </c>
      <c r="I9" s="1">
        <v>3.9612000000000001E-14</v>
      </c>
      <c r="J9" s="1">
        <v>2.0641999999999999E-13</v>
      </c>
      <c r="K9" s="1"/>
      <c r="L9" s="1"/>
      <c r="N9" s="7"/>
      <c r="O9">
        <f t="shared" si="4"/>
        <v>0.28433333333333333</v>
      </c>
      <c r="P9" s="6">
        <f t="shared" si="5"/>
        <v>99.946621515881546</v>
      </c>
      <c r="Q9" s="6">
        <f t="shared" si="0"/>
        <v>2.0358700688289844</v>
      </c>
      <c r="R9" s="6">
        <f t="shared" si="1"/>
        <v>3.1122865490021544E-2</v>
      </c>
      <c r="S9" s="10">
        <f t="shared" si="2"/>
        <v>0.16207376224784373</v>
      </c>
      <c r="T9" s="6">
        <f t="shared" si="3"/>
        <v>97.717554819314699</v>
      </c>
      <c r="U9" s="6">
        <f t="shared" si="3"/>
        <v>94.553025745757353</v>
      </c>
      <c r="V9" s="6">
        <f t="shared" si="3"/>
        <v>3.1645290735573561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4.7699999999999996</v>
      </c>
      <c r="AH9" s="37">
        <v>4.7699999999999996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21.155999999999999</v>
      </c>
      <c r="C10" s="8">
        <v>1.240834E-10</v>
      </c>
      <c r="D10" s="1">
        <v>1.2007359999999999E-10</v>
      </c>
      <c r="E10" s="1">
        <v>4.0098000000000001E-12</v>
      </c>
      <c r="F10" s="1">
        <v>2.2408999999999999E-12</v>
      </c>
      <c r="G10" s="1">
        <v>3.2686999999999999E-17</v>
      </c>
      <c r="H10" s="1">
        <v>6.492E-13</v>
      </c>
      <c r="I10" s="1">
        <v>5.8233999999999995E-14</v>
      </c>
      <c r="J10" s="1">
        <v>2.5522E-13</v>
      </c>
      <c r="K10" s="1"/>
      <c r="L10" s="1"/>
      <c r="N10" s="7"/>
      <c r="O10">
        <f t="shared" si="4"/>
        <v>0.35259999999999997</v>
      </c>
      <c r="P10" s="6">
        <f t="shared" si="5"/>
        <v>99.94128871985896</v>
      </c>
      <c r="Q10" s="6">
        <f t="shared" si="0"/>
        <v>2.269205407772954</v>
      </c>
      <c r="R10" s="6">
        <f t="shared" si="1"/>
        <v>4.5748964130450182E-2</v>
      </c>
      <c r="S10" s="10">
        <f t="shared" si="2"/>
        <v>0.200389814944747</v>
      </c>
      <c r="T10" s="6">
        <f t="shared" si="3"/>
        <v>97.425944533010806</v>
      </c>
      <c r="U10" s="6">
        <f t="shared" si="3"/>
        <v>94.277589858747632</v>
      </c>
      <c r="V10" s="6">
        <f t="shared" si="3"/>
        <v>3.1483546742631714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1.7E-6</v>
      </c>
      <c r="AH10" s="37">
        <v>1.7E-6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29.347999999999999</v>
      </c>
      <c r="C11" s="8">
        <v>1.2336759999999999E-10</v>
      </c>
      <c r="D11" s="1">
        <v>1.1939479999999999E-10</v>
      </c>
      <c r="E11" s="1">
        <v>3.9728000000000002E-12</v>
      </c>
      <c r="F11" s="1">
        <v>2.4425000000000001E-12</v>
      </c>
      <c r="G11" s="1">
        <v>4.4814000000000002E-17</v>
      </c>
      <c r="H11" s="1">
        <v>1.0047999999999999E-12</v>
      </c>
      <c r="I11" s="1">
        <v>1.0719E-13</v>
      </c>
      <c r="J11" s="1">
        <v>3.5212999999999998E-13</v>
      </c>
      <c r="K11" s="1"/>
      <c r="L11" s="1"/>
      <c r="N11" s="7"/>
      <c r="O11">
        <f t="shared" si="4"/>
        <v>0.48913333333333331</v>
      </c>
      <c r="P11" s="6">
        <f t="shared" si="5"/>
        <v>99.931299950263238</v>
      </c>
      <c r="Q11" s="6">
        <f t="shared" si="0"/>
        <v>2.7066993537302184</v>
      </c>
      <c r="R11" s="6">
        <f t="shared" si="1"/>
        <v>8.419702426570945E-2</v>
      </c>
      <c r="S11" s="10">
        <f t="shared" si="2"/>
        <v>0.27648015647869978</v>
      </c>
      <c r="T11" s="6">
        <f t="shared" si="3"/>
        <v>96.863923415788605</v>
      </c>
      <c r="U11" s="6">
        <f t="shared" si="3"/>
        <v>93.744619847053826</v>
      </c>
      <c r="V11" s="6">
        <f t="shared" si="3"/>
        <v>3.1193035687347814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37.54</v>
      </c>
      <c r="C12" s="8">
        <v>1.2268789999999999E-10</v>
      </c>
      <c r="D12" s="1">
        <v>1.187473E-10</v>
      </c>
      <c r="E12" s="1">
        <v>3.9406000000000004E-12</v>
      </c>
      <c r="F12" s="1">
        <v>2.5768000000000001E-12</v>
      </c>
      <c r="G12" s="1">
        <v>5.6054000000000001E-17</v>
      </c>
      <c r="H12" s="1">
        <v>1.3891E-12</v>
      </c>
      <c r="I12" s="1">
        <v>1.7122E-13</v>
      </c>
      <c r="J12" s="1">
        <v>4.4821000000000002E-13</v>
      </c>
      <c r="K12" s="1"/>
      <c r="L12" s="1"/>
      <c r="N12" s="7"/>
      <c r="O12">
        <f t="shared" si="4"/>
        <v>0.6256666666666667</v>
      </c>
      <c r="P12" s="6">
        <f t="shared" si="5"/>
        <v>99.930531462153866</v>
      </c>
      <c r="Q12" s="6">
        <f t="shared" si="0"/>
        <v>3.1138859301362438</v>
      </c>
      <c r="R12" s="6">
        <f t="shared" si="1"/>
        <v>0.13447996538486989</v>
      </c>
      <c r="S12" s="10">
        <f t="shared" si="2"/>
        <v>0.35191881105079953</v>
      </c>
      <c r="T12" s="6">
        <f t="shared" si="3"/>
        <v>96.330246755581953</v>
      </c>
      <c r="U12" s="6">
        <f t="shared" si="3"/>
        <v>93.236225500307015</v>
      </c>
      <c r="V12" s="6">
        <f t="shared" si="3"/>
        <v>3.0940212552749395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45.731999999999999</v>
      </c>
      <c r="C13" s="8">
        <v>1.220195E-10</v>
      </c>
      <c r="D13" s="1">
        <v>1.1810780000000002E-10</v>
      </c>
      <c r="E13" s="1">
        <v>3.9117E-12</v>
      </c>
      <c r="F13" s="1">
        <v>2.6639E-12</v>
      </c>
      <c r="G13" s="1">
        <v>6.5523000000000005E-17</v>
      </c>
      <c r="H13" s="1">
        <v>1.7930999999999999E-12</v>
      </c>
      <c r="I13" s="1">
        <v>2.4854000000000002E-13</v>
      </c>
      <c r="J13" s="1">
        <v>5.4354000000000002E-13</v>
      </c>
      <c r="K13" s="1"/>
      <c r="L13" s="1"/>
      <c r="N13" s="7"/>
      <c r="O13">
        <f t="shared" si="4"/>
        <v>0.76219999999999999</v>
      </c>
      <c r="P13" s="6">
        <f t="shared" si="5"/>
        <v>99.926887879565001</v>
      </c>
      <c r="Q13" s="6">
        <f t="shared" si="0"/>
        <v>3.4994804686495469</v>
      </c>
      <c r="R13" s="6">
        <f t="shared" si="1"/>
        <v>0.19519635901658197</v>
      </c>
      <c r="S13" s="10">
        <f t="shared" si="2"/>
        <v>0.42676859186218863</v>
      </c>
      <c r="T13" s="6">
        <f t="shared" si="3"/>
        <v>95.805442460036659</v>
      </c>
      <c r="U13" s="6">
        <f t="shared" si="3"/>
        <v>92.734112473674443</v>
      </c>
      <c r="V13" s="6">
        <f t="shared" si="3"/>
        <v>3.0713299863622243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53.923999999999999</v>
      </c>
      <c r="C14" s="8">
        <v>1.2135409999999999E-10</v>
      </c>
      <c r="D14" s="1">
        <v>1.1746889999999999E-10</v>
      </c>
      <c r="E14" s="1">
        <v>3.8851999999999996E-12</v>
      </c>
      <c r="F14" s="1">
        <v>2.7182999999999998E-12</v>
      </c>
      <c r="G14" s="1">
        <v>7.2822000000000003E-17</v>
      </c>
      <c r="H14" s="1">
        <v>2.2099000000000001E-12</v>
      </c>
      <c r="I14" s="1">
        <v>3.3670999999999999E-13</v>
      </c>
      <c r="J14" s="1">
        <v>6.3820000000000005E-13</v>
      </c>
      <c r="K14" s="1"/>
      <c r="L14" s="1"/>
      <c r="N14" s="7"/>
      <c r="O14">
        <f t="shared" si="4"/>
        <v>0.89873333333333327</v>
      </c>
      <c r="P14" s="6">
        <f t="shared" si="5"/>
        <v>99.917966284272026</v>
      </c>
      <c r="Q14" s="6">
        <f t="shared" si="0"/>
        <v>3.8694502233786618</v>
      </c>
      <c r="R14" s="6">
        <f t="shared" si="1"/>
        <v>0.26443008924515971</v>
      </c>
      <c r="S14" s="10">
        <f t="shared" si="2"/>
        <v>0.50109231211400962</v>
      </c>
      <c r="T14" s="6">
        <f t="shared" si="3"/>
        <v>95.282993659534213</v>
      </c>
      <c r="U14" s="6">
        <f t="shared" si="3"/>
        <v>92.232470546050422</v>
      </c>
      <c r="V14" s="6">
        <f t="shared" si="3"/>
        <v>3.0505231134837825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62.116</v>
      </c>
      <c r="C15" s="8">
        <v>1.207076E-10</v>
      </c>
      <c r="D15" s="1">
        <v>1.168472E-10</v>
      </c>
      <c r="E15" s="1">
        <v>3.8604E-12</v>
      </c>
      <c r="F15" s="1">
        <v>2.7500000000000002E-12</v>
      </c>
      <c r="G15" s="1">
        <v>7.8337000000000005E-17</v>
      </c>
      <c r="H15" s="1">
        <v>2.6348E-12</v>
      </c>
      <c r="I15" s="1">
        <v>4.3325E-13</v>
      </c>
      <c r="J15" s="1">
        <v>7.3223E-13</v>
      </c>
      <c r="K15" s="1"/>
      <c r="L15" s="1"/>
      <c r="N15" s="7"/>
      <c r="O15">
        <f t="shared" si="4"/>
        <v>1.0352666666666666</v>
      </c>
      <c r="P15" s="6">
        <f t="shared" si="5"/>
        <v>99.918496675016684</v>
      </c>
      <c r="Q15" s="6">
        <f t="shared" si="0"/>
        <v>4.2279565688992777</v>
      </c>
      <c r="R15" s="6">
        <f t="shared" si="1"/>
        <v>0.3402342499088824</v>
      </c>
      <c r="S15" s="10">
        <f t="shared" si="2"/>
        <v>0.57492137840683366</v>
      </c>
      <c r="T15" s="6">
        <f t="shared" si="3"/>
        <v>94.775384477801666</v>
      </c>
      <c r="U15" s="6">
        <f t="shared" si="3"/>
        <v>91.744333456672052</v>
      </c>
      <c r="V15" s="6">
        <f t="shared" si="3"/>
        <v>3.0310510211296187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0.05</v>
      </c>
      <c r="AH15" s="37">
        <v>0.05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70.308000000000007</v>
      </c>
      <c r="C16" s="8">
        <v>1.200613E-10</v>
      </c>
      <c r="D16" s="1">
        <v>1.162245E-10</v>
      </c>
      <c r="E16" s="1">
        <v>3.8368E-12</v>
      </c>
      <c r="F16" s="1">
        <v>2.7663E-12</v>
      </c>
      <c r="G16" s="1">
        <v>8.2290999999999995E-17</v>
      </c>
      <c r="H16" s="1">
        <v>3.0644000000000001E-12</v>
      </c>
      <c r="I16" s="1">
        <v>5.3605000000000002E-13</v>
      </c>
      <c r="J16" s="1">
        <v>8.2567999999999997E-13</v>
      </c>
      <c r="K16" s="1"/>
      <c r="L16" s="1"/>
      <c r="N16" s="7"/>
      <c r="O16">
        <f t="shared" si="4"/>
        <v>1.1718000000000002</v>
      </c>
      <c r="P16" s="6">
        <f t="shared" si="5"/>
        <v>99.915241344749873</v>
      </c>
      <c r="Q16" s="6">
        <f t="shared" si="0"/>
        <v>4.5780616487670889</v>
      </c>
      <c r="R16" s="6">
        <f t="shared" si="1"/>
        <v>0.42095231791941568</v>
      </c>
      <c r="S16" s="10">
        <f t="shared" si="2"/>
        <v>0.64829504899137491</v>
      </c>
      <c r="T16" s="6">
        <f t="shared" si="3"/>
        <v>94.267932329071996</v>
      </c>
      <c r="U16" s="6">
        <f t="shared" si="3"/>
        <v>91.255411202279404</v>
      </c>
      <c r="V16" s="6">
        <f t="shared" si="3"/>
        <v>3.012521126792592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86.691999999999993</v>
      </c>
      <c r="C17" s="8">
        <v>1.1877590000000001E-10</v>
      </c>
      <c r="D17" s="1">
        <v>1.149839E-10</v>
      </c>
      <c r="E17" s="1">
        <v>3.792E-12</v>
      </c>
      <c r="F17" s="1">
        <v>2.7744999999999999E-12</v>
      </c>
      <c r="G17" s="1">
        <v>8.6231999999999995E-17</v>
      </c>
      <c r="H17" s="1">
        <v>3.9293000000000002E-12</v>
      </c>
      <c r="I17" s="1">
        <v>7.5395000000000003E-13</v>
      </c>
      <c r="J17" s="1">
        <v>1.0109000000000001E-12</v>
      </c>
      <c r="K17" s="1"/>
      <c r="L17" s="1"/>
      <c r="N17" s="7"/>
      <c r="O17">
        <f t="shared" si="4"/>
        <v>1.4448666666666665</v>
      </c>
      <c r="P17" s="6">
        <f t="shared" si="5"/>
        <v>99.908036624254109</v>
      </c>
      <c r="Q17" s="6">
        <f t="shared" si="0"/>
        <v>5.2635892227356589</v>
      </c>
      <c r="R17" s="6">
        <f t="shared" si="1"/>
        <v>0.59204286886652424</v>
      </c>
      <c r="S17" s="10">
        <f t="shared" si="2"/>
        <v>0.79372331293646559</v>
      </c>
      <c r="T17" s="6">
        <f t="shared" si="3"/>
        <v>93.258681219715456</v>
      </c>
      <c r="U17" s="6">
        <f t="shared" si="3"/>
        <v>90.281335485562636</v>
      </c>
      <c r="V17" s="6">
        <f t="shared" si="3"/>
        <v>2.977345734152812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103.08</v>
      </c>
      <c r="C18" s="8">
        <v>1.175003E-10</v>
      </c>
      <c r="D18" s="1">
        <v>1.137509E-10</v>
      </c>
      <c r="E18" s="1">
        <v>3.7494000000000002E-12</v>
      </c>
      <c r="F18" s="1">
        <v>2.7607000000000001E-12</v>
      </c>
      <c r="G18" s="1">
        <v>8.8644000000000004E-17</v>
      </c>
      <c r="H18" s="1">
        <v>4.7947999999999997E-12</v>
      </c>
      <c r="I18" s="1">
        <v>9.8229000000000005E-13</v>
      </c>
      <c r="J18" s="1">
        <v>1.194E-12</v>
      </c>
      <c r="K18" s="1"/>
      <c r="L18" s="1"/>
      <c r="N18" s="7"/>
      <c r="O18">
        <f t="shared" si="4"/>
        <v>1.718</v>
      </c>
      <c r="P18" s="6">
        <f t="shared" si="5"/>
        <v>99.898255361994174</v>
      </c>
      <c r="Q18" s="6">
        <f t="shared" si="0"/>
        <v>5.9323142653986203</v>
      </c>
      <c r="R18" s="6">
        <f t="shared" si="1"/>
        <v>0.77132934204541781</v>
      </c>
      <c r="S18" s="10">
        <f t="shared" si="2"/>
        <v>0.93748702705128084</v>
      </c>
      <c r="T18" s="6">
        <f t="shared" ref="T18:V43" si="6">C18/$A$1*100</f>
        <v>92.257124727498848</v>
      </c>
      <c r="U18" s="6">
        <f t="shared" si="6"/>
        <v>89.313227022954393</v>
      </c>
      <c r="V18" s="6">
        <f t="shared" si="6"/>
        <v>2.9438977045444497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119.46</v>
      </c>
      <c r="C19" s="8">
        <v>1.1624800000000001E-10</v>
      </c>
      <c r="D19" s="1">
        <v>1.1253980000000001E-10</v>
      </c>
      <c r="E19" s="1">
        <v>3.7081999999999999E-12</v>
      </c>
      <c r="F19" s="1">
        <v>2.7365999999999999E-12</v>
      </c>
      <c r="G19" s="1">
        <v>9.0729000000000005E-17</v>
      </c>
      <c r="H19" s="1">
        <v>5.6549999999999996E-12</v>
      </c>
      <c r="I19" s="1">
        <v>1.2156E-12</v>
      </c>
      <c r="J19" s="1">
        <v>1.3751000000000001E-12</v>
      </c>
      <c r="K19" s="1"/>
      <c r="L19" s="1"/>
      <c r="N19" s="7"/>
      <c r="O19">
        <f t="shared" si="4"/>
        <v>1.9909999999999999</v>
      </c>
      <c r="P19" s="6">
        <f t="shared" si="5"/>
        <v>99.896851553687654</v>
      </c>
      <c r="Q19" s="6">
        <f t="shared" si="0"/>
        <v>6.5887907338388008</v>
      </c>
      <c r="R19" s="6">
        <f t="shared" si="1"/>
        <v>0.95451782859632706</v>
      </c>
      <c r="S19" s="10">
        <f t="shared" si="2"/>
        <v>1.0796804111375347</v>
      </c>
      <c r="T19" s="6">
        <f t="shared" si="6"/>
        <v>91.273862580115008</v>
      </c>
      <c r="U19" s="6">
        <f t="shared" si="6"/>
        <v>88.362313674158926</v>
      </c>
      <c r="V19" s="6">
        <f t="shared" si="6"/>
        <v>2.9115489059560802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135.84</v>
      </c>
      <c r="C20" s="8">
        <v>1.1500220000000001E-10</v>
      </c>
      <c r="D20" s="1">
        <v>1.1133430000000001E-10</v>
      </c>
      <c r="E20" s="1">
        <v>3.6678999999999997E-12</v>
      </c>
      <c r="F20" s="1">
        <v>2.7086E-12</v>
      </c>
      <c r="G20" s="1">
        <v>9.1189999999999996E-17</v>
      </c>
      <c r="H20" s="1">
        <v>6.5072000000000004E-12</v>
      </c>
      <c r="I20" s="1">
        <v>1.4504999999999999E-12</v>
      </c>
      <c r="J20" s="1">
        <v>1.5542E-12</v>
      </c>
      <c r="K20" s="1"/>
      <c r="L20" s="1"/>
      <c r="N20" s="7"/>
      <c r="O20">
        <f t="shared" si="4"/>
        <v>2.2640000000000002</v>
      </c>
      <c r="P20" s="6">
        <f t="shared" si="5"/>
        <v>99.890884661540213</v>
      </c>
      <c r="Q20" s="6">
        <f t="shared" si="0"/>
        <v>7.235923738609042</v>
      </c>
      <c r="R20" s="6">
        <f t="shared" si="1"/>
        <v>1.1389534524119596</v>
      </c>
      <c r="S20" s="10">
        <f t="shared" si="2"/>
        <v>1.2203034651952267</v>
      </c>
      <c r="T20" s="6">
        <f t="shared" si="6"/>
        <v>90.295704005323969</v>
      </c>
      <c r="U20" s="6">
        <f t="shared" si="6"/>
        <v>87.415797249443401</v>
      </c>
      <c r="V20" s="6">
        <f t="shared" si="6"/>
        <v>2.879906755880564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152.22999999999999</v>
      </c>
      <c r="C21" s="8">
        <v>1.1376E-10</v>
      </c>
      <c r="D21" s="1">
        <v>1.101317E-10</v>
      </c>
      <c r="E21" s="1">
        <v>3.6283000000000002E-12</v>
      </c>
      <c r="F21" s="1">
        <v>2.6797E-12</v>
      </c>
      <c r="G21" s="1">
        <v>9.0498999999999999E-17</v>
      </c>
      <c r="H21" s="1">
        <v>7.3506999999999994E-12</v>
      </c>
      <c r="I21" s="1">
        <v>1.6851E-12</v>
      </c>
      <c r="J21" s="1">
        <v>1.7314000000000001E-12</v>
      </c>
      <c r="K21" s="1"/>
      <c r="L21" s="1"/>
      <c r="N21" s="7"/>
      <c r="O21">
        <f t="shared" si="4"/>
        <v>2.5371666666666663</v>
      </c>
      <c r="P21" s="6">
        <f t="shared" si="5"/>
        <v>99.87847851176555</v>
      </c>
      <c r="Q21" s="6">
        <f t="shared" si="0"/>
        <v>7.8755191592421854</v>
      </c>
      <c r="R21" s="6">
        <f t="shared" si="1"/>
        <v>1.3231526222132115</v>
      </c>
      <c r="S21" s="10">
        <f t="shared" si="2"/>
        <v>1.3594347057257854</v>
      </c>
      <c r="T21" s="6">
        <f t="shared" si="6"/>
        <v>89.320372024584358</v>
      </c>
      <c r="U21" s="6">
        <f t="shared" si="6"/>
        <v>86.471557803269306</v>
      </c>
      <c r="V21" s="6">
        <f t="shared" si="6"/>
        <v>2.8488142213150445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185</v>
      </c>
      <c r="C22" s="8">
        <v>1.113315E-10</v>
      </c>
      <c r="D22" s="1">
        <v>1.077811E-10</v>
      </c>
      <c r="E22" s="1">
        <v>3.5503999999999999E-12</v>
      </c>
      <c r="F22" s="1">
        <v>2.6221999999999999E-12</v>
      </c>
      <c r="G22" s="1">
        <v>8.7147999999999999E-17</v>
      </c>
      <c r="H22" s="1">
        <v>9.0103999999999997E-12</v>
      </c>
      <c r="I22" s="1">
        <v>2.1496E-12</v>
      </c>
      <c r="J22" s="1">
        <v>2.08E-12</v>
      </c>
      <c r="K22" s="1"/>
      <c r="L22" s="1"/>
      <c r="N22" s="7"/>
      <c r="O22">
        <f t="shared" si="4"/>
        <v>3.0833333333333335</v>
      </c>
      <c r="P22" s="6">
        <f t="shared" si="5"/>
        <v>99.868111702489074</v>
      </c>
      <c r="Q22" s="6">
        <f t="shared" si="0"/>
        <v>9.1335105451228902</v>
      </c>
      <c r="R22" s="6">
        <f t="shared" si="1"/>
        <v>1.6878591402586824</v>
      </c>
      <c r="S22" s="10">
        <f t="shared" si="2"/>
        <v>1.633143229704074</v>
      </c>
      <c r="T22" s="6">
        <f t="shared" si="6"/>
        <v>87.41359878740343</v>
      </c>
      <c r="U22" s="6">
        <f t="shared" si="6"/>
        <v>84.62594892070085</v>
      </c>
      <c r="V22" s="6">
        <f t="shared" si="6"/>
        <v>2.7876498667025693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250.53</v>
      </c>
      <c r="C23" s="8">
        <v>1.0670969999999999E-10</v>
      </c>
      <c r="D23" s="1">
        <v>1.033067E-10</v>
      </c>
      <c r="E23" s="1">
        <v>3.4029999999999999E-12</v>
      </c>
      <c r="F23" s="1">
        <v>2.5128999999999999E-12</v>
      </c>
      <c r="G23" s="1">
        <v>8.3895000000000005E-17</v>
      </c>
      <c r="H23" s="1">
        <v>1.2225E-11</v>
      </c>
      <c r="I23" s="1">
        <v>3.0524000000000002E-12</v>
      </c>
      <c r="J23" s="1">
        <v>2.7553000000000002E-12</v>
      </c>
      <c r="K23" s="1"/>
      <c r="L23" s="1"/>
      <c r="N23" s="7"/>
      <c r="O23">
        <f t="shared" si="4"/>
        <v>4.1755000000000004</v>
      </c>
      <c r="P23" s="6">
        <f t="shared" si="5"/>
        <v>99.916475313226968</v>
      </c>
      <c r="Q23" s="6">
        <f t="shared" si="0"/>
        <v>11.571683463969075</v>
      </c>
      <c r="R23" s="6">
        <f t="shared" si="1"/>
        <v>2.3967035610096019</v>
      </c>
      <c r="S23" s="10">
        <f t="shared" si="2"/>
        <v>2.1633651638479017</v>
      </c>
      <c r="T23" s="6">
        <f t="shared" si="6"/>
        <v>83.784723124400401</v>
      </c>
      <c r="U23" s="6">
        <f t="shared" si="6"/>
        <v>81.112806580802825</v>
      </c>
      <c r="V23" s="6">
        <f t="shared" si="6"/>
        <v>2.6719165435975785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165</v>
      </c>
      <c r="AH23" s="1" t="s">
        <v>171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316.07</v>
      </c>
      <c r="C24" s="8">
        <v>1.022807E-10</v>
      </c>
      <c r="D24" s="1">
        <v>9.9019000000000002E-11</v>
      </c>
      <c r="E24" s="1">
        <v>3.2617000000000001E-12</v>
      </c>
      <c r="F24" s="1">
        <v>2.4085000000000001E-12</v>
      </c>
      <c r="G24" s="1">
        <v>8.2616999999999997E-17</v>
      </c>
      <c r="H24" s="1">
        <v>1.5307E-11</v>
      </c>
      <c r="I24" s="1">
        <v>3.9189000000000002E-12</v>
      </c>
      <c r="J24" s="1">
        <v>3.4026000000000001E-12</v>
      </c>
      <c r="K24" s="1"/>
      <c r="L24" s="1"/>
      <c r="N24" s="7"/>
      <c r="O24">
        <f t="shared" si="4"/>
        <v>5.2678333333333329</v>
      </c>
      <c r="P24" s="6">
        <f t="shared" si="5"/>
        <v>99.965468606677206</v>
      </c>
      <c r="Q24" s="6">
        <f t="shared" si="0"/>
        <v>13.909590810491599</v>
      </c>
      <c r="R24" s="6">
        <f t="shared" si="1"/>
        <v>3.0770480424430313</v>
      </c>
      <c r="S24" s="10">
        <f t="shared" si="2"/>
        <v>2.6716024775918665</v>
      </c>
      <c r="T24" s="6">
        <f t="shared" si="6"/>
        <v>80.307227276150712</v>
      </c>
      <c r="U24" s="6">
        <f t="shared" si="6"/>
        <v>77.746254549071011</v>
      </c>
      <c r="V24" s="6">
        <f t="shared" si="6"/>
        <v>2.5609727270797014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447.14</v>
      </c>
      <c r="C25" s="8">
        <v>9.4123699999999997E-11</v>
      </c>
      <c r="D25" s="1">
        <v>9.1122100000000002E-11</v>
      </c>
      <c r="E25" s="1">
        <v>3.0016000000000001E-12</v>
      </c>
      <c r="F25" s="1">
        <v>2.2164000000000001E-12</v>
      </c>
      <c r="G25" s="1">
        <v>7.5896999999999996E-17</v>
      </c>
      <c r="H25" s="1">
        <v>2.1097E-11</v>
      </c>
      <c r="I25" s="1">
        <v>5.5489000000000003E-12</v>
      </c>
      <c r="J25" s="1">
        <v>4.6192999999999999E-12</v>
      </c>
      <c r="K25" s="1"/>
      <c r="L25" s="1"/>
      <c r="N25" s="7"/>
      <c r="O25">
        <f t="shared" si="4"/>
        <v>7.4523333333333328</v>
      </c>
      <c r="P25" s="6">
        <f t="shared" si="5"/>
        <v>100.19127678847546</v>
      </c>
      <c r="Q25" s="6">
        <f t="shared" si="0"/>
        <v>18.304866043934116</v>
      </c>
      <c r="R25" s="6">
        <f t="shared" si="1"/>
        <v>4.3568617394118467</v>
      </c>
      <c r="S25" s="10">
        <f t="shared" si="2"/>
        <v>3.626912750467322</v>
      </c>
      <c r="T25" s="6">
        <f t="shared" si="6"/>
        <v>73.902636254662184</v>
      </c>
      <c r="U25" s="6">
        <f t="shared" si="6"/>
        <v>71.545884947796921</v>
      </c>
      <c r="V25" s="6">
        <f t="shared" si="6"/>
        <v>2.3567513068652639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578.21</v>
      </c>
      <c r="C26" s="8">
        <v>8.66171E-11</v>
      </c>
      <c r="D26" s="1">
        <v>8.3854899999999998E-11</v>
      </c>
      <c r="E26" s="1">
        <v>2.7622000000000001E-12</v>
      </c>
      <c r="F26" s="1">
        <v>2.0395999999999999E-12</v>
      </c>
      <c r="G26" s="1">
        <v>7.0295999999999996E-17</v>
      </c>
      <c r="H26" s="1">
        <v>2.6426000000000001E-11</v>
      </c>
      <c r="I26" s="1">
        <v>7.0492000000000003E-12</v>
      </c>
      <c r="J26" s="1">
        <v>5.7389000000000001E-12</v>
      </c>
      <c r="K26" s="1"/>
      <c r="L26" s="1"/>
      <c r="N26" s="7"/>
      <c r="O26">
        <f t="shared" si="4"/>
        <v>9.6368333333333336</v>
      </c>
      <c r="P26" s="6">
        <f t="shared" si="5"/>
        <v>100.39973370205779</v>
      </c>
      <c r="Q26" s="6">
        <f t="shared" si="0"/>
        <v>22.350193230511678</v>
      </c>
      <c r="R26" s="6">
        <f t="shared" si="1"/>
        <v>5.5348404126280935</v>
      </c>
      <c r="S26" s="10">
        <f t="shared" si="2"/>
        <v>4.5059835004561108</v>
      </c>
      <c r="T26" s="6">
        <f t="shared" si="6"/>
        <v>68.008716558461899</v>
      </c>
      <c r="U26" s="6">
        <f t="shared" si="6"/>
        <v>65.839933756015455</v>
      </c>
      <c r="V26" s="6">
        <f t="shared" si="6"/>
        <v>2.1687828024464393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709.28</v>
      </c>
      <c r="C27" s="8">
        <v>7.970950000000001E-11</v>
      </c>
      <c r="D27" s="1">
        <v>7.7167500000000008E-11</v>
      </c>
      <c r="E27" s="1">
        <v>2.5419999999999999E-12</v>
      </c>
      <c r="F27" s="1">
        <v>1.8770000000000002E-12</v>
      </c>
      <c r="G27" s="1">
        <v>6.4549000000000004E-17</v>
      </c>
      <c r="H27" s="1">
        <v>3.1330000000000003E-11</v>
      </c>
      <c r="I27" s="1">
        <v>8.4300999999999998E-12</v>
      </c>
      <c r="J27" s="1">
        <v>6.7691999999999999E-12</v>
      </c>
      <c r="K27" s="1"/>
      <c r="L27" s="1"/>
      <c r="N27" s="7"/>
      <c r="O27">
        <f t="shared" si="4"/>
        <v>11.821333333333333</v>
      </c>
      <c r="P27" s="6">
        <f t="shared" si="5"/>
        <v>100.59209461821325</v>
      </c>
      <c r="Q27" s="6">
        <f t="shared" si="0"/>
        <v>26.072974629222685</v>
      </c>
      <c r="R27" s="6">
        <f t="shared" si="1"/>
        <v>6.6190702685051201</v>
      </c>
      <c r="S27" s="10">
        <f t="shared" si="2"/>
        <v>5.3149390146696236</v>
      </c>
      <c r="T27" s="6">
        <f t="shared" si="6"/>
        <v>62.585110705815815</v>
      </c>
      <c r="U27" s="6">
        <f t="shared" si="6"/>
        <v>60.589221239514011</v>
      </c>
      <c r="V27" s="6">
        <f t="shared" si="6"/>
        <v>1.9958894663018059</v>
      </c>
      <c r="X27" s="5"/>
      <c r="Y27" s="68" t="s">
        <v>135</v>
      </c>
      <c r="Z27" s="69"/>
      <c r="AA27" s="70"/>
      <c r="AB27" s="71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971.43</v>
      </c>
      <c r="C28" s="8">
        <v>6.7158100000000006E-11</v>
      </c>
      <c r="D28" s="1">
        <v>6.5016400000000002E-11</v>
      </c>
      <c r="E28" s="1">
        <v>2.1417000000000001E-12</v>
      </c>
      <c r="F28" s="1">
        <v>1.5813999999999999E-12</v>
      </c>
      <c r="G28" s="1">
        <v>5.2946000000000002E-17</v>
      </c>
      <c r="H28" s="1">
        <v>3.9990999999999998E-11</v>
      </c>
      <c r="I28" s="1">
        <v>1.0867E-11</v>
      </c>
      <c r="J28" s="1">
        <v>8.5887999999999999E-12</v>
      </c>
      <c r="K28" s="1"/>
      <c r="L28" s="1"/>
      <c r="N28" s="7"/>
      <c r="O28">
        <f t="shared" si="4"/>
        <v>16.1905</v>
      </c>
      <c r="P28" s="6">
        <f t="shared" si="5"/>
        <v>100.64743964145038</v>
      </c>
      <c r="Q28" s="6">
        <f t="shared" si="0"/>
        <v>32.641194039687335</v>
      </c>
      <c r="R28" s="6">
        <f t="shared" si="1"/>
        <v>8.5324297815363526</v>
      </c>
      <c r="S28" s="10">
        <f t="shared" si="2"/>
        <v>6.7436252746549767</v>
      </c>
      <c r="T28" s="6">
        <f t="shared" si="6"/>
        <v>52.730190545571723</v>
      </c>
      <c r="U28" s="6">
        <f t="shared" si="6"/>
        <v>51.048602634486514</v>
      </c>
      <c r="V28" s="6">
        <f t="shared" si="6"/>
        <v>1.6815879110851997</v>
      </c>
      <c r="X28" s="5"/>
      <c r="Y28" s="72"/>
      <c r="Z28" s="73"/>
      <c r="AA28" s="74"/>
      <c r="AB28" s="7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1233.5999999999999</v>
      </c>
      <c r="C29" s="8">
        <v>5.6455200000000006E-11</v>
      </c>
      <c r="D29" s="1">
        <v>5.4654800000000005E-11</v>
      </c>
      <c r="E29" s="1">
        <v>1.8004000000000001E-12</v>
      </c>
      <c r="F29" s="1">
        <v>1.3294E-12</v>
      </c>
      <c r="G29" s="1">
        <v>4.4126999999999999E-17</v>
      </c>
      <c r="H29" s="1">
        <v>4.7279999999999997E-11</v>
      </c>
      <c r="I29" s="1">
        <v>1.2917000000000001E-11</v>
      </c>
      <c r="J29" s="1">
        <v>1.012E-11</v>
      </c>
      <c r="K29" s="1"/>
      <c r="L29" s="1"/>
      <c r="N29" s="7"/>
      <c r="O29">
        <f t="shared" si="4"/>
        <v>20.56</v>
      </c>
      <c r="P29" s="6">
        <f t="shared" si="5"/>
        <v>100.58092924037054</v>
      </c>
      <c r="Q29" s="6">
        <f t="shared" si="0"/>
        <v>38.16640024518135</v>
      </c>
      <c r="R29" s="6">
        <f t="shared" si="1"/>
        <v>10.142011136441742</v>
      </c>
      <c r="S29" s="10">
        <f t="shared" si="2"/>
        <v>7.9458699445217444</v>
      </c>
      <c r="T29" s="6">
        <f t="shared" si="6"/>
        <v>44.326647914225696</v>
      </c>
      <c r="U29" s="6">
        <f t="shared" si="6"/>
        <v>42.913036822514535</v>
      </c>
      <c r="V29" s="6">
        <f t="shared" si="6"/>
        <v>1.4136110917111611</v>
      </c>
      <c r="X29" s="5"/>
      <c r="Y29" s="76" t="s">
        <v>143</v>
      </c>
      <c r="Z29" s="73"/>
      <c r="AA29" s="74"/>
      <c r="AB29" s="7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1495.7</v>
      </c>
      <c r="C30" s="8">
        <v>4.7415200000000004E-11</v>
      </c>
      <c r="D30" s="1">
        <v>4.5903100000000004E-11</v>
      </c>
      <c r="E30" s="1">
        <v>1.5121E-12</v>
      </c>
      <c r="F30" s="1">
        <v>1.1164999999999999E-12</v>
      </c>
      <c r="G30" s="1">
        <v>3.7841000000000001E-17</v>
      </c>
      <c r="H30" s="1">
        <v>5.3405000000000002E-11</v>
      </c>
      <c r="I30" s="1">
        <v>1.4640000000000001E-11</v>
      </c>
      <c r="J30" s="1">
        <v>1.1406999999999999E-11</v>
      </c>
      <c r="K30" s="1"/>
      <c r="L30" s="1"/>
      <c r="N30" s="7"/>
      <c r="O30">
        <f t="shared" si="4"/>
        <v>24.928333333333335</v>
      </c>
      <c r="P30" s="6">
        <f t="shared" si="5"/>
        <v>100.48835334963957</v>
      </c>
      <c r="Q30" s="6">
        <f t="shared" si="0"/>
        <v>42.808374326110901</v>
      </c>
      <c r="R30" s="6">
        <f t="shared" si="1"/>
        <v>11.49484552050029</v>
      </c>
      <c r="S30" s="10">
        <f t="shared" si="2"/>
        <v>8.9563773179011399</v>
      </c>
      <c r="T30" s="6">
        <f t="shared" si="6"/>
        <v>37.228756185127224</v>
      </c>
      <c r="U30" s="6">
        <f t="shared" si="6"/>
        <v>36.041508167033214</v>
      </c>
      <c r="V30" s="6">
        <f t="shared" si="6"/>
        <v>1.1872480180940048</v>
      </c>
      <c r="X30" s="5"/>
      <c r="Y30" s="76" t="s">
        <v>144</v>
      </c>
      <c r="Z30" s="73"/>
      <c r="AA30" s="74"/>
      <c r="AB30" s="7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1757.9</v>
      </c>
      <c r="C31" s="8">
        <v>3.9809000000000001E-11</v>
      </c>
      <c r="D31" s="1">
        <v>3.8539499999999999E-11</v>
      </c>
      <c r="E31" s="1">
        <v>1.2695E-12</v>
      </c>
      <c r="F31" s="1">
        <v>9.3742999999999997E-13</v>
      </c>
      <c r="G31" s="1">
        <v>3.1889999999999999E-17</v>
      </c>
      <c r="H31" s="1">
        <v>5.8548999999999999E-11</v>
      </c>
      <c r="I31" s="1">
        <v>1.6087999999999998E-11</v>
      </c>
      <c r="J31" s="1">
        <v>1.2487999999999999E-11</v>
      </c>
      <c r="K31" s="1"/>
      <c r="L31" s="1"/>
      <c r="N31" s="7"/>
      <c r="O31">
        <f t="shared" si="4"/>
        <v>29.298333333333336</v>
      </c>
      <c r="P31" s="6">
        <f t="shared" si="5"/>
        <v>100.40019820096924</v>
      </c>
      <c r="Q31" s="6">
        <f t="shared" si="0"/>
        <v>46.706663660464102</v>
      </c>
      <c r="R31" s="6">
        <f t="shared" si="1"/>
        <v>12.631759788661892</v>
      </c>
      <c r="S31" s="10">
        <f t="shared" si="2"/>
        <v>9.8051406983386897</v>
      </c>
      <c r="T31" s="6">
        <f t="shared" si="6"/>
        <v>31.256634053504563</v>
      </c>
      <c r="U31" s="6">
        <f t="shared" si="6"/>
        <v>30.259867067875074</v>
      </c>
      <c r="V31" s="6">
        <f t="shared" si="6"/>
        <v>0.99676698562948163</v>
      </c>
      <c r="X31" s="5"/>
      <c r="Y31" s="76" t="s">
        <v>145</v>
      </c>
      <c r="Z31" s="73"/>
      <c r="AA31" s="74"/>
      <c r="AB31" s="7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2020</v>
      </c>
      <c r="C32" s="8">
        <v>3.3417600000000003E-11</v>
      </c>
      <c r="D32" s="1">
        <v>3.2351900000000002E-11</v>
      </c>
      <c r="E32" s="1">
        <v>1.0657E-12</v>
      </c>
      <c r="F32" s="1">
        <v>7.8692999999999996E-13</v>
      </c>
      <c r="G32" s="1">
        <v>2.6414000000000001E-17</v>
      </c>
      <c r="H32" s="1">
        <v>6.2866999999999999E-11</v>
      </c>
      <c r="I32" s="1">
        <v>1.7303000000000001E-11</v>
      </c>
      <c r="J32" s="1">
        <v>1.3394999999999999E-11</v>
      </c>
      <c r="K32" s="1"/>
      <c r="L32" s="1"/>
      <c r="N32" s="7"/>
      <c r="O32">
        <f t="shared" si="4"/>
        <v>33.666666666666664</v>
      </c>
      <c r="P32" s="6">
        <f t="shared" si="5"/>
        <v>100.32018558645039</v>
      </c>
      <c r="Q32" s="6">
        <f t="shared" si="0"/>
        <v>49.978838857479353</v>
      </c>
      <c r="R32" s="6">
        <f t="shared" si="1"/>
        <v>13.585730981449453</v>
      </c>
      <c r="S32" s="10">
        <f t="shared" si="2"/>
        <v>10.517285366291381</v>
      </c>
      <c r="T32" s="6">
        <f t="shared" si="6"/>
        <v>26.238330381230224</v>
      </c>
      <c r="U32" s="6">
        <f t="shared" si="6"/>
        <v>25.401580025511173</v>
      </c>
      <c r="V32" s="6">
        <f t="shared" si="6"/>
        <v>0.83675035571905365</v>
      </c>
      <c r="X32" s="5"/>
      <c r="Y32" s="76" t="s">
        <v>146</v>
      </c>
      <c r="Z32" s="73"/>
      <c r="AA32" s="74"/>
      <c r="AB32" s="7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2282.1</v>
      </c>
      <c r="C33" s="8">
        <v>2.8051059999999997E-11</v>
      </c>
      <c r="D33" s="1">
        <v>2.7156499999999999E-11</v>
      </c>
      <c r="E33" s="1">
        <v>8.9455999999999998E-13</v>
      </c>
      <c r="F33" s="1">
        <v>6.6055999999999996E-13</v>
      </c>
      <c r="G33" s="1">
        <v>2.2088000000000001E-17</v>
      </c>
      <c r="H33" s="1">
        <v>6.6491999999999999E-11</v>
      </c>
      <c r="I33" s="1">
        <v>1.8323000000000001E-11</v>
      </c>
      <c r="J33" s="1">
        <v>1.4157E-11</v>
      </c>
      <c r="K33" s="1"/>
      <c r="L33" s="1"/>
      <c r="N33" s="7"/>
      <c r="O33" s="58">
        <f t="shared" si="4"/>
        <v>38.034999999999997</v>
      </c>
      <c r="P33" s="59">
        <f t="shared" si="5"/>
        <v>100.25272866344967</v>
      </c>
      <c r="Q33" s="59">
        <f t="shared" si="0"/>
        <v>52.725840731392601</v>
      </c>
      <c r="R33" s="59">
        <f t="shared" si="1"/>
        <v>14.386595899392024</v>
      </c>
      <c r="S33" s="10">
        <f t="shared" si="2"/>
        <v>11.115581107173353</v>
      </c>
      <c r="T33" s="59">
        <f t="shared" si="6"/>
        <v>22.024710925491711</v>
      </c>
      <c r="U33" s="59">
        <f t="shared" si="6"/>
        <v>21.322333710316673</v>
      </c>
      <c r="V33" s="59">
        <f t="shared" si="6"/>
        <v>0.70237721517503682</v>
      </c>
      <c r="X33" s="5"/>
      <c r="Y33" s="72"/>
      <c r="Z33" s="73"/>
      <c r="AA33" s="74"/>
      <c r="AB33" s="7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2544.3000000000002</v>
      </c>
      <c r="C34" s="8">
        <v>2.354609E-11</v>
      </c>
      <c r="D34" s="1">
        <v>2.27952E-11</v>
      </c>
      <c r="E34" s="1">
        <v>7.5089000000000004E-13</v>
      </c>
      <c r="F34" s="1">
        <v>5.5446999999999996E-13</v>
      </c>
      <c r="G34" s="1">
        <v>1.8665999999999999E-17</v>
      </c>
      <c r="H34" s="1">
        <v>6.9534E-11</v>
      </c>
      <c r="I34" s="1">
        <v>1.9179E-11</v>
      </c>
      <c r="J34" s="1">
        <v>1.4796000000000001E-11</v>
      </c>
      <c r="K34" s="1"/>
      <c r="L34" s="1"/>
      <c r="N34" s="7"/>
      <c r="O34" s="58">
        <f t="shared" si="4"/>
        <v>42.405000000000001</v>
      </c>
      <c r="P34" s="59">
        <f t="shared" si="5"/>
        <v>100.19457665565736</v>
      </c>
      <c r="Q34" s="59">
        <f t="shared" si="0"/>
        <v>55.031014548469756</v>
      </c>
      <c r="R34" s="59">
        <f t="shared" si="1"/>
        <v>15.058694464781711</v>
      </c>
      <c r="S34" s="10">
        <f t="shared" si="2"/>
        <v>11.617301551298789</v>
      </c>
      <c r="T34" s="59">
        <f t="shared" si="6"/>
        <v>18.487566091107116</v>
      </c>
      <c r="U34" s="59">
        <f t="shared" si="6"/>
        <v>17.8979935335338</v>
      </c>
      <c r="V34" s="59">
        <f t="shared" si="6"/>
        <v>0.58957255757331362</v>
      </c>
      <c r="X34" s="5"/>
      <c r="Y34" s="72"/>
      <c r="Z34" s="73"/>
      <c r="AA34" s="74"/>
      <c r="AB34" s="7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2806.4</v>
      </c>
      <c r="C35" s="8">
        <v>1.9764180000000001E-11</v>
      </c>
      <c r="D35" s="1">
        <v>1.9133900000000002E-11</v>
      </c>
      <c r="E35" s="1">
        <v>6.3028000000000002E-13</v>
      </c>
      <c r="F35" s="1">
        <v>4.6541000000000003E-13</v>
      </c>
      <c r="G35" s="1">
        <v>1.5689E-17</v>
      </c>
      <c r="H35" s="1">
        <v>7.2088000000000002E-11</v>
      </c>
      <c r="I35" s="1">
        <v>1.9897000000000001E-11</v>
      </c>
      <c r="J35" s="1">
        <v>1.5332000000000001E-11</v>
      </c>
      <c r="K35" s="1"/>
      <c r="L35" s="1"/>
      <c r="N35" s="7"/>
      <c r="O35" s="58">
        <f t="shared" si="4"/>
        <v>46.773333333333333</v>
      </c>
      <c r="P35" s="59">
        <f t="shared" si="5"/>
        <v>100.14513247727186</v>
      </c>
      <c r="Q35" s="59">
        <f t="shared" si="0"/>
        <v>56.966399198771086</v>
      </c>
      <c r="R35" s="59">
        <f t="shared" si="1"/>
        <v>15.622440607599083</v>
      </c>
      <c r="S35" s="10">
        <f t="shared" si="2"/>
        <v>12.038149998953299</v>
      </c>
      <c r="T35" s="59">
        <f t="shared" si="6"/>
        <v>15.518142671948398</v>
      </c>
      <c r="U35" s="59">
        <f t="shared" si="6"/>
        <v>15.023268866747493</v>
      </c>
      <c r="V35" s="59">
        <f t="shared" si="6"/>
        <v>0.49487380520090568</v>
      </c>
      <c r="X35" s="5"/>
      <c r="Y35" s="77" t="s">
        <v>141</v>
      </c>
      <c r="Z35" s="78" t="s">
        <v>136</v>
      </c>
      <c r="AA35" s="79"/>
      <c r="AB35" s="80">
        <v>0.35565849658305199</v>
      </c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3068.6</v>
      </c>
      <c r="C36" s="8">
        <v>1.6589239999999998E-11</v>
      </c>
      <c r="D36" s="1">
        <v>1.60602E-11</v>
      </c>
      <c r="E36" s="1">
        <v>5.2904000000000004E-13</v>
      </c>
      <c r="F36" s="1">
        <v>3.9065000000000001E-13</v>
      </c>
      <c r="G36" s="1">
        <v>1.3148E-17</v>
      </c>
      <c r="H36" s="1">
        <v>7.4232000000000003E-11</v>
      </c>
      <c r="I36" s="1">
        <v>2.05E-11</v>
      </c>
      <c r="J36" s="1">
        <v>1.5782999999999999E-11</v>
      </c>
      <c r="K36" s="1"/>
      <c r="L36" s="1"/>
      <c r="N36" s="7"/>
      <c r="O36" s="58">
        <f t="shared" si="4"/>
        <v>51.143333333333331</v>
      </c>
      <c r="P36" s="59">
        <f t="shared" si="5"/>
        <v>100.10453745092924</v>
      </c>
      <c r="Q36" s="59">
        <f t="shared" si="0"/>
        <v>58.591094052921498</v>
      </c>
      <c r="R36" s="59">
        <f t="shared" si="1"/>
        <v>16.095893116106105</v>
      </c>
      <c r="S36" s="10">
        <f t="shared" si="2"/>
        <v>12.392259420393941</v>
      </c>
      <c r="T36" s="59">
        <f t="shared" si="6"/>
        <v>13.025290861507695</v>
      </c>
      <c r="U36" s="59">
        <f t="shared" si="6"/>
        <v>12.609907162352583</v>
      </c>
      <c r="V36" s="59">
        <f t="shared" si="6"/>
        <v>0.41538369915511703</v>
      </c>
      <c r="X36" s="5"/>
      <c r="Y36" s="81"/>
      <c r="Z36" s="82" t="s">
        <v>137</v>
      </c>
      <c r="AA36" s="79"/>
      <c r="AB36" s="80">
        <v>67.201402470937595</v>
      </c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3330.7</v>
      </c>
      <c r="C37" s="8">
        <v>1.3924969999999999E-11</v>
      </c>
      <c r="D37" s="1">
        <v>1.3480899999999999E-11</v>
      </c>
      <c r="E37" s="1">
        <v>4.4407E-13</v>
      </c>
      <c r="F37" s="1">
        <v>3.2791000000000001E-13</v>
      </c>
      <c r="G37" s="1">
        <v>1.1026E-17</v>
      </c>
      <c r="H37" s="1">
        <v>7.6031999999999999E-11</v>
      </c>
      <c r="I37" s="1">
        <v>2.1007E-11</v>
      </c>
      <c r="J37" s="1">
        <v>1.6161000000000001E-11</v>
      </c>
      <c r="K37" s="1"/>
      <c r="L37" s="1"/>
      <c r="N37" s="7"/>
      <c r="O37" s="58">
        <f t="shared" si="4"/>
        <v>55.511666666666663</v>
      </c>
      <c r="P37" s="59">
        <f t="shared" si="5"/>
        <v>100.07155100255916</v>
      </c>
      <c r="Q37" s="59">
        <f t="shared" si="0"/>
        <v>59.955129825630969</v>
      </c>
      <c r="R37" s="59">
        <f t="shared" si="1"/>
        <v>16.493970112226314</v>
      </c>
      <c r="S37" s="10">
        <f t="shared" si="2"/>
        <v>12.689051795792086</v>
      </c>
      <c r="T37" s="59">
        <f t="shared" si="6"/>
        <v>10.933399268909778</v>
      </c>
      <c r="U37" s="59">
        <f t="shared" si="6"/>
        <v>10.584731041018101</v>
      </c>
      <c r="V37" s="59">
        <f t="shared" si="6"/>
        <v>0.34866822789167701</v>
      </c>
      <c r="X37" s="5"/>
      <c r="Y37" s="81"/>
      <c r="Z37" s="82" t="s">
        <v>138</v>
      </c>
      <c r="AA37" s="79"/>
      <c r="AB37" s="80">
        <v>1.78171879119839E-2</v>
      </c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3592.9</v>
      </c>
      <c r="C38" s="8">
        <v>1.168863E-11</v>
      </c>
      <c r="D38" s="1">
        <v>1.131589E-11</v>
      </c>
      <c r="E38" s="1">
        <v>3.7273999999999998E-13</v>
      </c>
      <c r="F38" s="1">
        <v>2.7524E-13</v>
      </c>
      <c r="G38" s="1">
        <v>9.2305000000000003E-18</v>
      </c>
      <c r="H38" s="1">
        <v>7.7542000000000002E-11</v>
      </c>
      <c r="I38" s="1">
        <v>2.1430999999999999E-11</v>
      </c>
      <c r="J38" s="1">
        <v>1.6478E-11</v>
      </c>
      <c r="K38" s="1"/>
      <c r="L38" s="1"/>
      <c r="N38" s="7"/>
      <c r="O38" s="58">
        <f t="shared" si="4"/>
        <v>59.881666666666668</v>
      </c>
      <c r="P38" s="59">
        <f t="shared" si="5"/>
        <v>100.04170547060257</v>
      </c>
      <c r="Q38" s="59">
        <f t="shared" si="0"/>
        <v>61.09937435589282</v>
      </c>
      <c r="R38" s="59">
        <f t="shared" si="1"/>
        <v>16.82687866851759</v>
      </c>
      <c r="S38" s="10">
        <f t="shared" si="2"/>
        <v>12.937949105319102</v>
      </c>
      <c r="T38" s="59">
        <f t="shared" si="6"/>
        <v>9.1775033408730433</v>
      </c>
      <c r="U38" s="59">
        <f t="shared" si="6"/>
        <v>8.8848409334500165</v>
      </c>
      <c r="V38" s="59">
        <f t="shared" si="6"/>
        <v>0.29266240742302718</v>
      </c>
      <c r="X38" s="5"/>
      <c r="Y38" s="81"/>
      <c r="Z38" s="82" t="s">
        <v>139</v>
      </c>
      <c r="AA38" s="79"/>
      <c r="AB38" s="80">
        <v>7.2654096714272898</v>
      </c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3855</v>
      </c>
      <c r="C39" s="8">
        <v>9.8108199999999996E-12</v>
      </c>
      <c r="D39" s="1">
        <v>9.4979500000000003E-12</v>
      </c>
      <c r="E39" s="1">
        <v>3.1287000000000001E-13</v>
      </c>
      <c r="F39" s="1">
        <v>2.3102999999999998E-13</v>
      </c>
      <c r="G39" s="1">
        <v>7.7562000000000004E-18</v>
      </c>
      <c r="H39" s="1">
        <v>7.8809999999999997E-11</v>
      </c>
      <c r="I39" s="1">
        <v>2.1787999999999999E-11</v>
      </c>
      <c r="J39" s="1">
        <v>1.6744999999999999E-11</v>
      </c>
      <c r="K39" s="1"/>
      <c r="L39" s="1"/>
      <c r="N39" s="7"/>
      <c r="O39" s="58">
        <f t="shared" si="4"/>
        <v>64.25</v>
      </c>
      <c r="P39" s="59">
        <f t="shared" si="5"/>
        <v>100.01813365930505</v>
      </c>
      <c r="Q39" s="59">
        <f t="shared" si="0"/>
        <v>62.060251448719519</v>
      </c>
      <c r="R39" s="59">
        <f t="shared" si="1"/>
        <v>17.107181421047059</v>
      </c>
      <c r="S39" s="10">
        <f t="shared" si="2"/>
        <v>13.147588164132076</v>
      </c>
      <c r="T39" s="59">
        <f t="shared" si="6"/>
        <v>7.7031126254064048</v>
      </c>
      <c r="U39" s="59">
        <f t="shared" si="6"/>
        <v>7.4574580473883696</v>
      </c>
      <c r="V39" s="59">
        <f t="shared" si="6"/>
        <v>0.24565457801803539</v>
      </c>
      <c r="X39" s="5"/>
      <c r="Y39" s="81"/>
      <c r="Z39" s="82" t="s">
        <v>140</v>
      </c>
      <c r="AA39" s="79"/>
      <c r="AB39" s="80">
        <v>3.9691832455298399E-2</v>
      </c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4117.2</v>
      </c>
      <c r="C40" s="8">
        <v>8.2349300000000011E-12</v>
      </c>
      <c r="D40" s="1">
        <v>7.9723200000000009E-12</v>
      </c>
      <c r="E40" s="1">
        <v>2.6260999999999998E-13</v>
      </c>
      <c r="F40" s="1">
        <v>1.9392E-13</v>
      </c>
      <c r="G40" s="1">
        <v>6.5434999999999999E-18</v>
      </c>
      <c r="H40" s="1">
        <v>7.9874E-11</v>
      </c>
      <c r="I40" s="1">
        <v>2.2087000000000002E-11</v>
      </c>
      <c r="J40" s="1">
        <v>1.6968E-11</v>
      </c>
      <c r="K40" s="1"/>
      <c r="L40" s="1"/>
      <c r="N40" s="7"/>
      <c r="O40" s="58">
        <f t="shared" si="4"/>
        <v>68.61999999999999</v>
      </c>
      <c r="P40" s="59">
        <f t="shared" si="5"/>
        <v>99.996933251749866</v>
      </c>
      <c r="Q40" s="59">
        <f t="shared" si="0"/>
        <v>62.86652955023434</v>
      </c>
      <c r="R40" s="59">
        <f t="shared" si="1"/>
        <v>17.341944808147407</v>
      </c>
      <c r="S40" s="10">
        <f t="shared" si="2"/>
        <v>13.322679962316696</v>
      </c>
      <c r="T40" s="59">
        <f t="shared" si="6"/>
        <v>6.4657789310514291</v>
      </c>
      <c r="U40" s="59">
        <f t="shared" si="6"/>
        <v>6.2595867466511468</v>
      </c>
      <c r="V40" s="59">
        <f t="shared" si="6"/>
        <v>0.20619218440028211</v>
      </c>
      <c r="X40" s="5"/>
      <c r="Y40" s="81"/>
      <c r="Z40" s="103" t="s">
        <v>151</v>
      </c>
      <c r="AA40" s="85"/>
      <c r="AB40" s="97">
        <v>8.6531260336247993</v>
      </c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4320</v>
      </c>
      <c r="C41" s="8">
        <v>7.18933E-12</v>
      </c>
      <c r="D41" s="1">
        <v>6.9600600000000001E-12</v>
      </c>
      <c r="E41" s="1">
        <v>2.2926999999999999E-13</v>
      </c>
      <c r="F41" s="1">
        <v>1.6929E-13</v>
      </c>
      <c r="G41" s="1">
        <v>5.7091999999999996E-18</v>
      </c>
      <c r="H41" s="1">
        <v>8.0578000000000003E-11</v>
      </c>
      <c r="I41" s="1">
        <v>2.2285E-11</v>
      </c>
      <c r="J41" s="1">
        <v>1.7115999999999999E-11</v>
      </c>
      <c r="K41" s="1"/>
      <c r="L41" s="1"/>
      <c r="N41" s="7"/>
      <c r="O41" s="51">
        <f t="shared" si="4"/>
        <v>72</v>
      </c>
      <c r="P41" s="52">
        <f t="shared" si="5"/>
        <v>99.981048708447787</v>
      </c>
      <c r="Q41" s="52">
        <f t="shared" si="0"/>
        <v>63.399947105986286</v>
      </c>
      <c r="R41" s="52">
        <f t="shared" si="1"/>
        <v>17.497406825911835</v>
      </c>
      <c r="S41" s="55">
        <f t="shared" si="2"/>
        <v>13.438884384430255</v>
      </c>
      <c r="T41" s="52">
        <f t="shared" si="6"/>
        <v>5.6448103921194184</v>
      </c>
      <c r="U41" s="52">
        <f t="shared" si="6"/>
        <v>5.4647956092952583</v>
      </c>
      <c r="V41" s="6">
        <f t="shared" si="6"/>
        <v>0.18001478282416011</v>
      </c>
      <c r="X41" s="5"/>
      <c r="Y41" s="81"/>
      <c r="Z41" s="103" t="s">
        <v>152</v>
      </c>
      <c r="AA41" s="85"/>
      <c r="AB41" s="97">
        <v>-7.2654096714272898</v>
      </c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4320</v>
      </c>
      <c r="C42" s="8">
        <v>5.0451399999999996E-12</v>
      </c>
      <c r="D42" s="1">
        <v>4.8843699999999993E-12</v>
      </c>
      <c r="E42" s="1">
        <v>1.6077000000000001E-13</v>
      </c>
      <c r="F42" s="1">
        <v>1.1703000000000001E-13</v>
      </c>
      <c r="G42" s="1">
        <v>6.8895999999999999E-18</v>
      </c>
      <c r="H42" s="1">
        <v>7.2248000000000005E-11</v>
      </c>
      <c r="I42" s="1">
        <v>3.4450000000000001E-11</v>
      </c>
      <c r="J42" s="1">
        <v>1.5474000000000001E-11</v>
      </c>
      <c r="K42" s="1"/>
      <c r="L42" s="1"/>
      <c r="N42" s="7"/>
      <c r="P42" s="6"/>
      <c r="Q42" s="6"/>
      <c r="R42" s="6"/>
      <c r="S42" s="57"/>
      <c r="T42" s="6"/>
      <c r="U42" s="6"/>
      <c r="V42" s="52">
        <f t="shared" si="6"/>
        <v>0.126230979345925</v>
      </c>
      <c r="X42" s="5"/>
      <c r="Y42" s="81"/>
      <c r="Z42" s="103" t="s">
        <v>153</v>
      </c>
      <c r="AA42" s="85"/>
      <c r="AB42" s="97">
        <v>2.60595697144573</v>
      </c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4277</v>
      </c>
      <c r="C43" s="8">
        <v>1.64767E-12</v>
      </c>
      <c r="D43" s="8">
        <v>1.5671199999999999E-12</v>
      </c>
      <c r="E43" s="8">
        <v>8.0549999999999995E-14</v>
      </c>
      <c r="F43" s="1">
        <v>3.8121000000000002E-14</v>
      </c>
      <c r="G43" s="1">
        <v>6.2706000000000004E-18</v>
      </c>
      <c r="H43" s="1">
        <v>5.4662E-11</v>
      </c>
      <c r="I43" s="1">
        <v>7.4643E-11</v>
      </c>
      <c r="J43">
        <v>0</v>
      </c>
      <c r="K43" s="1"/>
      <c r="L43" s="1"/>
      <c r="N43" s="7"/>
      <c r="P43" s="6"/>
      <c r="Q43" s="6"/>
      <c r="R43" s="6"/>
      <c r="S43" s="5"/>
      <c r="T43" s="6"/>
      <c r="U43" s="1"/>
      <c r="V43" s="1">
        <f t="shared" si="6"/>
        <v>6.3245041900318821E-2</v>
      </c>
      <c r="X43" s="5"/>
      <c r="Y43" s="81"/>
      <c r="Z43" s="103" t="s">
        <v>154</v>
      </c>
      <c r="AA43" s="85"/>
      <c r="AB43" s="97">
        <v>-3.9691832455298399E-2</v>
      </c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x14ac:dyDescent="0.3">
      <c r="B44" s="7">
        <v>4320</v>
      </c>
      <c r="C44" s="8">
        <v>1.5765109999999999E-12</v>
      </c>
      <c r="D44" s="8">
        <v>1.4994399999999999E-12</v>
      </c>
      <c r="E44" s="8">
        <v>7.7071000000000003E-14</v>
      </c>
      <c r="F44" s="1">
        <v>3.6474999999999997E-14</v>
      </c>
      <c r="G44" s="1">
        <v>6.0001000000000001E-18</v>
      </c>
      <c r="H44" s="1">
        <v>5.4693000000000001E-11</v>
      </c>
      <c r="I44" s="1">
        <v>7.4684999999999999E-11</v>
      </c>
      <c r="J44">
        <v>0</v>
      </c>
      <c r="K44" s="1"/>
      <c r="L44" s="1"/>
      <c r="N44" s="7"/>
      <c r="P44" s="6"/>
      <c r="Q44" s="6"/>
      <c r="R44" s="6"/>
      <c r="S44" s="5"/>
      <c r="T44" s="6"/>
      <c r="U44" s="1"/>
      <c r="V44" s="1">
        <f t="shared" ref="V44" si="7">E44/$A$1*100</f>
        <v>6.0513452815635901E-2</v>
      </c>
      <c r="X44" s="5"/>
      <c r="Y44" s="81"/>
      <c r="Z44" s="101"/>
      <c r="AA44" s="83"/>
      <c r="AB44" s="98"/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/>
      <c r="C45" s="8"/>
      <c r="D45" s="8"/>
      <c r="E45" s="8"/>
      <c r="F45" s="1"/>
      <c r="G45" s="1"/>
      <c r="H45" s="1"/>
      <c r="I45" s="1"/>
      <c r="J45" s="8"/>
      <c r="K45" s="1"/>
      <c r="L45" s="1"/>
      <c r="N45" s="7"/>
      <c r="P45" s="6"/>
      <c r="Q45" s="6"/>
      <c r="R45" s="6"/>
      <c r="S45" s="5"/>
      <c r="T45" s="6"/>
      <c r="U45" s="1"/>
      <c r="V45" s="1"/>
      <c r="X45" s="5"/>
      <c r="Y45" s="77" t="s">
        <v>142</v>
      </c>
      <c r="Z45" s="102" t="s">
        <v>136</v>
      </c>
      <c r="AA45" s="83"/>
      <c r="AB45" s="99">
        <v>6.8284215360381499E-3</v>
      </c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/>
      <c r="C46" s="8"/>
      <c r="D46" s="8"/>
      <c r="E46" s="8"/>
      <c r="F46" s="1"/>
      <c r="G46" s="1"/>
      <c r="H46" s="1"/>
      <c r="I46" s="1"/>
      <c r="J46" s="8"/>
      <c r="K46" s="1"/>
      <c r="L46" s="1"/>
      <c r="N46" s="7"/>
      <c r="P46" s="6"/>
      <c r="Q46" s="6"/>
      <c r="R46" s="6"/>
      <c r="S46" s="5"/>
      <c r="T46" s="6"/>
      <c r="U46" s="1"/>
      <c r="V46" s="1"/>
      <c r="X46" s="5"/>
      <c r="Y46" s="81"/>
      <c r="Z46" s="102" t="s">
        <v>137</v>
      </c>
      <c r="AA46" s="83"/>
      <c r="AB46" s="99">
        <v>18.606420878649001</v>
      </c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/>
      <c r="C47" s="8"/>
      <c r="D47" s="8"/>
      <c r="E47" s="8"/>
      <c r="F47" s="1"/>
      <c r="G47" s="1"/>
      <c r="H47" s="1"/>
      <c r="I47" s="1"/>
      <c r="J47" s="8"/>
      <c r="K47" s="1"/>
      <c r="L47" s="1"/>
      <c r="N47" s="7"/>
      <c r="P47" s="6"/>
      <c r="Q47" s="6"/>
      <c r="R47" s="6"/>
      <c r="S47" s="5"/>
      <c r="T47" s="6"/>
      <c r="U47" s="1"/>
      <c r="V47" s="1"/>
      <c r="X47" s="5"/>
      <c r="Y47" s="81"/>
      <c r="Z47" s="102" t="s">
        <v>138</v>
      </c>
      <c r="AA47" s="83"/>
      <c r="AB47" s="99">
        <v>-2.88685895945784E-2</v>
      </c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9.5" thickBot="1" x14ac:dyDescent="0.35">
      <c r="B48" s="7"/>
      <c r="C48" s="8"/>
      <c r="D48" s="8"/>
      <c r="E48" s="8"/>
      <c r="F48" s="1"/>
      <c r="G48" s="1"/>
      <c r="H48" s="1"/>
      <c r="I48" s="1"/>
      <c r="J48" s="8"/>
      <c r="K48" s="1"/>
      <c r="L48" s="1"/>
      <c r="N48" s="7"/>
      <c r="P48" s="6"/>
      <c r="Q48" s="6"/>
      <c r="R48" s="6"/>
      <c r="S48" s="5"/>
      <c r="T48" s="6"/>
      <c r="U48" s="1"/>
      <c r="V48" s="1"/>
      <c r="X48" s="5"/>
      <c r="Y48" s="81"/>
      <c r="Z48" s="102" t="s">
        <v>139</v>
      </c>
      <c r="AA48" s="83"/>
      <c r="AB48" s="99">
        <v>1.57889320726264</v>
      </c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A49" s="7"/>
      <c r="B49" s="8" t="s">
        <v>18</v>
      </c>
      <c r="C49" s="8" t="s">
        <v>18</v>
      </c>
      <c r="D49" s="8" t="s">
        <v>18</v>
      </c>
      <c r="E49" s="1" t="s">
        <v>74</v>
      </c>
      <c r="F49" s="40"/>
      <c r="G49" s="41" t="s">
        <v>75</v>
      </c>
      <c r="H49" s="41" t="s">
        <v>75</v>
      </c>
      <c r="I49" s="42" t="s">
        <v>75</v>
      </c>
      <c r="N49" s="7"/>
      <c r="P49" s="6"/>
      <c r="Q49" s="6"/>
      <c r="R49" s="6"/>
      <c r="S49" s="5"/>
      <c r="T49" s="6"/>
      <c r="U49" s="1"/>
      <c r="V49" s="1"/>
      <c r="X49" s="5"/>
      <c r="Y49" s="81"/>
      <c r="Z49" s="102" t="s">
        <v>140</v>
      </c>
      <c r="AA49" s="83"/>
      <c r="AB49" s="99">
        <v>3.9685582063146499E-2</v>
      </c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A50" s="7"/>
      <c r="B50" s="8" t="s">
        <v>73</v>
      </c>
      <c r="C50" s="8" t="s">
        <v>71</v>
      </c>
      <c r="D50" s="8" t="s">
        <v>72</v>
      </c>
      <c r="E50" s="1" t="s">
        <v>71</v>
      </c>
      <c r="F50" s="43"/>
      <c r="G50" s="8" t="s">
        <v>73</v>
      </c>
      <c r="H50" s="8" t="s">
        <v>71</v>
      </c>
      <c r="I50" s="44" t="s">
        <v>72</v>
      </c>
      <c r="N50" s="7"/>
      <c r="O50" s="1"/>
      <c r="P50" s="6"/>
      <c r="Q50" s="6"/>
      <c r="R50" s="6"/>
      <c r="S50" s="5"/>
      <c r="T50" s="6"/>
      <c r="U50" s="1"/>
      <c r="V50" s="1"/>
      <c r="X50" s="5"/>
      <c r="Y50" s="81"/>
      <c r="Z50" s="103" t="s">
        <v>151</v>
      </c>
      <c r="AA50" s="86"/>
      <c r="AB50" s="97">
        <v>-0.84777723628690305</v>
      </c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8.75" x14ac:dyDescent="0.3">
      <c r="A51" s="7" t="s">
        <v>0</v>
      </c>
      <c r="B51" s="8" t="s">
        <v>115</v>
      </c>
      <c r="C51" s="8" t="s">
        <v>116</v>
      </c>
      <c r="D51" s="8" t="s">
        <v>116</v>
      </c>
      <c r="E51" s="1" t="s">
        <v>116</v>
      </c>
      <c r="F51" s="45" t="str">
        <f>A51</f>
        <v>Time (min)</v>
      </c>
      <c r="G51" s="8" t="str">
        <f>B51</f>
        <v>MW=66.5, sigma_ve=0.7, sigma_le=0.05, p_ve=1E-9, p_le=1E-8, D_gel=6.2E-11, kf_m=0.17, kr_m=4.77, k_decay=1.7E-6, cA+cMA (mol)</v>
      </c>
      <c r="H51" s="8" t="str">
        <f>C51</f>
        <v>MW=66.5, sigma_ve=0.7, sigma_le=0.05, p_ve=1E-9, p_le=1E-8, D_gel=6.2E-11, kf_m=0.17, kr_m=4.77, k_decay=1.7E-6, Concentration (mol)</v>
      </c>
      <c r="I51" s="44" t="str">
        <f>D51</f>
        <v>MW=66.5, sigma_ve=0.7, sigma_le=0.05, p_ve=1E-9, p_le=1E-8, D_gel=6.2E-11, kf_m=0.17, kr_m=4.77, k_decay=1.7E-6, Concentration (mol)</v>
      </c>
      <c r="N51" s="7"/>
      <c r="O51" s="1"/>
      <c r="P51" s="6"/>
      <c r="Q51" s="6"/>
      <c r="R51" s="6"/>
      <c r="S51" s="5"/>
      <c r="T51" s="6"/>
      <c r="U51" s="1"/>
      <c r="V51" s="1"/>
      <c r="X51" s="5"/>
      <c r="Y51" s="81"/>
      <c r="Z51" s="103" t="s">
        <v>152</v>
      </c>
      <c r="AA51" s="86"/>
      <c r="AB51" s="97">
        <v>-1.57889320726264</v>
      </c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8.75" x14ac:dyDescent="0.3">
      <c r="A52" s="7">
        <v>0</v>
      </c>
      <c r="B52" s="8">
        <v>1.2102999999999999E-10</v>
      </c>
      <c r="C52" s="8">
        <v>1.2102999999999999E-10</v>
      </c>
      <c r="D52" s="8">
        <v>2.3321999999999999E-15</v>
      </c>
      <c r="E52" s="1">
        <v>6.0723000000000003E-12</v>
      </c>
      <c r="F52" s="45">
        <f t="shared" ref="F52:F94" si="8">A52</f>
        <v>0</v>
      </c>
      <c r="G52" s="8">
        <f>H52+I52</f>
        <v>1.2710463219999998E-10</v>
      </c>
      <c r="H52" s="1">
        <f t="shared" ref="H52:H94" si="9">C52+E52</f>
        <v>1.2710229999999999E-10</v>
      </c>
      <c r="I52" s="46">
        <f t="shared" ref="I52:I94" si="10">D52</f>
        <v>2.3321999999999999E-15</v>
      </c>
      <c r="N52" s="7"/>
      <c r="S52" s="5"/>
      <c r="T52" s="6"/>
      <c r="U52" s="1"/>
      <c r="V52" s="1"/>
      <c r="X52" s="5"/>
      <c r="Y52" s="81"/>
      <c r="Z52" s="103" t="s">
        <v>153</v>
      </c>
      <c r="AA52" s="86"/>
      <c r="AB52" s="97">
        <v>0.75944458802358505</v>
      </c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8.75" x14ac:dyDescent="0.3">
      <c r="A53" s="7">
        <v>2.7240000000000002</v>
      </c>
      <c r="B53" s="8">
        <v>1.1954999999999999E-10</v>
      </c>
      <c r="C53" s="8">
        <v>1.1544E-10</v>
      </c>
      <c r="D53" s="8">
        <v>4.1142000000000004E-12</v>
      </c>
      <c r="E53" s="1">
        <v>6.4981999999999999E-12</v>
      </c>
      <c r="F53" s="45">
        <f t="shared" si="8"/>
        <v>2.7240000000000002</v>
      </c>
      <c r="G53" s="8">
        <f t="shared" ref="G53:G94" si="11">H53+I53</f>
        <v>1.2605240000000001E-10</v>
      </c>
      <c r="H53" s="1">
        <f t="shared" si="9"/>
        <v>1.2193820000000002E-10</v>
      </c>
      <c r="I53" s="46">
        <f t="shared" si="10"/>
        <v>4.1142000000000004E-12</v>
      </c>
      <c r="N53" s="7"/>
      <c r="S53" s="5"/>
      <c r="T53" s="6"/>
      <c r="U53" s="1"/>
      <c r="V53" s="1"/>
      <c r="X53" s="5"/>
      <c r="Y53" s="84"/>
      <c r="Z53" s="104" t="s">
        <v>154</v>
      </c>
      <c r="AA53" s="87"/>
      <c r="AB53" s="100">
        <v>-3.9685582063146499E-2</v>
      </c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7">
        <v>4.7720000000000002</v>
      </c>
      <c r="B54" s="8">
        <v>1.1919E-10</v>
      </c>
      <c r="C54" s="8">
        <v>1.1509E-10</v>
      </c>
      <c r="D54" s="8">
        <v>4.1018000000000002E-12</v>
      </c>
      <c r="E54" s="1">
        <v>6.5416000000000003E-12</v>
      </c>
      <c r="F54" s="45">
        <f t="shared" si="8"/>
        <v>4.7720000000000002</v>
      </c>
      <c r="G54" s="8">
        <f t="shared" si="11"/>
        <v>1.2573339999999999E-10</v>
      </c>
      <c r="H54" s="1">
        <f t="shared" si="9"/>
        <v>1.2163159999999999E-10</v>
      </c>
      <c r="I54" s="46">
        <f t="shared" si="10"/>
        <v>4.1018000000000002E-12</v>
      </c>
      <c r="N54" s="7"/>
      <c r="S54" s="5"/>
      <c r="T54" s="6"/>
      <c r="U54" s="1"/>
      <c r="V54" s="1"/>
      <c r="X54" s="5"/>
      <c r="Y54" s="5"/>
      <c r="Z54" s="5"/>
      <c r="AA54" s="5"/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7">
        <v>6.82</v>
      </c>
      <c r="B55" s="8">
        <v>1.1882000000000001E-10</v>
      </c>
      <c r="C55" s="8">
        <v>1.1473E-10</v>
      </c>
      <c r="D55" s="8">
        <v>4.0890999999999996E-12</v>
      </c>
      <c r="E55" s="1">
        <v>6.6571E-12</v>
      </c>
      <c r="F55" s="45">
        <f t="shared" si="8"/>
        <v>6.82</v>
      </c>
      <c r="G55" s="8">
        <f t="shared" si="11"/>
        <v>1.2547620000000002E-10</v>
      </c>
      <c r="H55" s="1">
        <f t="shared" si="9"/>
        <v>1.2138710000000001E-10</v>
      </c>
      <c r="I55" s="46">
        <f t="shared" si="10"/>
        <v>4.0890999999999996E-12</v>
      </c>
      <c r="N55" s="7"/>
      <c r="S55" s="5"/>
      <c r="T55" s="6"/>
      <c r="U55" s="1"/>
      <c r="V55" s="1"/>
      <c r="X55" s="5"/>
      <c r="Y55" s="5"/>
      <c r="Z55" s="67" t="s">
        <v>148</v>
      </c>
      <c r="AA55" s="95">
        <v>8973.7743828574494</v>
      </c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7">
        <v>8.8680000000000003</v>
      </c>
      <c r="B56" s="8">
        <v>1.1846E-10</v>
      </c>
      <c r="C56" s="8">
        <v>1.1438E-10</v>
      </c>
      <c r="D56" s="8">
        <v>4.0765999999999998E-12</v>
      </c>
      <c r="E56" s="1">
        <v>6.7933999999999997E-12</v>
      </c>
      <c r="F56" s="45">
        <f t="shared" si="8"/>
        <v>8.8680000000000003</v>
      </c>
      <c r="G56" s="8">
        <f t="shared" si="11"/>
        <v>1.2525000000000001E-10</v>
      </c>
      <c r="H56" s="1">
        <f t="shared" si="9"/>
        <v>1.211734E-10</v>
      </c>
      <c r="I56" s="46">
        <f t="shared" si="10"/>
        <v>4.0765999999999998E-12</v>
      </c>
      <c r="N56" s="7"/>
      <c r="S56" s="5"/>
      <c r="T56" s="6"/>
      <c r="U56" s="1"/>
      <c r="V56" s="1"/>
      <c r="X56" s="5"/>
      <c r="Y56" s="5"/>
      <c r="Z56" s="67" t="s">
        <v>149</v>
      </c>
      <c r="AA56" s="95">
        <v>7631.4841966763597</v>
      </c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8.75" x14ac:dyDescent="0.3">
      <c r="A57" s="7">
        <v>10.916</v>
      </c>
      <c r="B57" s="8">
        <v>1.1810999999999999E-10</v>
      </c>
      <c r="C57" s="8">
        <v>1.1404E-10</v>
      </c>
      <c r="D57" s="8">
        <v>4.0644000000000003E-12</v>
      </c>
      <c r="E57" s="1">
        <v>6.9349999999999998E-12</v>
      </c>
      <c r="F57" s="45">
        <f t="shared" si="8"/>
        <v>10.916</v>
      </c>
      <c r="G57" s="8">
        <f t="shared" si="11"/>
        <v>1.2503939999999998E-10</v>
      </c>
      <c r="H57" s="1">
        <f t="shared" si="9"/>
        <v>1.2097499999999999E-10</v>
      </c>
      <c r="I57" s="46">
        <f t="shared" si="10"/>
        <v>4.0644000000000003E-12</v>
      </c>
      <c r="N57" s="7"/>
      <c r="S57" s="5"/>
      <c r="T57" s="6"/>
      <c r="U57" s="1"/>
      <c r="V57" s="1"/>
      <c r="X57" s="5"/>
      <c r="Y57" s="5"/>
      <c r="Z57" s="66" t="s">
        <v>150</v>
      </c>
      <c r="AA57" s="96">
        <f>AA56/AA55*100</f>
        <v>85.042077849146068</v>
      </c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7">
        <v>12.964</v>
      </c>
      <c r="B58" s="8">
        <v>1.1777E-10</v>
      </c>
      <c r="C58" s="8">
        <v>1.1371E-10</v>
      </c>
      <c r="D58" s="8">
        <v>4.0527000000000003E-12</v>
      </c>
      <c r="E58" s="1">
        <v>7.0738E-12</v>
      </c>
      <c r="F58" s="45">
        <f t="shared" si="8"/>
        <v>12.964</v>
      </c>
      <c r="G58" s="8">
        <f t="shared" si="11"/>
        <v>1.248365E-10</v>
      </c>
      <c r="H58" s="1">
        <f t="shared" si="9"/>
        <v>1.2078379999999999E-10</v>
      </c>
      <c r="I58" s="46">
        <f t="shared" si="10"/>
        <v>4.0527000000000003E-12</v>
      </c>
      <c r="N58" s="7"/>
      <c r="S58" s="5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7">
        <v>17.059999999999999</v>
      </c>
      <c r="B59" s="8">
        <v>1.1712000000000001E-10</v>
      </c>
      <c r="C59" s="8">
        <v>1.1308999999999999E-10</v>
      </c>
      <c r="D59" s="8">
        <v>4.0304000000000003E-12</v>
      </c>
      <c r="E59" s="1">
        <v>7.3344000000000007E-12</v>
      </c>
      <c r="F59" s="45">
        <f t="shared" si="8"/>
        <v>17.059999999999999</v>
      </c>
      <c r="G59" s="8">
        <f t="shared" si="11"/>
        <v>1.244548E-10</v>
      </c>
      <c r="H59" s="1">
        <f t="shared" si="9"/>
        <v>1.2042439999999999E-10</v>
      </c>
      <c r="I59" s="46">
        <f t="shared" si="10"/>
        <v>4.0304000000000003E-12</v>
      </c>
      <c r="N59" s="7"/>
      <c r="S59" s="5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>
        <v>21.155999999999999</v>
      </c>
      <c r="B60" s="8">
        <v>1.1652E-10</v>
      </c>
      <c r="C60" s="8">
        <v>1.1250999999999999E-10</v>
      </c>
      <c r="D60" s="8">
        <v>4.0098000000000001E-12</v>
      </c>
      <c r="E60" s="1">
        <v>7.5635999999999998E-12</v>
      </c>
      <c r="F60" s="45">
        <f t="shared" si="8"/>
        <v>21.155999999999999</v>
      </c>
      <c r="G60" s="8">
        <f t="shared" si="11"/>
        <v>1.240834E-10</v>
      </c>
      <c r="H60" s="1">
        <f t="shared" si="9"/>
        <v>1.2007359999999999E-10</v>
      </c>
      <c r="I60" s="46">
        <f t="shared" si="10"/>
        <v>4.0098000000000001E-12</v>
      </c>
      <c r="N60" s="7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>
        <v>29.347999999999999</v>
      </c>
      <c r="B61" s="8">
        <v>1.1545E-10</v>
      </c>
      <c r="C61" s="8">
        <v>1.1147E-10</v>
      </c>
      <c r="D61" s="8">
        <v>3.9728000000000002E-12</v>
      </c>
      <c r="E61" s="1">
        <v>7.9248000000000003E-12</v>
      </c>
      <c r="F61" s="45">
        <f t="shared" si="8"/>
        <v>29.347999999999999</v>
      </c>
      <c r="G61" s="8">
        <f t="shared" si="11"/>
        <v>1.2336759999999999E-10</v>
      </c>
      <c r="H61" s="1">
        <f t="shared" si="9"/>
        <v>1.1939479999999999E-10</v>
      </c>
      <c r="I61" s="46">
        <f t="shared" si="10"/>
        <v>3.9728000000000002E-12</v>
      </c>
      <c r="N61" s="7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>
        <v>37.54</v>
      </c>
      <c r="B62" s="8">
        <v>1.1451E-10</v>
      </c>
      <c r="C62" s="8">
        <v>1.1057E-10</v>
      </c>
      <c r="D62" s="8">
        <v>3.9406000000000004E-12</v>
      </c>
      <c r="E62" s="1">
        <v>8.1772999999999999E-12</v>
      </c>
      <c r="F62" s="45">
        <f t="shared" si="8"/>
        <v>37.54</v>
      </c>
      <c r="G62" s="8">
        <f t="shared" si="11"/>
        <v>1.2268789999999999E-10</v>
      </c>
      <c r="H62" s="1">
        <f t="shared" si="9"/>
        <v>1.187473E-10</v>
      </c>
      <c r="I62" s="46">
        <f t="shared" si="10"/>
        <v>3.9406000000000004E-12</v>
      </c>
      <c r="N62" s="7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45.731999999999999</v>
      </c>
      <c r="B63" s="8">
        <v>1.1366999999999999E-10</v>
      </c>
      <c r="C63" s="8">
        <v>1.0976E-10</v>
      </c>
      <c r="D63" s="8">
        <v>3.9117E-12</v>
      </c>
      <c r="E63" s="1">
        <v>8.3478000000000004E-12</v>
      </c>
      <c r="F63" s="45">
        <f t="shared" si="8"/>
        <v>45.731999999999999</v>
      </c>
      <c r="G63" s="8">
        <f t="shared" si="11"/>
        <v>1.220195E-10</v>
      </c>
      <c r="H63" s="1">
        <f t="shared" si="9"/>
        <v>1.1810780000000002E-10</v>
      </c>
      <c r="I63" s="46">
        <f t="shared" si="10"/>
        <v>3.9117E-12</v>
      </c>
      <c r="N63" s="7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53.923999999999999</v>
      </c>
      <c r="B64" s="8">
        <v>1.1290000000000001E-10</v>
      </c>
      <c r="C64" s="8">
        <v>1.0900999999999999E-10</v>
      </c>
      <c r="D64" s="8">
        <v>3.8851999999999996E-12</v>
      </c>
      <c r="E64" s="1">
        <v>8.4589000000000006E-12</v>
      </c>
      <c r="F64" s="45">
        <f t="shared" si="8"/>
        <v>53.923999999999999</v>
      </c>
      <c r="G64" s="8">
        <f t="shared" si="11"/>
        <v>1.2135409999999999E-10</v>
      </c>
      <c r="H64" s="1">
        <f t="shared" si="9"/>
        <v>1.1746889999999999E-10</v>
      </c>
      <c r="I64" s="46">
        <f t="shared" si="10"/>
        <v>3.8851999999999996E-12</v>
      </c>
      <c r="N64" s="7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62.116</v>
      </c>
      <c r="B65" s="8">
        <v>1.1217999999999999E-10</v>
      </c>
      <c r="C65" s="8">
        <v>1.0831999999999999E-10</v>
      </c>
      <c r="D65" s="8">
        <v>3.8604E-12</v>
      </c>
      <c r="E65" s="1">
        <v>8.5271999999999995E-12</v>
      </c>
      <c r="F65" s="45">
        <f t="shared" si="8"/>
        <v>62.116</v>
      </c>
      <c r="G65" s="8">
        <f t="shared" si="11"/>
        <v>1.207076E-10</v>
      </c>
      <c r="H65" s="1">
        <f t="shared" si="9"/>
        <v>1.168472E-10</v>
      </c>
      <c r="I65" s="46">
        <f t="shared" si="10"/>
        <v>3.8604E-12</v>
      </c>
      <c r="N65" s="7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70.308000000000007</v>
      </c>
      <c r="B66" s="8">
        <v>1.1148999999999999E-10</v>
      </c>
      <c r="C66" s="8">
        <v>1.0766000000000001E-10</v>
      </c>
      <c r="D66" s="8">
        <v>3.8368E-12</v>
      </c>
      <c r="E66" s="1">
        <v>8.5645000000000005E-12</v>
      </c>
      <c r="F66" s="45">
        <f t="shared" si="8"/>
        <v>70.308000000000007</v>
      </c>
      <c r="G66" s="8">
        <f t="shared" si="11"/>
        <v>1.200613E-10</v>
      </c>
      <c r="H66" s="1">
        <f t="shared" si="9"/>
        <v>1.162245E-10</v>
      </c>
      <c r="I66" s="46">
        <f t="shared" si="10"/>
        <v>3.8368E-12</v>
      </c>
      <c r="N66" s="7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86.691999999999993</v>
      </c>
      <c r="B67" s="8">
        <v>1.1019E-10</v>
      </c>
      <c r="C67" s="8">
        <v>1.064E-10</v>
      </c>
      <c r="D67" s="8">
        <v>3.792E-12</v>
      </c>
      <c r="E67" s="1">
        <v>8.5839000000000002E-12</v>
      </c>
      <c r="F67" s="45">
        <f t="shared" si="8"/>
        <v>86.691999999999993</v>
      </c>
      <c r="G67" s="8">
        <f t="shared" si="11"/>
        <v>1.1877590000000001E-10</v>
      </c>
      <c r="H67" s="1">
        <f t="shared" si="9"/>
        <v>1.149839E-10</v>
      </c>
      <c r="I67" s="46">
        <f t="shared" si="10"/>
        <v>3.792E-12</v>
      </c>
      <c r="N67" s="7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103.08</v>
      </c>
      <c r="B68" s="8">
        <v>1.0895E-10</v>
      </c>
      <c r="C68" s="8">
        <v>1.052E-10</v>
      </c>
      <c r="D68" s="8">
        <v>3.7494000000000002E-12</v>
      </c>
      <c r="E68" s="1">
        <v>8.5508999999999998E-12</v>
      </c>
      <c r="F68" s="45">
        <f t="shared" si="8"/>
        <v>103.08</v>
      </c>
      <c r="G68" s="8">
        <f t="shared" si="11"/>
        <v>1.175003E-10</v>
      </c>
      <c r="H68" s="1">
        <f t="shared" si="9"/>
        <v>1.137509E-10</v>
      </c>
      <c r="I68" s="46">
        <f t="shared" si="10"/>
        <v>3.7494000000000002E-12</v>
      </c>
      <c r="N68" s="7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119.46</v>
      </c>
      <c r="B69" s="8">
        <v>1.0776E-10</v>
      </c>
      <c r="C69" s="8">
        <v>1.0405000000000001E-10</v>
      </c>
      <c r="D69" s="8">
        <v>3.7081999999999999E-12</v>
      </c>
      <c r="E69" s="1">
        <v>8.4898000000000004E-12</v>
      </c>
      <c r="F69" s="45">
        <f t="shared" si="8"/>
        <v>119.46</v>
      </c>
      <c r="G69" s="8">
        <f t="shared" si="11"/>
        <v>1.1624800000000001E-10</v>
      </c>
      <c r="H69" s="1">
        <f t="shared" si="9"/>
        <v>1.1253980000000001E-10</v>
      </c>
      <c r="I69" s="46">
        <f t="shared" si="10"/>
        <v>3.7081999999999999E-12</v>
      </c>
      <c r="N69" s="7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135.84</v>
      </c>
      <c r="B70" s="8">
        <v>1.0659E-10</v>
      </c>
      <c r="C70" s="8">
        <v>1.0292E-10</v>
      </c>
      <c r="D70" s="8">
        <v>3.6678999999999997E-12</v>
      </c>
      <c r="E70" s="1">
        <v>8.4143000000000006E-12</v>
      </c>
      <c r="F70" s="45">
        <f t="shared" si="8"/>
        <v>135.84</v>
      </c>
      <c r="G70" s="8">
        <f t="shared" si="11"/>
        <v>1.1500220000000001E-10</v>
      </c>
      <c r="H70" s="1">
        <f t="shared" si="9"/>
        <v>1.1133430000000001E-10</v>
      </c>
      <c r="I70" s="46">
        <f t="shared" si="10"/>
        <v>3.6678999999999997E-12</v>
      </c>
      <c r="N70" s="7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152.22999999999999</v>
      </c>
      <c r="B71" s="8">
        <v>1.0543E-10</v>
      </c>
      <c r="C71" s="8">
        <v>1.018E-10</v>
      </c>
      <c r="D71" s="8">
        <v>3.6283000000000002E-12</v>
      </c>
      <c r="E71" s="1">
        <v>8.3316999999999993E-12</v>
      </c>
      <c r="F71" s="45">
        <f t="shared" si="8"/>
        <v>152.22999999999999</v>
      </c>
      <c r="G71" s="8">
        <f t="shared" si="11"/>
        <v>1.1376E-10</v>
      </c>
      <c r="H71" s="1">
        <f t="shared" si="9"/>
        <v>1.101317E-10</v>
      </c>
      <c r="I71" s="46">
        <f t="shared" si="10"/>
        <v>3.6283000000000002E-12</v>
      </c>
      <c r="N71" s="7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185</v>
      </c>
      <c r="B72" s="8">
        <v>1.0317E-10</v>
      </c>
      <c r="C72" s="8">
        <v>9.9620000000000001E-11</v>
      </c>
      <c r="D72" s="8">
        <v>3.5503999999999999E-12</v>
      </c>
      <c r="E72" s="1">
        <v>8.1610999999999992E-12</v>
      </c>
      <c r="F72" s="45">
        <f t="shared" si="8"/>
        <v>185</v>
      </c>
      <c r="G72" s="8">
        <f t="shared" si="11"/>
        <v>1.113315E-10</v>
      </c>
      <c r="H72" s="1">
        <f t="shared" si="9"/>
        <v>1.077811E-10</v>
      </c>
      <c r="I72" s="46">
        <f t="shared" si="10"/>
        <v>3.5503999999999999E-12</v>
      </c>
      <c r="N72" s="7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250.53</v>
      </c>
      <c r="B73" s="8">
        <v>9.8886999999999994E-11</v>
      </c>
      <c r="C73" s="8">
        <v>9.5483999999999998E-11</v>
      </c>
      <c r="D73" s="8">
        <v>3.4029999999999999E-12</v>
      </c>
      <c r="E73" s="1">
        <v>7.8226999999999998E-12</v>
      </c>
      <c r="F73" s="45">
        <f t="shared" si="8"/>
        <v>250.53</v>
      </c>
      <c r="G73" s="8">
        <f t="shared" si="11"/>
        <v>1.0670969999999999E-10</v>
      </c>
      <c r="H73" s="1">
        <f t="shared" si="9"/>
        <v>1.033067E-10</v>
      </c>
      <c r="I73" s="46">
        <f t="shared" si="10"/>
        <v>3.4029999999999999E-12</v>
      </c>
      <c r="N73" s="7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316.07</v>
      </c>
      <c r="B74" s="8">
        <v>9.4781999999999999E-11</v>
      </c>
      <c r="C74" s="8">
        <v>9.1521000000000006E-11</v>
      </c>
      <c r="D74" s="8">
        <v>3.2617000000000001E-12</v>
      </c>
      <c r="E74" s="1">
        <v>7.4980000000000006E-12</v>
      </c>
      <c r="F74" s="45">
        <f t="shared" si="8"/>
        <v>316.07</v>
      </c>
      <c r="G74" s="8">
        <f t="shared" si="11"/>
        <v>1.022807E-10</v>
      </c>
      <c r="H74" s="1">
        <f t="shared" si="9"/>
        <v>9.9019000000000002E-11</v>
      </c>
      <c r="I74" s="46">
        <f t="shared" si="10"/>
        <v>3.2617000000000001E-12</v>
      </c>
      <c r="N74" s="7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447.14</v>
      </c>
      <c r="B75" s="8">
        <v>8.7224000000000006E-11</v>
      </c>
      <c r="C75" s="8">
        <v>8.4221999999999999E-11</v>
      </c>
      <c r="D75" s="8">
        <v>3.0016000000000001E-12</v>
      </c>
      <c r="E75" s="1">
        <v>6.9000999999999996E-12</v>
      </c>
      <c r="F75" s="45">
        <f t="shared" si="8"/>
        <v>447.14</v>
      </c>
      <c r="G75" s="8">
        <f t="shared" si="11"/>
        <v>9.4123699999999997E-11</v>
      </c>
      <c r="H75" s="1">
        <f t="shared" si="9"/>
        <v>9.1122100000000002E-11</v>
      </c>
      <c r="I75" s="46">
        <f t="shared" si="10"/>
        <v>3.0016000000000001E-12</v>
      </c>
      <c r="N75" s="7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578.21</v>
      </c>
      <c r="B76" s="8">
        <v>8.0266999999999998E-11</v>
      </c>
      <c r="C76" s="8">
        <v>7.7504999999999995E-11</v>
      </c>
      <c r="D76" s="8">
        <v>2.7622000000000001E-12</v>
      </c>
      <c r="E76" s="1">
        <v>6.3498999999999998E-12</v>
      </c>
      <c r="F76" s="45">
        <f t="shared" si="8"/>
        <v>578.21</v>
      </c>
      <c r="G76" s="8">
        <f t="shared" si="11"/>
        <v>8.66171E-11</v>
      </c>
      <c r="H76" s="1">
        <f t="shared" si="9"/>
        <v>8.3854899999999998E-11</v>
      </c>
      <c r="I76" s="46">
        <f t="shared" si="10"/>
        <v>2.7622000000000001E-12</v>
      </c>
      <c r="N76" s="7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709.28</v>
      </c>
      <c r="B77" s="8">
        <v>7.3866000000000004E-11</v>
      </c>
      <c r="C77" s="8">
        <v>7.1324000000000001E-11</v>
      </c>
      <c r="D77" s="8">
        <v>2.5419999999999999E-12</v>
      </c>
      <c r="E77" s="1">
        <v>5.8435000000000003E-12</v>
      </c>
      <c r="F77" s="45">
        <f t="shared" si="8"/>
        <v>709.28</v>
      </c>
      <c r="G77" s="8">
        <f t="shared" si="11"/>
        <v>7.970950000000001E-11</v>
      </c>
      <c r="H77" s="1">
        <f t="shared" si="9"/>
        <v>7.7167500000000008E-11</v>
      </c>
      <c r="I77" s="46">
        <f t="shared" si="10"/>
        <v>2.5419999999999999E-12</v>
      </c>
      <c r="N77" s="7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971.43</v>
      </c>
      <c r="B78" s="8">
        <v>6.2233999999999997E-11</v>
      </c>
      <c r="C78" s="8">
        <v>6.0092999999999996E-11</v>
      </c>
      <c r="D78" s="8">
        <v>2.1417000000000001E-12</v>
      </c>
      <c r="E78" s="1">
        <v>4.9233999999999998E-12</v>
      </c>
      <c r="F78" s="45">
        <f t="shared" si="8"/>
        <v>971.43</v>
      </c>
      <c r="G78" s="8">
        <f t="shared" si="11"/>
        <v>6.7158100000000006E-11</v>
      </c>
      <c r="H78" s="1">
        <f t="shared" si="9"/>
        <v>6.5016400000000002E-11</v>
      </c>
      <c r="I78" s="46">
        <f t="shared" si="10"/>
        <v>2.1417000000000001E-12</v>
      </c>
      <c r="N78" s="7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1233.5999999999999</v>
      </c>
      <c r="B79" s="8">
        <v>5.2315999999999998E-11</v>
      </c>
      <c r="C79" s="8">
        <v>5.0516000000000002E-11</v>
      </c>
      <c r="D79" s="8">
        <v>1.8004000000000001E-12</v>
      </c>
      <c r="E79" s="1">
        <v>4.1388000000000001E-12</v>
      </c>
      <c r="F79" s="45">
        <f t="shared" si="8"/>
        <v>1233.5999999999999</v>
      </c>
      <c r="G79" s="8">
        <f t="shared" si="11"/>
        <v>5.6455200000000006E-11</v>
      </c>
      <c r="H79" s="1">
        <f t="shared" si="9"/>
        <v>5.4654800000000005E-11</v>
      </c>
      <c r="I79" s="46">
        <f t="shared" si="10"/>
        <v>1.8004000000000001E-12</v>
      </c>
      <c r="N79" s="7"/>
      <c r="O79" s="1"/>
      <c r="P79" s="6"/>
      <c r="Q79" s="6"/>
      <c r="R79" s="6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1495.7</v>
      </c>
      <c r="B80" s="8">
        <v>4.3938999999999997E-11</v>
      </c>
      <c r="C80" s="8">
        <v>4.2427000000000002E-11</v>
      </c>
      <c r="D80" s="8">
        <v>1.5121E-12</v>
      </c>
      <c r="E80" s="1">
        <v>3.4761000000000001E-12</v>
      </c>
      <c r="F80" s="45">
        <f t="shared" si="8"/>
        <v>1495.7</v>
      </c>
      <c r="G80" s="8">
        <f t="shared" si="11"/>
        <v>4.7415200000000004E-11</v>
      </c>
      <c r="H80" s="1">
        <f t="shared" si="9"/>
        <v>4.5903100000000004E-11</v>
      </c>
      <c r="I80" s="46">
        <f t="shared" si="10"/>
        <v>1.5121E-12</v>
      </c>
      <c r="N80" s="7"/>
      <c r="O80" s="1"/>
      <c r="P80" s="6"/>
      <c r="Q80" s="6"/>
      <c r="R80" s="6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1757.9</v>
      </c>
      <c r="B81" s="8">
        <v>3.6890999999999997E-11</v>
      </c>
      <c r="C81" s="8">
        <v>3.5620999999999998E-11</v>
      </c>
      <c r="D81" s="8">
        <v>1.2695E-12</v>
      </c>
      <c r="E81" s="1">
        <v>2.9185000000000001E-12</v>
      </c>
      <c r="F81" s="45">
        <f t="shared" si="8"/>
        <v>1757.9</v>
      </c>
      <c r="G81" s="8">
        <f t="shared" si="11"/>
        <v>3.9809000000000001E-11</v>
      </c>
      <c r="H81" s="1">
        <f t="shared" si="9"/>
        <v>3.8539499999999999E-11</v>
      </c>
      <c r="I81" s="46">
        <f t="shared" si="10"/>
        <v>1.2695E-12</v>
      </c>
      <c r="N81" s="7"/>
      <c r="O81" s="1"/>
      <c r="P81" s="6"/>
      <c r="Q81" s="6"/>
      <c r="R81" s="6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2020</v>
      </c>
      <c r="B82" s="8">
        <v>3.0968E-11</v>
      </c>
      <c r="C82" s="8">
        <v>2.9901999999999999E-11</v>
      </c>
      <c r="D82" s="8">
        <v>1.0657E-12</v>
      </c>
      <c r="E82" s="1">
        <v>2.4498999999999999E-12</v>
      </c>
      <c r="F82" s="45">
        <f t="shared" si="8"/>
        <v>2020</v>
      </c>
      <c r="G82" s="8">
        <f t="shared" si="11"/>
        <v>3.3417600000000003E-11</v>
      </c>
      <c r="H82" s="1">
        <f t="shared" si="9"/>
        <v>3.2351900000000002E-11</v>
      </c>
      <c r="I82" s="46">
        <f t="shared" si="10"/>
        <v>1.0657E-12</v>
      </c>
      <c r="N82" s="7"/>
      <c r="O82" s="1"/>
      <c r="P82" s="6"/>
      <c r="Q82" s="6"/>
      <c r="R82" s="6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2282.1</v>
      </c>
      <c r="B83" s="8">
        <v>2.5995E-11</v>
      </c>
      <c r="C83" s="8">
        <v>2.5099999999999999E-11</v>
      </c>
      <c r="D83" s="8">
        <v>8.9455999999999998E-13</v>
      </c>
      <c r="E83" s="1">
        <v>2.0565E-12</v>
      </c>
      <c r="F83" s="45">
        <f t="shared" si="8"/>
        <v>2282.1</v>
      </c>
      <c r="G83" s="8">
        <f t="shared" si="11"/>
        <v>2.8051059999999997E-11</v>
      </c>
      <c r="H83" s="1">
        <f t="shared" si="9"/>
        <v>2.7156499999999999E-11</v>
      </c>
      <c r="I83" s="46">
        <f t="shared" si="10"/>
        <v>8.9455999999999998E-13</v>
      </c>
      <c r="N83" s="7"/>
      <c r="O83" s="1"/>
      <c r="P83" s="6"/>
      <c r="Q83" s="6"/>
      <c r="R83" s="6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2544.3000000000002</v>
      </c>
      <c r="B84" s="8">
        <v>2.1819999999999999E-11</v>
      </c>
      <c r="C84" s="8">
        <v>2.1068999999999999E-11</v>
      </c>
      <c r="D84" s="8">
        <v>7.5089000000000004E-13</v>
      </c>
      <c r="E84" s="1">
        <v>1.7262000000000001E-12</v>
      </c>
      <c r="F84" s="45">
        <f t="shared" si="8"/>
        <v>2544.3000000000002</v>
      </c>
      <c r="G84" s="8">
        <f t="shared" si="11"/>
        <v>2.354609E-11</v>
      </c>
      <c r="H84" s="1">
        <f t="shared" si="9"/>
        <v>2.27952E-11</v>
      </c>
      <c r="I84" s="46">
        <f t="shared" si="10"/>
        <v>7.5089000000000004E-13</v>
      </c>
      <c r="N84" s="7"/>
      <c r="O84" s="1"/>
      <c r="P84" s="6"/>
      <c r="Q84" s="6"/>
      <c r="R84" s="6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2806.4</v>
      </c>
      <c r="B85" s="8">
        <v>1.8315E-11</v>
      </c>
      <c r="C85" s="8">
        <v>1.7685000000000001E-11</v>
      </c>
      <c r="D85" s="8">
        <v>6.3028000000000002E-13</v>
      </c>
      <c r="E85" s="1">
        <v>1.4489E-12</v>
      </c>
      <c r="F85" s="45">
        <f t="shared" si="8"/>
        <v>2806.4</v>
      </c>
      <c r="G85" s="8">
        <f t="shared" si="11"/>
        <v>1.9764180000000001E-11</v>
      </c>
      <c r="H85" s="1">
        <f t="shared" si="9"/>
        <v>1.9133900000000002E-11</v>
      </c>
      <c r="I85" s="46">
        <f t="shared" si="10"/>
        <v>6.3028000000000002E-13</v>
      </c>
      <c r="N85" s="7"/>
      <c r="O85" s="1"/>
      <c r="P85" s="6"/>
      <c r="Q85" s="6"/>
      <c r="R85" s="6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3068.6</v>
      </c>
      <c r="B86" s="8">
        <v>1.5373000000000001E-11</v>
      </c>
      <c r="C86" s="8">
        <v>1.4843999999999999E-11</v>
      </c>
      <c r="D86" s="8">
        <v>5.2904000000000004E-13</v>
      </c>
      <c r="E86" s="1">
        <v>1.2162E-12</v>
      </c>
      <c r="F86" s="45">
        <f t="shared" si="8"/>
        <v>3068.6</v>
      </c>
      <c r="G86" s="8">
        <f t="shared" si="11"/>
        <v>1.6589239999999998E-11</v>
      </c>
      <c r="H86" s="1">
        <f t="shared" si="9"/>
        <v>1.60602E-11</v>
      </c>
      <c r="I86" s="46">
        <f t="shared" si="10"/>
        <v>5.2904000000000004E-13</v>
      </c>
      <c r="N86" s="7"/>
      <c r="O86" s="1"/>
      <c r="P86" s="6"/>
      <c r="Q86" s="6"/>
      <c r="R86" s="6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3330.7</v>
      </c>
      <c r="B87" s="8">
        <v>1.2904000000000001E-11</v>
      </c>
      <c r="C87" s="8">
        <v>1.246E-11</v>
      </c>
      <c r="D87" s="8">
        <v>4.4407E-13</v>
      </c>
      <c r="E87" s="1">
        <v>1.0209E-12</v>
      </c>
      <c r="F87" s="45">
        <f t="shared" si="8"/>
        <v>3330.7</v>
      </c>
      <c r="G87" s="8">
        <f t="shared" si="11"/>
        <v>1.3924969999999999E-11</v>
      </c>
      <c r="H87" s="1">
        <f t="shared" si="9"/>
        <v>1.3480899999999999E-11</v>
      </c>
      <c r="I87" s="46">
        <f t="shared" si="10"/>
        <v>4.4407E-13</v>
      </c>
      <c r="N87" s="7"/>
      <c r="O87" s="1"/>
      <c r="P87" s="6"/>
      <c r="Q87" s="6"/>
      <c r="R87" s="6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3592.9</v>
      </c>
      <c r="B88" s="8">
        <v>1.0831E-11</v>
      </c>
      <c r="C88" s="8">
        <v>1.0459E-11</v>
      </c>
      <c r="D88" s="8">
        <v>3.7273999999999998E-13</v>
      </c>
      <c r="E88" s="1">
        <v>8.5689E-13</v>
      </c>
      <c r="F88" s="45">
        <f t="shared" si="8"/>
        <v>3592.9</v>
      </c>
      <c r="G88" s="8">
        <f t="shared" si="11"/>
        <v>1.168863E-11</v>
      </c>
      <c r="H88" s="1">
        <f t="shared" si="9"/>
        <v>1.131589E-11</v>
      </c>
      <c r="I88" s="46">
        <f t="shared" si="10"/>
        <v>3.7273999999999998E-13</v>
      </c>
      <c r="N88" s="7"/>
      <c r="O88" s="1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3855</v>
      </c>
      <c r="B89" s="8">
        <v>9.0916000000000006E-12</v>
      </c>
      <c r="C89" s="8">
        <v>8.7787000000000001E-12</v>
      </c>
      <c r="D89" s="8">
        <v>3.1287000000000001E-13</v>
      </c>
      <c r="E89" s="1">
        <v>7.1924999999999999E-13</v>
      </c>
      <c r="F89" s="45">
        <f t="shared" si="8"/>
        <v>3855</v>
      </c>
      <c r="G89" s="8">
        <f t="shared" si="11"/>
        <v>9.8108199999999996E-12</v>
      </c>
      <c r="H89" s="1">
        <f t="shared" si="9"/>
        <v>9.4979500000000003E-12</v>
      </c>
      <c r="I89" s="46">
        <f t="shared" si="10"/>
        <v>3.1287000000000001E-13</v>
      </c>
      <c r="N89" s="7"/>
      <c r="O89" s="1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4117.2</v>
      </c>
      <c r="B90" s="8">
        <v>7.6312999999999996E-12</v>
      </c>
      <c r="C90" s="8">
        <v>7.3686000000000007E-12</v>
      </c>
      <c r="D90" s="8">
        <v>2.6260999999999998E-13</v>
      </c>
      <c r="E90" s="1">
        <v>6.0371999999999998E-13</v>
      </c>
      <c r="F90" s="45">
        <f t="shared" si="8"/>
        <v>4117.2</v>
      </c>
      <c r="G90" s="8">
        <f t="shared" si="11"/>
        <v>8.2349300000000011E-12</v>
      </c>
      <c r="H90" s="1">
        <f t="shared" si="9"/>
        <v>7.9723200000000009E-12</v>
      </c>
      <c r="I90" s="46">
        <f t="shared" si="10"/>
        <v>2.6260999999999998E-13</v>
      </c>
      <c r="N90" s="7"/>
      <c r="O90" s="1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4320</v>
      </c>
      <c r="B91" s="8">
        <v>6.6621999999999996E-12</v>
      </c>
      <c r="C91" s="8">
        <v>6.4329999999999998E-12</v>
      </c>
      <c r="D91" s="8">
        <v>2.2926999999999999E-13</v>
      </c>
      <c r="E91" s="1">
        <v>5.2705999999999998E-13</v>
      </c>
      <c r="F91" s="45">
        <f t="shared" si="8"/>
        <v>4320</v>
      </c>
      <c r="G91" s="8">
        <f t="shared" si="11"/>
        <v>7.18933E-12</v>
      </c>
      <c r="H91" s="1">
        <f t="shared" si="9"/>
        <v>6.9600600000000001E-12</v>
      </c>
      <c r="I91" s="46">
        <f t="shared" si="10"/>
        <v>2.2926999999999999E-13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4320</v>
      </c>
      <c r="B92" s="8">
        <v>4.6718000000000003E-12</v>
      </c>
      <c r="C92" s="8">
        <v>4.5109999999999997E-12</v>
      </c>
      <c r="D92" s="8">
        <v>1.6077000000000001E-13</v>
      </c>
      <c r="E92" s="1">
        <v>3.7337E-13</v>
      </c>
      <c r="F92" s="45">
        <f t="shared" si="8"/>
        <v>4320</v>
      </c>
      <c r="G92" s="8">
        <f t="shared" si="11"/>
        <v>5.0451399999999996E-12</v>
      </c>
      <c r="H92" s="1">
        <f t="shared" si="9"/>
        <v>4.8843699999999993E-12</v>
      </c>
      <c r="I92" s="46">
        <f t="shared" si="10"/>
        <v>1.6077000000000001E-13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4277</v>
      </c>
      <c r="B93" s="8">
        <v>1.5279E-12</v>
      </c>
      <c r="C93" s="8">
        <v>1.4472999999999999E-12</v>
      </c>
      <c r="D93" s="8">
        <v>8.0549999999999995E-14</v>
      </c>
      <c r="E93" s="1">
        <v>1.1981999999999999E-13</v>
      </c>
      <c r="F93" s="45">
        <f t="shared" si="8"/>
        <v>4277</v>
      </c>
      <c r="G93" s="8">
        <f t="shared" si="11"/>
        <v>1.64767E-12</v>
      </c>
      <c r="H93" s="1">
        <f t="shared" si="9"/>
        <v>1.5671199999999999E-12</v>
      </c>
      <c r="I93" s="46">
        <f t="shared" si="10"/>
        <v>8.0549999999999995E-14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7.25" thickBot="1" x14ac:dyDescent="0.35">
      <c r="A94" s="7">
        <v>4320</v>
      </c>
      <c r="B94" s="8">
        <v>1.4619000000000001E-12</v>
      </c>
      <c r="C94" s="8">
        <v>1.3847999999999999E-12</v>
      </c>
      <c r="D94" s="8">
        <v>7.7071000000000003E-14</v>
      </c>
      <c r="E94" s="1">
        <v>1.1464E-13</v>
      </c>
      <c r="F94" s="47">
        <f t="shared" si="8"/>
        <v>4320</v>
      </c>
      <c r="G94" s="48">
        <f t="shared" si="11"/>
        <v>1.5765109999999999E-12</v>
      </c>
      <c r="H94" s="49">
        <f t="shared" si="9"/>
        <v>1.4994399999999999E-12</v>
      </c>
      <c r="I94" s="50">
        <f t="shared" si="10"/>
        <v>7.7071000000000003E-14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B95" s="7"/>
      <c r="C95" s="8"/>
      <c r="D95" s="8"/>
      <c r="E95" s="8"/>
      <c r="F95" s="1"/>
      <c r="G95" s="1"/>
      <c r="H95" s="1"/>
      <c r="I95" s="1"/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B96" s="7"/>
      <c r="C96" s="8"/>
      <c r="D96" s="8"/>
      <c r="E96" s="8"/>
      <c r="F96" s="1"/>
      <c r="G96" s="1"/>
      <c r="H96" s="1"/>
      <c r="I96" s="1"/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2:65" x14ac:dyDescent="0.3">
      <c r="B97" s="7"/>
      <c r="C97" s="8"/>
      <c r="D97" s="8"/>
      <c r="E97" s="8"/>
      <c r="F97" s="1"/>
      <c r="G97" s="1"/>
      <c r="H97" s="1"/>
      <c r="I97" s="1"/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2:65" x14ac:dyDescent="0.3">
      <c r="B98" s="7"/>
      <c r="C98" s="8"/>
      <c r="D98" s="8"/>
      <c r="E98" s="8"/>
      <c r="F98" s="1"/>
      <c r="G98" s="1"/>
      <c r="H98" s="1"/>
      <c r="I98" s="1"/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2:65" x14ac:dyDescent="0.3">
      <c r="B99" s="7"/>
      <c r="C99" s="8"/>
      <c r="D99" s="8"/>
      <c r="E99" s="8"/>
      <c r="F99" s="1"/>
      <c r="G99" s="1"/>
      <c r="H99" s="1"/>
      <c r="I99" s="1"/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2:65" x14ac:dyDescent="0.3">
      <c r="B100" s="7"/>
      <c r="C100" s="8"/>
      <c r="D100" s="8"/>
      <c r="E100" s="8"/>
      <c r="F100" s="1"/>
      <c r="G100" s="1"/>
      <c r="H100" s="1"/>
      <c r="I100" s="1"/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2:65" x14ac:dyDescent="0.3">
      <c r="B101" s="7"/>
      <c r="C101" s="8"/>
      <c r="D101" s="8"/>
      <c r="E101" s="8"/>
      <c r="F101" s="1"/>
      <c r="G101" s="1"/>
      <c r="H101" s="1"/>
      <c r="I101" s="1"/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2:65" x14ac:dyDescent="0.3">
      <c r="B102" s="7"/>
      <c r="C102" s="8"/>
      <c r="D102" s="8"/>
      <c r="E102" s="8"/>
      <c r="F102" s="1"/>
      <c r="G102" s="1"/>
      <c r="H102" s="1"/>
      <c r="I102" s="1"/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2:65" x14ac:dyDescent="0.3">
      <c r="B103" s="7"/>
      <c r="C103" s="8"/>
      <c r="D103" s="8"/>
      <c r="E103" s="8"/>
      <c r="F103" s="1"/>
      <c r="G103" s="1"/>
      <c r="H103" s="1"/>
      <c r="I103" s="1"/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2:65" x14ac:dyDescent="0.3">
      <c r="B104" s="7"/>
      <c r="C104" s="8"/>
      <c r="D104" s="8"/>
      <c r="E104" s="8"/>
      <c r="F104" s="1"/>
      <c r="G104" s="1"/>
      <c r="H104" s="1"/>
      <c r="I104" s="1"/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2:65" x14ac:dyDescent="0.3">
      <c r="B105" s="7"/>
      <c r="C105" s="8"/>
      <c r="D105" s="8"/>
      <c r="E105" s="8"/>
      <c r="F105" s="1"/>
      <c r="G105" s="1"/>
      <c r="H105" s="1"/>
      <c r="I105" s="1"/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2:65" x14ac:dyDescent="0.3">
      <c r="B106" s="7"/>
      <c r="C106" s="8"/>
      <c r="D106" s="8"/>
      <c r="E106" s="8"/>
      <c r="F106" s="1"/>
      <c r="G106" s="1"/>
      <c r="H106" s="1"/>
      <c r="I106" s="1"/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2:65" x14ac:dyDescent="0.3">
      <c r="B107" s="7"/>
      <c r="C107" s="8"/>
      <c r="D107" s="8"/>
      <c r="E107" s="8"/>
      <c r="F107" s="1"/>
      <c r="G107" s="1"/>
      <c r="H107" s="1"/>
      <c r="I107" s="1"/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2:65" x14ac:dyDescent="0.3">
      <c r="B108" s="7"/>
      <c r="C108" s="8"/>
      <c r="D108" s="8"/>
      <c r="E108" s="8"/>
      <c r="F108" s="1"/>
      <c r="G108" s="1"/>
      <c r="H108" s="1"/>
      <c r="I108" s="1"/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2:65" x14ac:dyDescent="0.3">
      <c r="B109" s="7"/>
      <c r="C109" s="8"/>
      <c r="D109" s="8"/>
      <c r="E109" s="8"/>
      <c r="F109" s="1"/>
      <c r="G109" s="1"/>
      <c r="H109" s="1"/>
      <c r="I109" s="1"/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2:65" x14ac:dyDescent="0.3">
      <c r="B110" s="7"/>
      <c r="C110" s="8"/>
      <c r="D110" s="8"/>
      <c r="E110" s="8"/>
      <c r="F110" s="1"/>
      <c r="G110" s="1"/>
      <c r="H110" s="1"/>
      <c r="I110" s="1"/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2:65" x14ac:dyDescent="0.3">
      <c r="B111" s="7"/>
      <c r="C111" s="8"/>
      <c r="D111" s="8"/>
      <c r="E111" s="8"/>
      <c r="F111" s="1"/>
      <c r="G111" s="1"/>
      <c r="H111" s="1"/>
      <c r="I111" s="1"/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2:65" x14ac:dyDescent="0.3">
      <c r="B112" s="7"/>
      <c r="C112" s="8"/>
      <c r="D112" s="8"/>
      <c r="E112" s="8"/>
      <c r="F112" s="1"/>
      <c r="G112" s="1"/>
      <c r="H112" s="1"/>
      <c r="I112" s="1"/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 x14ac:dyDescent="0.3">
      <c r="B113" s="7"/>
      <c r="C113" s="8"/>
      <c r="D113" s="8"/>
      <c r="E113" s="8"/>
      <c r="F113" s="1"/>
      <c r="G113" s="1"/>
      <c r="H113" s="1"/>
      <c r="I113" s="1"/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 x14ac:dyDescent="0.3">
      <c r="B114" s="7"/>
      <c r="C114" s="8"/>
      <c r="D114" s="8"/>
      <c r="E114" s="8"/>
      <c r="F114" s="1"/>
      <c r="G114" s="1"/>
      <c r="H114" s="1"/>
      <c r="I114" s="1"/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 x14ac:dyDescent="0.3">
      <c r="B115" s="7"/>
      <c r="C115" s="8"/>
      <c r="D115" s="8"/>
      <c r="E115" s="8"/>
      <c r="F115" s="1"/>
      <c r="G115" s="1"/>
      <c r="H115" s="1"/>
      <c r="I115" s="1"/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 x14ac:dyDescent="0.3">
      <c r="B116" s="7"/>
      <c r="C116" s="8"/>
      <c r="D116" s="8"/>
      <c r="E116" s="8"/>
      <c r="F116" s="1"/>
      <c r="G116" s="1"/>
      <c r="H116" s="1"/>
      <c r="I116" s="1"/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 x14ac:dyDescent="0.3">
      <c r="B117" s="7"/>
      <c r="C117" s="8"/>
      <c r="D117" s="8"/>
      <c r="E117" s="8"/>
      <c r="F117" s="1"/>
      <c r="G117" s="1"/>
      <c r="H117" s="1"/>
      <c r="I117" s="1"/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 x14ac:dyDescent="0.3">
      <c r="B118" s="7"/>
      <c r="C118" s="8"/>
      <c r="D118" s="8"/>
      <c r="E118" s="8"/>
      <c r="F118" s="1"/>
      <c r="G118" s="1"/>
      <c r="H118" s="1"/>
      <c r="I118" s="1"/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7F66-968F-4382-BF85-F70B07360110}">
  <dimension ref="A1:BM602"/>
  <sheetViews>
    <sheetView topLeftCell="R1" zoomScale="85" zoomScaleNormal="85" workbookViewId="0">
      <selection activeCell="AF22" sqref="AF22:AH23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19" max="19" width="9.75" customWidth="1"/>
    <col min="20" max="20" width="9.25" customWidth="1"/>
    <col min="21" max="21" width="8.5" customWidth="1"/>
    <col min="22" max="22" width="8.375" customWidth="1"/>
    <col min="28" max="28" width="18.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1.2735587532151998E-10</v>
      </c>
      <c r="B1" s="7" t="s">
        <v>0</v>
      </c>
      <c r="C1" s="8" t="s">
        <v>120</v>
      </c>
      <c r="D1" s="8" t="s">
        <v>121</v>
      </c>
      <c r="E1" s="8" t="s">
        <v>121</v>
      </c>
      <c r="F1" t="s">
        <v>121</v>
      </c>
      <c r="G1" t="s">
        <v>121</v>
      </c>
      <c r="H1" t="s">
        <v>122</v>
      </c>
      <c r="I1" t="s">
        <v>123</v>
      </c>
      <c r="J1" t="s">
        <v>124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1.2709878519999999E-10</v>
      </c>
      <c r="D2" s="1">
        <v>1.270922E-10</v>
      </c>
      <c r="E2" s="1">
        <v>6.5851999999999998E-15</v>
      </c>
      <c r="F2" s="1">
        <v>2.5709000000000002E-13</v>
      </c>
      <c r="G2" s="1">
        <v>1.2152E-19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5" si="0">(H2+F2)/$A$1*100</f>
        <v>0.20186740450800245</v>
      </c>
      <c r="R2" s="6">
        <f t="shared" ref="R2:R45" si="1">(G2+I2)/$A$1*100</f>
        <v>9.5417663058899438E-8</v>
      </c>
      <c r="S2" s="10">
        <f t="shared" ref="S2:S45" si="2">J2/$A$1*100</f>
        <v>0</v>
      </c>
      <c r="T2" s="6">
        <f t="shared" ref="T2:V17" si="3">C2/$A$1*100</f>
        <v>99.798132500074345</v>
      </c>
      <c r="U2" s="6">
        <f t="shared" si="3"/>
        <v>99.792961792414914</v>
      </c>
      <c r="V2" s="6">
        <f t="shared" si="3"/>
        <v>5.1707076594425987E-3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2.468</v>
      </c>
      <c r="C3" s="8">
        <v>1.2594820000000001E-10</v>
      </c>
      <c r="D3" s="1">
        <v>1.136602E-10</v>
      </c>
      <c r="E3" s="1">
        <v>1.2287999999999999E-11</v>
      </c>
      <c r="F3" s="1">
        <v>1.1752000000000001E-12</v>
      </c>
      <c r="G3" s="1">
        <v>9.1250999999999993E-18</v>
      </c>
      <c r="H3" s="1">
        <v>2.5861999999999999E-14</v>
      </c>
      <c r="I3" s="1">
        <v>1.6721000000000001E-15</v>
      </c>
      <c r="J3" s="1">
        <v>1.7831999999999999E-13</v>
      </c>
      <c r="K3" s="1"/>
      <c r="L3" s="1"/>
      <c r="N3" s="7"/>
      <c r="O3">
        <f t="shared" ref="O3:O45" si="4">B3/60</f>
        <v>4.1133333333333334E-2</v>
      </c>
      <c r="P3" s="6">
        <f t="shared" ref="P3:P45" si="5">(SUM(F3:J3)+C3)/$A$1*100</f>
        <v>99.979104147058166</v>
      </c>
      <c r="Q3" s="6">
        <f t="shared" si="0"/>
        <v>0.94307545448360686</v>
      </c>
      <c r="R3" s="6">
        <f t="shared" si="1"/>
        <v>1.3201001490945072E-3</v>
      </c>
      <c r="S3" s="10">
        <f t="shared" si="2"/>
        <v>0.14001709740506046</v>
      </c>
      <c r="T3" s="6">
        <f t="shared" si="3"/>
        <v>98.89469149502041</v>
      </c>
      <c r="U3" s="6">
        <f t="shared" si="3"/>
        <v>89.246137811118516</v>
      </c>
      <c r="V3" s="6">
        <f t="shared" si="3"/>
        <v>9.6485536839018788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4.516</v>
      </c>
      <c r="C4" s="8">
        <v>1.2552679999999999E-10</v>
      </c>
      <c r="D4" s="1">
        <v>1.132848E-10</v>
      </c>
      <c r="E4" s="1">
        <v>1.2242000000000001E-11</v>
      </c>
      <c r="F4" s="1">
        <v>1.4001000000000001E-12</v>
      </c>
      <c r="G4" s="1">
        <v>1.0999E-17</v>
      </c>
      <c r="H4" s="1">
        <v>7.3008000000000003E-14</v>
      </c>
      <c r="I4" s="1">
        <v>4.7262000000000002E-15</v>
      </c>
      <c r="J4" s="1">
        <v>3.2526999999999999E-13</v>
      </c>
      <c r="K4" s="1"/>
      <c r="L4" s="1"/>
      <c r="N4" s="7"/>
      <c r="O4">
        <f t="shared" si="4"/>
        <v>7.5266666666666662E-2</v>
      </c>
      <c r="P4" s="6">
        <f t="shared" si="5"/>
        <v>99.979616077817795</v>
      </c>
      <c r="Q4" s="6">
        <f t="shared" si="0"/>
        <v>1.1566863297676864</v>
      </c>
      <c r="R4" s="6">
        <f t="shared" si="1"/>
        <v>3.7196548553732338E-3</v>
      </c>
      <c r="S4" s="10">
        <f t="shared" si="2"/>
        <v>0.25540242974957394</v>
      </c>
      <c r="T4" s="6">
        <f t="shared" si="3"/>
        <v>98.563807663445175</v>
      </c>
      <c r="U4" s="6">
        <f t="shared" si="3"/>
        <v>88.951373239753224</v>
      </c>
      <c r="V4" s="6">
        <f t="shared" si="3"/>
        <v>9.6124344236919601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7.5880000000000001</v>
      </c>
      <c r="C5" s="8">
        <v>1.2497699999999999E-10</v>
      </c>
      <c r="D5" s="1">
        <v>1.12806E-10</v>
      </c>
      <c r="E5" s="1">
        <v>1.2171000000000001E-11</v>
      </c>
      <c r="F5" s="1">
        <v>1.6264E-12</v>
      </c>
      <c r="G5" s="1">
        <v>1.4803999999999999E-17</v>
      </c>
      <c r="H5" s="1">
        <v>1.5699E-13</v>
      </c>
      <c r="I5" s="1">
        <v>1.0613999999999999E-14</v>
      </c>
      <c r="J5" s="1">
        <v>5.4462999999999997E-13</v>
      </c>
      <c r="K5" s="1"/>
      <c r="L5" s="1"/>
      <c r="N5" s="7"/>
      <c r="O5">
        <f t="shared" si="4"/>
        <v>0.12646666666666667</v>
      </c>
      <c r="P5" s="6">
        <f t="shared" si="5"/>
        <v>99.968414085790357</v>
      </c>
      <c r="Q5" s="6">
        <f t="shared" si="0"/>
        <v>1.4003201622992978</v>
      </c>
      <c r="R5" s="6">
        <f t="shared" si="1"/>
        <v>8.3457508129615079E-3</v>
      </c>
      <c r="S5" s="10">
        <f t="shared" si="2"/>
        <v>0.42764418887235356</v>
      </c>
      <c r="T5" s="6">
        <f t="shared" si="3"/>
        <v>98.132103983805749</v>
      </c>
      <c r="U5" s="6">
        <f t="shared" si="3"/>
        <v>88.5754188530465</v>
      </c>
      <c r="V5" s="6">
        <f t="shared" si="3"/>
        <v>9.5566851307592593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9.6359999999999992</v>
      </c>
      <c r="C6" s="8">
        <v>1.246534E-10</v>
      </c>
      <c r="D6" s="1">
        <v>1.125294E-10</v>
      </c>
      <c r="E6" s="1">
        <v>1.2124E-11</v>
      </c>
      <c r="F6" s="1">
        <v>1.7373000000000001E-12</v>
      </c>
      <c r="G6" s="1">
        <v>1.7346E-17</v>
      </c>
      <c r="H6" s="1">
        <v>2.1949000000000001E-13</v>
      </c>
      <c r="I6" s="1">
        <v>1.5522999999999999E-14</v>
      </c>
      <c r="J6" s="1">
        <v>6.9015999999999996E-13</v>
      </c>
      <c r="K6" s="1"/>
      <c r="L6" s="1"/>
      <c r="N6" s="7"/>
      <c r="O6">
        <f t="shared" si="4"/>
        <v>0.16059999999999999</v>
      </c>
      <c r="P6" s="6">
        <f t="shared" si="5"/>
        <v>99.968603744884931</v>
      </c>
      <c r="Q6" s="6">
        <f t="shared" si="0"/>
        <v>1.5364740692645149</v>
      </c>
      <c r="R6" s="6">
        <f t="shared" si="1"/>
        <v>1.2202300020134263E-2</v>
      </c>
      <c r="S6" s="10">
        <f t="shared" si="2"/>
        <v>0.54191453535821288</v>
      </c>
      <c r="T6" s="6">
        <f t="shared" si="3"/>
        <v>97.878012840242064</v>
      </c>
      <c r="U6" s="6">
        <f t="shared" si="3"/>
        <v>88.358232171001632</v>
      </c>
      <c r="V6" s="6">
        <f t="shared" si="3"/>
        <v>9.5197806692404274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0.9</v>
      </c>
      <c r="AH6" s="1">
        <v>0.9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13.731999999999999</v>
      </c>
      <c r="C7" s="8">
        <v>1.240329E-10</v>
      </c>
      <c r="D7" s="1">
        <v>1.120009E-10</v>
      </c>
      <c r="E7" s="1">
        <v>1.2032E-11</v>
      </c>
      <c r="F7" s="1">
        <v>1.9095999999999999E-12</v>
      </c>
      <c r="G7" s="1">
        <v>2.3478000000000001E-17</v>
      </c>
      <c r="H7" s="1">
        <v>3.5556E-13</v>
      </c>
      <c r="I7" s="1">
        <v>2.8076999999999999E-14</v>
      </c>
      <c r="J7" s="1">
        <v>9.7957000000000004E-13</v>
      </c>
      <c r="K7" s="1"/>
      <c r="L7" s="1"/>
      <c r="N7" s="7"/>
      <c r="O7">
        <f t="shared" si="4"/>
        <v>0.22886666666666666</v>
      </c>
      <c r="P7" s="6">
        <f t="shared" si="5"/>
        <v>99.960626203232962</v>
      </c>
      <c r="Q7" s="6">
        <f t="shared" si="0"/>
        <v>1.7786065968934881</v>
      </c>
      <c r="R7" s="6">
        <f t="shared" si="1"/>
        <v>2.2064532106632791E-2</v>
      </c>
      <c r="S7" s="10">
        <f t="shared" si="2"/>
        <v>0.76915964617022814</v>
      </c>
      <c r="T7" s="6">
        <f t="shared" si="3"/>
        <v>97.390795428062617</v>
      </c>
      <c r="U7" s="6">
        <f t="shared" si="3"/>
        <v>87.943253279242029</v>
      </c>
      <c r="V7" s="6">
        <f t="shared" si="3"/>
        <v>9.4475421488205917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156</v>
      </c>
      <c r="AH7" s="1" t="s">
        <v>160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17.417999999999999</v>
      </c>
      <c r="C8" s="8">
        <v>1.235028E-10</v>
      </c>
      <c r="D8" s="1">
        <v>1.115478E-10</v>
      </c>
      <c r="E8" s="1">
        <v>1.1955000000000001E-11</v>
      </c>
      <c r="F8" s="1">
        <v>2.0258000000000001E-12</v>
      </c>
      <c r="G8" s="1">
        <v>3.0084000000000001E-17</v>
      </c>
      <c r="H8" s="1">
        <v>4.8840000000000002E-13</v>
      </c>
      <c r="I8" s="1">
        <v>4.2937000000000002E-14</v>
      </c>
      <c r="J8" s="1">
        <v>1.2381999999999999E-12</v>
      </c>
      <c r="K8" s="1"/>
      <c r="L8" s="1"/>
      <c r="M8" s="4"/>
      <c r="N8" s="7"/>
      <c r="O8">
        <f t="shared" si="4"/>
        <v>0.2903</v>
      </c>
      <c r="P8" s="6">
        <f t="shared" si="5"/>
        <v>99.954687416364351</v>
      </c>
      <c r="Q8" s="6">
        <f t="shared" si="0"/>
        <v>1.9741531308647544</v>
      </c>
      <c r="R8" s="6">
        <f t="shared" si="1"/>
        <v>3.373781059690116E-2</v>
      </c>
      <c r="S8" s="10">
        <f t="shared" si="2"/>
        <v>0.97223626069395386</v>
      </c>
      <c r="T8" s="6">
        <f t="shared" si="3"/>
        <v>96.974560214208736</v>
      </c>
      <c r="U8" s="6">
        <f t="shared" si="3"/>
        <v>87.587478566174326</v>
      </c>
      <c r="V8" s="6">
        <f t="shared" si="3"/>
        <v>9.387081648034421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0.48</v>
      </c>
      <c r="AH8" s="37">
        <v>0.48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21.105</v>
      </c>
      <c r="C9" s="8">
        <v>1.229954E-10</v>
      </c>
      <c r="D9" s="1">
        <v>1.111134E-10</v>
      </c>
      <c r="E9" s="1">
        <v>1.1882E-11</v>
      </c>
      <c r="F9" s="1">
        <v>2.1202000000000002E-12</v>
      </c>
      <c r="G9" s="1">
        <v>3.7169000000000003E-17</v>
      </c>
      <c r="H9" s="1">
        <v>6.2907999999999998E-13</v>
      </c>
      <c r="I9" s="1">
        <v>6.1534000000000003E-14</v>
      </c>
      <c r="J9" s="1">
        <v>1.4951999999999999E-12</v>
      </c>
      <c r="K9" s="1"/>
      <c r="L9" s="1"/>
      <c r="N9" s="7"/>
      <c r="O9">
        <f t="shared" si="4"/>
        <v>0.35175000000000001</v>
      </c>
      <c r="P9" s="6">
        <f t="shared" si="5"/>
        <v>99.957266084204903</v>
      </c>
      <c r="Q9" s="6">
        <f t="shared" si="0"/>
        <v>2.15873825456362</v>
      </c>
      <c r="R9" s="6">
        <f t="shared" si="1"/>
        <v>4.8345762489997987E-2</v>
      </c>
      <c r="S9" s="10">
        <f t="shared" si="2"/>
        <v>1.1740329970841543</v>
      </c>
      <c r="T9" s="6">
        <f t="shared" si="3"/>
        <v>96.576149070067146</v>
      </c>
      <c r="U9" s="6">
        <f t="shared" si="3"/>
        <v>87.246387117583254</v>
      </c>
      <c r="V9" s="6">
        <f t="shared" si="3"/>
        <v>9.3297619524838975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4.2</v>
      </c>
      <c r="AH9" s="37">
        <v>4.2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24.791</v>
      </c>
      <c r="C10" s="8">
        <v>1.2248070000000002E-10</v>
      </c>
      <c r="D10" s="1">
        <v>1.1066770000000001E-10</v>
      </c>
      <c r="E10" s="1">
        <v>1.1813000000000001E-11</v>
      </c>
      <c r="F10" s="1">
        <v>2.1985999999999999E-12</v>
      </c>
      <c r="G10" s="1">
        <v>4.4417999999999999E-17</v>
      </c>
      <c r="H10" s="1">
        <v>7.7635000000000002E-13</v>
      </c>
      <c r="I10" s="1">
        <v>8.4088000000000005E-14</v>
      </c>
      <c r="J10" s="1">
        <v>1.7507E-12</v>
      </c>
      <c r="K10" s="1"/>
      <c r="L10" s="1"/>
      <c r="N10" s="7"/>
      <c r="O10">
        <f t="shared" si="4"/>
        <v>0.41318333333333335</v>
      </c>
      <c r="P10" s="6">
        <f t="shared" si="5"/>
        <v>99.948653406562613</v>
      </c>
      <c r="Q10" s="6">
        <f t="shared" si="0"/>
        <v>2.3359346339456297</v>
      </c>
      <c r="R10" s="6">
        <f t="shared" si="1"/>
        <v>6.606088473547142E-2</v>
      </c>
      <c r="S10" s="10">
        <f t="shared" si="2"/>
        <v>1.374651931510988</v>
      </c>
      <c r="T10" s="6">
        <f t="shared" si="3"/>
        <v>96.172005956370526</v>
      </c>
      <c r="U10" s="6">
        <f t="shared" si="3"/>
        <v>86.896422894201507</v>
      </c>
      <c r="V10" s="6">
        <f t="shared" si="3"/>
        <v>9.2755830621690194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1.5E-5</v>
      </c>
      <c r="AH10" s="37">
        <v>1.5E-5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32.164000000000001</v>
      </c>
      <c r="C11" s="8">
        <v>1.2147770000000002E-10</v>
      </c>
      <c r="D11" s="1">
        <v>1.0979370000000001E-10</v>
      </c>
      <c r="E11" s="1">
        <v>1.1684000000000001E-11</v>
      </c>
      <c r="F11" s="1">
        <v>2.3197999999999999E-12</v>
      </c>
      <c r="G11" s="1">
        <v>5.7730000000000003E-17</v>
      </c>
      <c r="H11" s="1">
        <v>1.0866E-12</v>
      </c>
      <c r="I11" s="1">
        <v>1.4098E-13</v>
      </c>
      <c r="J11" s="1">
        <v>2.2574000000000001E-12</v>
      </c>
      <c r="K11" s="1"/>
      <c r="L11" s="1"/>
      <c r="N11" s="7"/>
      <c r="O11">
        <f t="shared" si="4"/>
        <v>0.53606666666666669</v>
      </c>
      <c r="P11" s="6">
        <f t="shared" si="5"/>
        <v>99.942415227146142</v>
      </c>
      <c r="Q11" s="6">
        <f t="shared" si="0"/>
        <v>2.6747097386754035</v>
      </c>
      <c r="R11" s="6">
        <f t="shared" si="1"/>
        <v>0.11074301020187652</v>
      </c>
      <c r="S11" s="10">
        <f t="shared" si="2"/>
        <v>1.7725134347363363</v>
      </c>
      <c r="T11" s="6">
        <f t="shared" si="3"/>
        <v>95.384449043532513</v>
      </c>
      <c r="U11" s="6">
        <f t="shared" si="3"/>
        <v>86.210156950213033</v>
      </c>
      <c r="V11" s="6">
        <f t="shared" si="3"/>
        <v>9.1742920933194636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39.536999999999999</v>
      </c>
      <c r="C12" s="8">
        <v>1.204854E-10</v>
      </c>
      <c r="D12" s="1">
        <v>1.089214E-10</v>
      </c>
      <c r="E12" s="1">
        <v>1.1564E-11</v>
      </c>
      <c r="F12" s="1">
        <v>2.4008E-12</v>
      </c>
      <c r="G12" s="1">
        <v>6.9954000000000002E-17</v>
      </c>
      <c r="H12" s="1">
        <v>1.4129999999999999E-12</v>
      </c>
      <c r="I12" s="1">
        <v>2.1253E-13</v>
      </c>
      <c r="J12" s="1">
        <v>2.7587999999999999E-12</v>
      </c>
      <c r="K12" s="1"/>
      <c r="L12" s="1"/>
      <c r="N12" s="7"/>
      <c r="O12">
        <f t="shared" si="4"/>
        <v>0.65895000000000004</v>
      </c>
      <c r="P12" s="6">
        <f t="shared" si="5"/>
        <v>99.933041669805419</v>
      </c>
      <c r="Q12" s="6">
        <f t="shared" si="0"/>
        <v>2.9946007519258617</v>
      </c>
      <c r="R12" s="6">
        <f t="shared" si="1"/>
        <v>0.16693376215527914</v>
      </c>
      <c r="S12" s="10">
        <f t="shared" si="2"/>
        <v>2.1662133710244551</v>
      </c>
      <c r="T12" s="6">
        <f t="shared" si="3"/>
        <v>94.605293784699825</v>
      </c>
      <c r="U12" s="6">
        <f t="shared" si="3"/>
        <v>85.525225848449722</v>
      </c>
      <c r="V12" s="6">
        <f t="shared" si="3"/>
        <v>9.0800679362501082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46.91</v>
      </c>
      <c r="C13" s="8">
        <v>1.1951210000000001E-10</v>
      </c>
      <c r="D13" s="1">
        <v>1.0806010000000001E-10</v>
      </c>
      <c r="E13" s="1">
        <v>1.1451999999999999E-11</v>
      </c>
      <c r="F13" s="1">
        <v>2.4520000000000001E-12</v>
      </c>
      <c r="G13" s="1">
        <v>8.0706000000000002E-17</v>
      </c>
      <c r="H13" s="1">
        <v>1.7505000000000001E-12</v>
      </c>
      <c r="I13" s="1">
        <v>2.9675000000000002E-13</v>
      </c>
      <c r="J13" s="1">
        <v>3.2551000000000001E-12</v>
      </c>
      <c r="K13" s="1"/>
      <c r="L13" s="1"/>
      <c r="N13" s="7"/>
      <c r="O13">
        <f t="shared" si="4"/>
        <v>0.78183333333333327</v>
      </c>
      <c r="P13" s="6">
        <f t="shared" si="5"/>
        <v>99.929846490949544</v>
      </c>
      <c r="Q13" s="6">
        <f t="shared" si="0"/>
        <v>3.2998085006996787</v>
      </c>
      <c r="R13" s="6">
        <f t="shared" si="1"/>
        <v>0.23307185887626106</v>
      </c>
      <c r="S13" s="10">
        <f t="shared" si="2"/>
        <v>2.5559087806371261</v>
      </c>
      <c r="T13" s="6">
        <f t="shared" si="3"/>
        <v>93.841057350736477</v>
      </c>
      <c r="U13" s="6">
        <f t="shared" si="3"/>
        <v>84.848931961084432</v>
      </c>
      <c r="V13" s="6">
        <f t="shared" si="3"/>
        <v>8.9921253896520437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54.281999999999996</v>
      </c>
      <c r="C14" s="8">
        <v>1.1854560000000001E-10</v>
      </c>
      <c r="D14" s="1">
        <v>1.072006E-10</v>
      </c>
      <c r="E14" s="1">
        <v>1.1345000000000001E-11</v>
      </c>
      <c r="F14" s="1">
        <v>2.4819000000000002E-12</v>
      </c>
      <c r="G14" s="1">
        <v>8.9203999999999995E-17</v>
      </c>
      <c r="H14" s="1">
        <v>2.0949999999999999E-12</v>
      </c>
      <c r="I14" s="1">
        <v>3.9130999999999998E-13</v>
      </c>
      <c r="J14" s="1">
        <v>3.7466999999999998E-12</v>
      </c>
      <c r="K14" s="1"/>
      <c r="L14" s="1"/>
      <c r="N14" s="7"/>
      <c r="O14">
        <f t="shared" si="4"/>
        <v>0.90469999999999995</v>
      </c>
      <c r="P14" s="6">
        <f t="shared" si="5"/>
        <v>99.925189067815339</v>
      </c>
      <c r="Q14" s="6">
        <f t="shared" si="0"/>
        <v>3.5937878707560635</v>
      </c>
      <c r="R14" s="6">
        <f t="shared" si="1"/>
        <v>0.30732716728763532</v>
      </c>
      <c r="S14" s="10">
        <f t="shared" si="2"/>
        <v>2.941913744097914</v>
      </c>
      <c r="T14" s="6">
        <f t="shared" si="3"/>
        <v>93.082160285673723</v>
      </c>
      <c r="U14" s="6">
        <f t="shared" si="3"/>
        <v>84.174051436075175</v>
      </c>
      <c r="V14" s="6">
        <f t="shared" si="3"/>
        <v>8.9081088495985359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69.028000000000006</v>
      </c>
      <c r="C15" s="8">
        <v>1.1663249999999998E-10</v>
      </c>
      <c r="D15" s="1">
        <v>1.0549049999999999E-10</v>
      </c>
      <c r="E15" s="1">
        <v>1.1142000000000001E-11</v>
      </c>
      <c r="F15" s="1">
        <v>2.5050999999999999E-12</v>
      </c>
      <c r="G15" s="1">
        <v>9.9015000000000005E-17</v>
      </c>
      <c r="H15" s="1">
        <v>2.7943999999999999E-12</v>
      </c>
      <c r="I15" s="1">
        <v>6.0235999999999997E-13</v>
      </c>
      <c r="J15" s="1">
        <v>4.7166000000000003E-12</v>
      </c>
      <c r="K15" s="1"/>
      <c r="L15" s="1"/>
      <c r="N15" s="7"/>
      <c r="O15">
        <f t="shared" si="4"/>
        <v>1.1504666666666667</v>
      </c>
      <c r="P15" s="6">
        <f t="shared" si="5"/>
        <v>99.917698098925257</v>
      </c>
      <c r="Q15" s="6">
        <f t="shared" si="0"/>
        <v>4.1611743365753577</v>
      </c>
      <c r="R15" s="6">
        <f t="shared" si="1"/>
        <v>0.47305160714340388</v>
      </c>
      <c r="S15" s="10">
        <f t="shared" si="2"/>
        <v>3.7034804936109706</v>
      </c>
      <c r="T15" s="6">
        <f t="shared" si="3"/>
        <v>91.579991661595528</v>
      </c>
      <c r="U15" s="6">
        <f t="shared" si="3"/>
        <v>82.831278677705996</v>
      </c>
      <c r="V15" s="6">
        <f t="shared" si="3"/>
        <v>8.748712983889547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0.1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83.774000000000001</v>
      </c>
      <c r="C16" s="8">
        <v>1.147456E-10</v>
      </c>
      <c r="D16" s="1">
        <v>1.037956E-10</v>
      </c>
      <c r="E16" s="1">
        <v>1.095E-11</v>
      </c>
      <c r="F16" s="1">
        <v>2.4948999999999998E-12</v>
      </c>
      <c r="G16" s="1">
        <v>1.0467E-16</v>
      </c>
      <c r="H16" s="1">
        <v>3.4979999999999998E-12</v>
      </c>
      <c r="I16" s="1">
        <v>8.3340999999999998E-13</v>
      </c>
      <c r="J16" s="1">
        <v>5.6694000000000001E-12</v>
      </c>
      <c r="K16" s="1"/>
      <c r="L16" s="1"/>
      <c r="N16" s="7"/>
      <c r="O16">
        <f t="shared" si="4"/>
        <v>1.3962333333333334</v>
      </c>
      <c r="P16" s="6">
        <f t="shared" si="5"/>
        <v>99.910125346607686</v>
      </c>
      <c r="Q16" s="6">
        <f t="shared" si="0"/>
        <v>4.7056329241744441</v>
      </c>
      <c r="R16" s="6">
        <f t="shared" si="1"/>
        <v>0.6544768098807584</v>
      </c>
      <c r="S16" s="10">
        <f t="shared" si="2"/>
        <v>4.4516203007416433</v>
      </c>
      <c r="T16" s="6">
        <f t="shared" si="3"/>
        <v>90.098395311810833</v>
      </c>
      <c r="U16" s="6">
        <f t="shared" si="3"/>
        <v>81.500440979232252</v>
      </c>
      <c r="V16" s="6">
        <f t="shared" si="3"/>
        <v>8.5979543325785794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98.519000000000005</v>
      </c>
      <c r="C17" s="8">
        <v>1.128862E-10</v>
      </c>
      <c r="D17" s="1">
        <v>1.021202E-10</v>
      </c>
      <c r="E17" s="1">
        <v>1.0766E-11</v>
      </c>
      <c r="F17" s="1">
        <v>2.4671999999999998E-12</v>
      </c>
      <c r="G17" s="1">
        <v>1.0906E-16</v>
      </c>
      <c r="H17" s="1">
        <v>4.1975999999999998E-12</v>
      </c>
      <c r="I17" s="1">
        <v>1.0753000000000001E-12</v>
      </c>
      <c r="J17" s="1">
        <v>6.6061000000000003E-12</v>
      </c>
      <c r="K17" s="1"/>
      <c r="L17" s="1"/>
      <c r="N17" s="7"/>
      <c r="O17">
        <f t="shared" si="4"/>
        <v>1.6419833333333334</v>
      </c>
      <c r="P17" s="6">
        <f t="shared" si="5"/>
        <v>99.903132649979028</v>
      </c>
      <c r="Q17" s="6">
        <f t="shared" si="0"/>
        <v>5.2332096836319373</v>
      </c>
      <c r="R17" s="6">
        <f t="shared" si="1"/>
        <v>0.84441260152705555</v>
      </c>
      <c r="S17" s="10">
        <f t="shared" si="2"/>
        <v>5.1871183667988454</v>
      </c>
      <c r="T17" s="6">
        <f t="shared" si="3"/>
        <v>88.638391998021177</v>
      </c>
      <c r="U17" s="6">
        <f t="shared" si="3"/>
        <v>80.184914706282285</v>
      </c>
      <c r="V17" s="6">
        <f t="shared" si="3"/>
        <v>8.4534772917389027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113.26</v>
      </c>
      <c r="C18" s="8">
        <v>1.1105219999999998E-10</v>
      </c>
      <c r="D18" s="1">
        <v>1.0046419999999999E-10</v>
      </c>
      <c r="E18" s="1">
        <v>1.0588E-11</v>
      </c>
      <c r="F18" s="1">
        <v>2.4318000000000002E-12</v>
      </c>
      <c r="G18" s="1">
        <v>1.1088E-16</v>
      </c>
      <c r="H18" s="1">
        <v>4.8889999999999999E-12</v>
      </c>
      <c r="I18" s="1">
        <v>1.3221E-12</v>
      </c>
      <c r="J18" s="1">
        <v>7.5271000000000001E-12</v>
      </c>
      <c r="K18" s="1"/>
      <c r="L18" s="1"/>
      <c r="N18" s="7"/>
      <c r="O18">
        <f t="shared" si="4"/>
        <v>1.8876666666666668</v>
      </c>
      <c r="P18" s="6">
        <f t="shared" si="5"/>
        <v>99.895125025694483</v>
      </c>
      <c r="Q18" s="6">
        <f t="shared" si="0"/>
        <v>5.7483017422777412</v>
      </c>
      <c r="R18" s="6">
        <f t="shared" si="1"/>
        <v>1.0382017136327431</v>
      </c>
      <c r="S18" s="10">
        <f t="shared" si="2"/>
        <v>5.9102887723061386</v>
      </c>
      <c r="T18" s="6">
        <f t="shared" ref="T18:V43" si="6">C18/$A$1*100</f>
        <v>87.198332797477875</v>
      </c>
      <c r="U18" s="6">
        <f t="shared" si="6"/>
        <v>78.884621338725182</v>
      </c>
      <c r="V18" s="6">
        <f t="shared" si="6"/>
        <v>8.3137114587526924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128.01</v>
      </c>
      <c r="C19" s="8">
        <v>1.0924399999999998E-10</v>
      </c>
      <c r="D19" s="1">
        <v>9.8830999999999992E-11</v>
      </c>
      <c r="E19" s="1">
        <v>1.0412999999999999E-11</v>
      </c>
      <c r="F19" s="1">
        <v>2.3935999999999998E-12</v>
      </c>
      <c r="G19" s="1">
        <v>1.1098000000000001E-16</v>
      </c>
      <c r="H19" s="1">
        <v>5.5701999999999998E-12</v>
      </c>
      <c r="I19" s="1">
        <v>1.5701999999999999E-12</v>
      </c>
      <c r="J19" s="1">
        <v>8.4329000000000005E-12</v>
      </c>
      <c r="K19" s="1"/>
      <c r="L19" s="1"/>
      <c r="N19" s="7"/>
      <c r="O19">
        <f t="shared" si="4"/>
        <v>2.1334999999999997</v>
      </c>
      <c r="P19" s="6">
        <f t="shared" si="5"/>
        <v>99.886252329423925</v>
      </c>
      <c r="Q19" s="6">
        <f t="shared" si="0"/>
        <v>6.2531861839076983</v>
      </c>
      <c r="R19" s="6">
        <f t="shared" si="1"/>
        <v>1.2330102368937639</v>
      </c>
      <c r="S19" s="10">
        <f t="shared" si="2"/>
        <v>6.621524117917982</v>
      </c>
      <c r="T19" s="6">
        <f t="shared" si="6"/>
        <v>85.778531790704491</v>
      </c>
      <c r="U19" s="6">
        <f t="shared" si="6"/>
        <v>77.602230561011282</v>
      </c>
      <c r="V19" s="6">
        <f t="shared" si="6"/>
        <v>8.1763012296932178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142.76</v>
      </c>
      <c r="C20" s="8">
        <v>1.0746360000000001E-10</v>
      </c>
      <c r="D20" s="1">
        <v>9.7221600000000007E-11</v>
      </c>
      <c r="E20" s="1">
        <v>1.0241999999999999E-11</v>
      </c>
      <c r="F20" s="1">
        <v>2.3548E-12</v>
      </c>
      <c r="G20" s="1">
        <v>1.0996E-16</v>
      </c>
      <c r="H20" s="1">
        <v>6.2405999999999999E-12</v>
      </c>
      <c r="I20" s="1">
        <v>1.8173999999999999E-12</v>
      </c>
      <c r="J20" s="1">
        <v>9.3237999999999995E-12</v>
      </c>
      <c r="K20" s="1"/>
      <c r="L20" s="1"/>
      <c r="N20" s="7"/>
      <c r="O20">
        <f t="shared" si="4"/>
        <v>2.3793333333333333</v>
      </c>
      <c r="P20" s="6">
        <f t="shared" si="5"/>
        <v>99.877849874513259</v>
      </c>
      <c r="Q20" s="6">
        <f t="shared" si="0"/>
        <v>6.7491193306160655</v>
      </c>
      <c r="R20" s="6">
        <f t="shared" si="1"/>
        <v>1.4271111995512984</v>
      </c>
      <c r="S20" s="10">
        <f t="shared" si="2"/>
        <v>7.3210599640270466</v>
      </c>
      <c r="T20" s="6">
        <f t="shared" si="6"/>
        <v>84.380559380318857</v>
      </c>
      <c r="U20" s="6">
        <f t="shared" si="6"/>
        <v>76.338527574449472</v>
      </c>
      <c r="V20" s="6">
        <f t="shared" si="6"/>
        <v>8.0420318058693887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172.25</v>
      </c>
      <c r="C21" s="8">
        <v>1.039851E-10</v>
      </c>
      <c r="D21" s="1">
        <v>9.40755E-11</v>
      </c>
      <c r="E21" s="1">
        <v>9.9095999999999997E-12</v>
      </c>
      <c r="F21" s="1">
        <v>2.2785E-12</v>
      </c>
      <c r="G21" s="1">
        <v>1.0481E-16</v>
      </c>
      <c r="H21" s="1">
        <v>7.5490000000000002E-12</v>
      </c>
      <c r="I21" s="1">
        <v>2.3041999999999998E-12</v>
      </c>
      <c r="J21" s="1">
        <v>1.1062E-11</v>
      </c>
      <c r="K21" s="1"/>
      <c r="L21" s="1"/>
      <c r="N21" s="7"/>
      <c r="O21">
        <f t="shared" si="4"/>
        <v>2.8708333333333331</v>
      </c>
      <c r="P21" s="6">
        <f t="shared" si="5"/>
        <v>99.86104252271582</v>
      </c>
      <c r="Q21" s="6">
        <f t="shared" si="0"/>
        <v>7.7165658633256609</v>
      </c>
      <c r="R21" s="6">
        <f t="shared" si="1"/>
        <v>1.8093431529425714</v>
      </c>
      <c r="S21" s="10">
        <f t="shared" si="2"/>
        <v>8.6858968791766422</v>
      </c>
      <c r="T21" s="6">
        <f t="shared" si="6"/>
        <v>81.649236627270938</v>
      </c>
      <c r="U21" s="6">
        <f t="shared" si="6"/>
        <v>73.86820573648366</v>
      </c>
      <c r="V21" s="6">
        <f t="shared" si="6"/>
        <v>7.7810308907872772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201.74</v>
      </c>
      <c r="C22" s="8">
        <v>1.006674E-10</v>
      </c>
      <c r="D22" s="1">
        <v>9.1074100000000003E-11</v>
      </c>
      <c r="E22" s="1">
        <v>9.5932999999999995E-12</v>
      </c>
      <c r="F22" s="1">
        <v>2.2054999999999998E-12</v>
      </c>
      <c r="G22" s="1">
        <v>1.0410000000000001E-16</v>
      </c>
      <c r="H22" s="1">
        <v>8.8151999999999998E-12</v>
      </c>
      <c r="I22" s="1">
        <v>2.7782E-12</v>
      </c>
      <c r="J22" s="1">
        <v>1.2744E-11</v>
      </c>
      <c r="K22" s="1"/>
      <c r="L22" s="1"/>
      <c r="N22" s="7"/>
      <c r="O22">
        <f t="shared" si="4"/>
        <v>3.3623333333333334</v>
      </c>
      <c r="P22" s="6">
        <f t="shared" si="5"/>
        <v>99.885775806453594</v>
      </c>
      <c r="Q22" s="6">
        <f t="shared" si="0"/>
        <v>8.6534680651186058</v>
      </c>
      <c r="R22" s="6">
        <f t="shared" si="1"/>
        <v>2.1815280158735915</v>
      </c>
      <c r="S22" s="10">
        <f t="shared" si="2"/>
        <v>10.006605480765424</v>
      </c>
      <c r="T22" s="6">
        <f t="shared" si="6"/>
        <v>79.044174244695967</v>
      </c>
      <c r="U22" s="6">
        <f t="shared" si="6"/>
        <v>71.511502527917344</v>
      </c>
      <c r="V22" s="6">
        <f t="shared" si="6"/>
        <v>7.532671716778637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260.72000000000003</v>
      </c>
      <c r="C23" s="8">
        <v>9.4440500000000003E-11</v>
      </c>
      <c r="D23" s="1">
        <v>8.5440800000000001E-11</v>
      </c>
      <c r="E23" s="1">
        <v>8.9996999999999993E-12</v>
      </c>
      <c r="F23" s="1">
        <v>2.0689000000000002E-12</v>
      </c>
      <c r="G23" s="1">
        <v>9.8242999999999997E-17</v>
      </c>
      <c r="H23" s="1">
        <v>1.1229000000000001E-11</v>
      </c>
      <c r="I23" s="1">
        <v>3.6838000000000001E-12</v>
      </c>
      <c r="J23" s="1">
        <v>1.5952000000000001E-11</v>
      </c>
      <c r="K23" s="1"/>
      <c r="L23" s="1"/>
      <c r="N23" s="7"/>
      <c r="O23">
        <f t="shared" si="4"/>
        <v>4.3453333333333335</v>
      </c>
      <c r="P23" s="6">
        <f t="shared" si="5"/>
        <v>100.01446570206009</v>
      </c>
      <c r="Q23" s="6">
        <f t="shared" si="0"/>
        <v>10.441528485771387</v>
      </c>
      <c r="R23" s="6">
        <f t="shared" si="1"/>
        <v>2.8926017222995863</v>
      </c>
      <c r="S23" s="10">
        <f t="shared" si="2"/>
        <v>12.52553127975283</v>
      </c>
      <c r="T23" s="6">
        <f t="shared" si="6"/>
        <v>74.154804214236279</v>
      </c>
      <c r="U23" s="6">
        <f t="shared" si="6"/>
        <v>67.088227994427385</v>
      </c>
      <c r="V23" s="6">
        <f t="shared" si="6"/>
        <v>7.0665762198088986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165</v>
      </c>
      <c r="AH23" s="1" t="s">
        <v>167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319.7</v>
      </c>
      <c r="C24" s="8">
        <v>8.8598099999999998E-11</v>
      </c>
      <c r="D24" s="1">
        <v>8.01551E-11</v>
      </c>
      <c r="E24" s="1">
        <v>8.4430000000000003E-12</v>
      </c>
      <c r="F24" s="1">
        <v>1.9408E-12</v>
      </c>
      <c r="G24" s="1">
        <v>9.2516000000000003E-17</v>
      </c>
      <c r="H24" s="1">
        <v>1.3493E-11</v>
      </c>
      <c r="I24" s="1">
        <v>4.5341999999999998E-12</v>
      </c>
      <c r="J24" s="1">
        <v>1.8961E-11</v>
      </c>
      <c r="K24" s="1"/>
      <c r="L24" s="1"/>
      <c r="N24" s="7"/>
      <c r="O24">
        <f t="shared" si="4"/>
        <v>5.3283333333333331</v>
      </c>
      <c r="P24" s="6">
        <f t="shared" si="5"/>
        <v>100.13451848534471</v>
      </c>
      <c r="Q24" s="6">
        <f t="shared" si="0"/>
        <v>12.118639961475003</v>
      </c>
      <c r="R24" s="6">
        <f t="shared" si="1"/>
        <v>3.5603324185498471</v>
      </c>
      <c r="S24" s="10">
        <f t="shared" si="2"/>
        <v>14.888202018266888</v>
      </c>
      <c r="T24" s="6">
        <f t="shared" si="6"/>
        <v>69.567344087052987</v>
      </c>
      <c r="U24" s="6">
        <f t="shared" si="6"/>
        <v>62.937889435914997</v>
      </c>
      <c r="V24" s="6">
        <f t="shared" si="6"/>
        <v>6.6294546511379853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378.69</v>
      </c>
      <c r="C25" s="8">
        <v>8.3117499999999998E-11</v>
      </c>
      <c r="D25" s="1">
        <v>7.5196799999999997E-11</v>
      </c>
      <c r="E25" s="1">
        <v>7.9207000000000004E-12</v>
      </c>
      <c r="F25" s="1">
        <v>1.8208000000000001E-12</v>
      </c>
      <c r="G25" s="1">
        <v>8.7002999999999998E-17</v>
      </c>
      <c r="H25" s="1">
        <v>1.5617E-11</v>
      </c>
      <c r="I25" s="1">
        <v>5.3324999999999997E-12</v>
      </c>
      <c r="J25" s="1">
        <v>2.1784999999999999E-11</v>
      </c>
      <c r="K25" s="1"/>
      <c r="L25" s="1"/>
      <c r="N25" s="7"/>
      <c r="O25">
        <f t="shared" si="4"/>
        <v>6.3114999999999997</v>
      </c>
      <c r="P25" s="6">
        <f t="shared" si="5"/>
        <v>100.2489179872383</v>
      </c>
      <c r="Q25" s="6">
        <f t="shared" si="0"/>
        <v>13.692183384533219</v>
      </c>
      <c r="R25" s="6">
        <f t="shared" si="1"/>
        <v>4.1871542946389102</v>
      </c>
      <c r="S25" s="10">
        <f t="shared" si="2"/>
        <v>17.105610514632357</v>
      </c>
      <c r="T25" s="6">
        <f t="shared" si="6"/>
        <v>65.263969793433802</v>
      </c>
      <c r="U25" s="6">
        <f t="shared" si="6"/>
        <v>59.044625785940177</v>
      </c>
      <c r="V25" s="6">
        <f t="shared" si="6"/>
        <v>6.2193440074936213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496.65</v>
      </c>
      <c r="C26" s="8">
        <v>7.2937999999999992E-11</v>
      </c>
      <c r="D26" s="1">
        <v>6.5987399999999995E-11</v>
      </c>
      <c r="E26" s="1">
        <v>6.9505999999999999E-12</v>
      </c>
      <c r="F26" s="1">
        <v>1.5977999999999999E-12</v>
      </c>
      <c r="G26" s="1">
        <v>7.4539999999999999E-17</v>
      </c>
      <c r="H26" s="1">
        <v>1.9477999999999999E-11</v>
      </c>
      <c r="I26" s="1">
        <v>6.7829999999999997E-12</v>
      </c>
      <c r="J26" s="1">
        <v>2.6916E-11</v>
      </c>
      <c r="K26" s="1"/>
      <c r="L26" s="1"/>
      <c r="N26" s="7"/>
      <c r="O26">
        <f t="shared" si="4"/>
        <v>8.2774999999999999</v>
      </c>
      <c r="P26" s="6">
        <f t="shared" si="5"/>
        <v>100.28031625363083</v>
      </c>
      <c r="Q26" s="6">
        <f t="shared" si="0"/>
        <v>16.548745746352473</v>
      </c>
      <c r="R26" s="6">
        <f t="shared" si="1"/>
        <v>5.3260790072508168</v>
      </c>
      <c r="S26" s="10">
        <f t="shared" si="2"/>
        <v>21.134478430656166</v>
      </c>
      <c r="T26" s="6">
        <f t="shared" si="6"/>
        <v>57.271013069371357</v>
      </c>
      <c r="U26" s="6">
        <f t="shared" si="6"/>
        <v>51.813392851652573</v>
      </c>
      <c r="V26" s="6">
        <f t="shared" si="6"/>
        <v>5.457620217718782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614.62</v>
      </c>
      <c r="C27" s="8">
        <v>6.3926600000000008E-11</v>
      </c>
      <c r="D27" s="1">
        <v>5.7834700000000001E-11</v>
      </c>
      <c r="E27" s="1">
        <v>6.0918999999999999E-12</v>
      </c>
      <c r="F27" s="1">
        <v>1.4004E-12</v>
      </c>
      <c r="G27" s="1">
        <v>6.4552999999999998E-17</v>
      </c>
      <c r="H27" s="1">
        <v>2.2864000000000001E-11</v>
      </c>
      <c r="I27" s="1">
        <v>8.0542999999999997E-12</v>
      </c>
      <c r="J27" s="1">
        <v>3.1415999999999998E-11</v>
      </c>
      <c r="K27" s="1"/>
      <c r="L27" s="1"/>
      <c r="N27" s="7"/>
      <c r="O27">
        <f t="shared" si="4"/>
        <v>10.243666666666666</v>
      </c>
      <c r="P27" s="6">
        <f t="shared" si="5"/>
        <v>100.23987054441643</v>
      </c>
      <c r="Q27" s="6">
        <f t="shared" si="0"/>
        <v>19.052438639947002</v>
      </c>
      <c r="R27" s="6">
        <f t="shared" si="1"/>
        <v>6.3242975894642628</v>
      </c>
      <c r="S27" s="10">
        <f t="shared" si="2"/>
        <v>24.667884320756954</v>
      </c>
      <c r="T27" s="6">
        <f t="shared" si="6"/>
        <v>50.195249994248201</v>
      </c>
      <c r="U27" s="6">
        <f t="shared" si="6"/>
        <v>45.411882140491535</v>
      </c>
      <c r="V27" s="6">
        <f t="shared" si="6"/>
        <v>4.7833678537566611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850.54</v>
      </c>
      <c r="C28" s="8">
        <v>4.89357E-11</v>
      </c>
      <c r="D28" s="1">
        <v>4.4272300000000002E-11</v>
      </c>
      <c r="E28" s="1">
        <v>4.6633999999999997E-12</v>
      </c>
      <c r="F28" s="1">
        <v>1.0720000000000001E-12</v>
      </c>
      <c r="G28" s="1">
        <v>4.9601999999999998E-17</v>
      </c>
      <c r="H28" s="1">
        <v>2.8449E-11</v>
      </c>
      <c r="I28" s="1">
        <v>1.0151000000000001E-11</v>
      </c>
      <c r="J28" s="1">
        <v>3.8838000000000001E-11</v>
      </c>
      <c r="K28" s="1"/>
      <c r="L28" s="1"/>
      <c r="N28" s="7"/>
      <c r="O28">
        <f t="shared" si="4"/>
        <v>14.175666666666666</v>
      </c>
      <c r="P28" s="6">
        <f t="shared" si="5"/>
        <v>100.07056940267039</v>
      </c>
      <c r="Q28" s="6">
        <f t="shared" si="0"/>
        <v>23.17992784037007</v>
      </c>
      <c r="R28" s="6">
        <f t="shared" si="1"/>
        <v>7.9706174343137874</v>
      </c>
      <c r="S28" s="10">
        <f t="shared" si="2"/>
        <v>30.495648435496513</v>
      </c>
      <c r="T28" s="6">
        <f t="shared" si="6"/>
        <v>38.424375692490003</v>
      </c>
      <c r="U28" s="6">
        <f t="shared" si="6"/>
        <v>34.762667908513116</v>
      </c>
      <c r="V28" s="6">
        <f t="shared" si="6"/>
        <v>3.6617077839768899</v>
      </c>
      <c r="X28" s="5"/>
      <c r="Y28" s="68" t="s">
        <v>135</v>
      </c>
      <c r="Z28" s="69"/>
      <c r="AA28" s="70"/>
      <c r="AB28" s="71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1086.5</v>
      </c>
      <c r="C29" s="8">
        <v>3.7378200000000006E-11</v>
      </c>
      <c r="D29" s="1">
        <v>3.3816200000000003E-11</v>
      </c>
      <c r="E29" s="1">
        <v>3.562E-12</v>
      </c>
      <c r="F29" s="1">
        <v>8.1882000000000004E-13</v>
      </c>
      <c r="G29" s="1">
        <v>3.8216999999999999E-17</v>
      </c>
      <c r="H29" s="1">
        <v>3.2719000000000002E-11</v>
      </c>
      <c r="I29" s="1">
        <v>1.1754E-11</v>
      </c>
      <c r="J29" s="1">
        <v>4.4513999999999999E-11</v>
      </c>
      <c r="K29" s="1"/>
      <c r="L29" s="1"/>
      <c r="N29" s="7"/>
      <c r="O29">
        <f t="shared" si="4"/>
        <v>18.108333333333334</v>
      </c>
      <c r="P29" s="6">
        <f t="shared" si="5"/>
        <v>99.865088984637566</v>
      </c>
      <c r="Q29" s="6">
        <f t="shared" si="0"/>
        <v>26.333940162031098</v>
      </c>
      <c r="R29" s="6">
        <f t="shared" si="1"/>
        <v>9.2292861929816752</v>
      </c>
      <c r="S29" s="10">
        <f t="shared" si="2"/>
        <v>34.952451064876975</v>
      </c>
      <c r="T29" s="6">
        <f t="shared" si="6"/>
        <v>29.349411564747825</v>
      </c>
      <c r="U29" s="6">
        <f t="shared" si="6"/>
        <v>26.552524502405824</v>
      </c>
      <c r="V29" s="6">
        <f t="shared" si="6"/>
        <v>2.7968870623419999</v>
      </c>
      <c r="X29" s="5"/>
      <c r="Y29" s="72"/>
      <c r="Z29" s="73"/>
      <c r="AA29" s="74"/>
      <c r="AB29" s="7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1322.4</v>
      </c>
      <c r="C30" s="8">
        <v>2.8522500000000001E-11</v>
      </c>
      <c r="D30" s="1">
        <v>2.5804500000000001E-11</v>
      </c>
      <c r="E30" s="1">
        <v>2.7179999999999999E-12</v>
      </c>
      <c r="F30" s="1">
        <v>6.2482999999999997E-13</v>
      </c>
      <c r="G30" s="1">
        <v>2.8926000000000002E-17</v>
      </c>
      <c r="H30" s="1">
        <v>3.5980000000000001E-11</v>
      </c>
      <c r="I30" s="1">
        <v>1.2979E-11</v>
      </c>
      <c r="J30" s="1">
        <v>4.8848E-11</v>
      </c>
      <c r="K30" s="1"/>
      <c r="L30" s="1"/>
      <c r="N30" s="7"/>
      <c r="O30">
        <f t="shared" si="4"/>
        <v>22.040000000000003</v>
      </c>
      <c r="P30" s="6">
        <f t="shared" si="5"/>
        <v>99.684728800688376</v>
      </c>
      <c r="Q30" s="6">
        <f t="shared" si="0"/>
        <v>28.742160428475106</v>
      </c>
      <c r="R30" s="6">
        <f t="shared" si="1"/>
        <v>10.191150501092638</v>
      </c>
      <c r="S30" s="10">
        <f t="shared" si="2"/>
        <v>38.355513537698485</v>
      </c>
      <c r="T30" s="6">
        <f t="shared" si="6"/>
        <v>22.395904333422148</v>
      </c>
      <c r="U30" s="6">
        <f t="shared" si="6"/>
        <v>20.261727175801273</v>
      </c>
      <c r="V30" s="6">
        <f t="shared" si="6"/>
        <v>2.1341771576208748</v>
      </c>
      <c r="X30" s="5"/>
      <c r="Y30" s="76" t="s">
        <v>143</v>
      </c>
      <c r="Z30" s="73"/>
      <c r="AA30" s="74"/>
      <c r="AB30" s="7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1534.7</v>
      </c>
      <c r="C31" s="8">
        <v>2.2373800000000002E-11</v>
      </c>
      <c r="D31" s="1">
        <v>2.0241700000000002E-11</v>
      </c>
      <c r="E31" s="1">
        <v>2.1321000000000002E-12</v>
      </c>
      <c r="F31" s="1">
        <v>4.9012999999999995E-13</v>
      </c>
      <c r="G31" s="1">
        <v>2.2616999999999999E-17</v>
      </c>
      <c r="H31" s="1">
        <v>3.8246999999999997E-11</v>
      </c>
      <c r="I31" s="1">
        <v>1.3830000000000001E-11</v>
      </c>
      <c r="J31" s="1">
        <v>5.1860999999999998E-11</v>
      </c>
      <c r="K31" s="1"/>
      <c r="L31" s="1"/>
      <c r="N31" s="7"/>
      <c r="O31">
        <f t="shared" si="4"/>
        <v>25.578333333333333</v>
      </c>
      <c r="P31" s="6">
        <f t="shared" si="5"/>
        <v>99.565059167375239</v>
      </c>
      <c r="Q31" s="6">
        <f t="shared" si="0"/>
        <v>30.416445179466635</v>
      </c>
      <c r="R31" s="6">
        <f t="shared" si="1"/>
        <v>10.859351861141086</v>
      </c>
      <c r="S31" s="10">
        <f t="shared" si="2"/>
        <v>40.721325081448192</v>
      </c>
      <c r="T31" s="6">
        <f t="shared" si="6"/>
        <v>17.567937045319326</v>
      </c>
      <c r="U31" s="6">
        <f t="shared" si="6"/>
        <v>15.893809334589573</v>
      </c>
      <c r="V31" s="6">
        <f t="shared" si="6"/>
        <v>1.6741277107297523</v>
      </c>
      <c r="X31" s="5"/>
      <c r="Y31" s="76" t="s">
        <v>144</v>
      </c>
      <c r="Z31" s="73"/>
      <c r="AA31" s="74"/>
      <c r="AB31" s="7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1747.1</v>
      </c>
      <c r="C32" s="8">
        <v>1.7552699999999998E-11</v>
      </c>
      <c r="D32" s="1">
        <v>1.5879999999999998E-11</v>
      </c>
      <c r="E32" s="1">
        <v>1.6726999999999999E-12</v>
      </c>
      <c r="F32" s="1">
        <v>3.8452000000000001E-13</v>
      </c>
      <c r="G32" s="1">
        <v>1.7838999999999999E-17</v>
      </c>
      <c r="H32" s="1">
        <v>4.0024999999999999E-11</v>
      </c>
      <c r="I32" s="1">
        <v>1.4497E-11</v>
      </c>
      <c r="J32" s="1">
        <v>5.4224000000000003E-11</v>
      </c>
      <c r="K32" s="1"/>
      <c r="L32" s="1"/>
      <c r="N32" s="7"/>
      <c r="O32">
        <f t="shared" si="4"/>
        <v>29.118333333333332</v>
      </c>
      <c r="P32" s="6">
        <f t="shared" si="5"/>
        <v>99.471844168302511</v>
      </c>
      <c r="Q32" s="6">
        <f t="shared" si="0"/>
        <v>31.729607996476776</v>
      </c>
      <c r="R32" s="6">
        <f t="shared" si="1"/>
        <v>11.38307738249306</v>
      </c>
      <c r="S32" s="10">
        <f t="shared" si="2"/>
        <v>42.576755774405562</v>
      </c>
      <c r="T32" s="6">
        <f t="shared" si="6"/>
        <v>13.782403014927125</v>
      </c>
      <c r="U32" s="6">
        <f t="shared" si="6"/>
        <v>12.468996785511216</v>
      </c>
      <c r="V32" s="6">
        <f t="shared" si="6"/>
        <v>1.3134062294159077</v>
      </c>
      <c r="X32" s="5"/>
      <c r="Y32" s="76" t="s">
        <v>145</v>
      </c>
      <c r="Z32" s="73"/>
      <c r="AA32" s="74"/>
      <c r="AB32" s="7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1959.4</v>
      </c>
      <c r="C33" s="8">
        <v>1.3771319999999999E-11</v>
      </c>
      <c r="D33" s="1">
        <v>1.245902E-11</v>
      </c>
      <c r="E33" s="1">
        <v>1.3123E-12</v>
      </c>
      <c r="F33" s="1">
        <v>3.0167999999999998E-13</v>
      </c>
      <c r="G33" s="1">
        <v>1.4020000000000001E-17</v>
      </c>
      <c r="H33" s="1">
        <v>4.1419999999999998E-11</v>
      </c>
      <c r="I33" s="1">
        <v>1.5020999999999999E-11</v>
      </c>
      <c r="J33" s="1">
        <v>5.6077999999999998E-11</v>
      </c>
      <c r="K33" s="1"/>
      <c r="L33" s="1"/>
      <c r="N33" s="7"/>
      <c r="O33">
        <f t="shared" si="4"/>
        <v>32.656666666666666</v>
      </c>
      <c r="P33" s="6">
        <f t="shared" si="5"/>
        <v>99.400215106219832</v>
      </c>
      <c r="Q33" s="6">
        <f t="shared" si="0"/>
        <v>32.759917745977809</v>
      </c>
      <c r="R33" s="6">
        <f t="shared" si="1"/>
        <v>11.794519869678775</v>
      </c>
      <c r="S33" s="10">
        <f t="shared" si="2"/>
        <v>44.032519001127078</v>
      </c>
      <c r="T33" s="6">
        <f t="shared" si="6"/>
        <v>10.813258489436167</v>
      </c>
      <c r="U33" s="6">
        <f t="shared" si="6"/>
        <v>9.782838811751887</v>
      </c>
      <c r="V33" s="6">
        <f t="shared" si="6"/>
        <v>1.0304196776842804</v>
      </c>
      <c r="X33" s="5"/>
      <c r="Y33" s="76" t="s">
        <v>146</v>
      </c>
      <c r="Z33" s="73"/>
      <c r="AA33" s="74"/>
      <c r="AB33" s="7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2171.8000000000002</v>
      </c>
      <c r="C34" s="8">
        <v>1.080446E-11</v>
      </c>
      <c r="D34" s="1">
        <v>9.7748599999999998E-12</v>
      </c>
      <c r="E34" s="1">
        <v>1.0296E-12</v>
      </c>
      <c r="F34" s="1">
        <v>2.3669000000000002E-13</v>
      </c>
      <c r="G34" s="1">
        <v>1.0937E-17</v>
      </c>
      <c r="H34" s="1">
        <v>4.2513999999999999E-11</v>
      </c>
      <c r="I34" s="1">
        <v>1.5432E-11</v>
      </c>
      <c r="J34" s="1">
        <v>5.7531999999999998E-11</v>
      </c>
      <c r="K34" s="1"/>
      <c r="L34" s="1"/>
      <c r="N34" s="7"/>
      <c r="O34">
        <f t="shared" si="4"/>
        <v>36.196666666666673</v>
      </c>
      <c r="P34" s="6">
        <f t="shared" si="5"/>
        <v>99.343010770090018</v>
      </c>
      <c r="Q34" s="6">
        <f t="shared" si="0"/>
        <v>33.567897744860616</v>
      </c>
      <c r="R34" s="6">
        <f t="shared" si="1"/>
        <v>12.117235186865676</v>
      </c>
      <c r="S34" s="10">
        <f t="shared" si="2"/>
        <v>45.174201704284087</v>
      </c>
      <c r="T34" s="6">
        <f t="shared" si="6"/>
        <v>8.4836761340796301</v>
      </c>
      <c r="U34" s="6">
        <f t="shared" si="6"/>
        <v>7.6752328664245706</v>
      </c>
      <c r="V34" s="6">
        <f t="shared" si="6"/>
        <v>0.80844326765505981</v>
      </c>
      <c r="X34" s="5"/>
      <c r="Y34" s="72"/>
      <c r="Z34" s="73"/>
      <c r="AA34" s="74"/>
      <c r="AB34" s="7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x14ac:dyDescent="0.3">
      <c r="B35" s="7">
        <v>2384.1</v>
      </c>
      <c r="C35" s="8">
        <v>8.4770199999999998E-12</v>
      </c>
      <c r="D35" s="1">
        <v>7.6691999999999997E-12</v>
      </c>
      <c r="E35" s="1">
        <v>8.0781999999999998E-13</v>
      </c>
      <c r="F35" s="1">
        <v>1.8570000000000001E-13</v>
      </c>
      <c r="G35" s="1">
        <v>8.5809999999999993E-18</v>
      </c>
      <c r="H35" s="1">
        <v>4.3373000000000001E-11</v>
      </c>
      <c r="I35" s="1">
        <v>1.5753999999999999E-11</v>
      </c>
      <c r="J35" s="1">
        <v>5.8673000000000003E-11</v>
      </c>
      <c r="K35" s="1"/>
      <c r="L35" s="1"/>
      <c r="N35" s="7"/>
      <c r="O35">
        <f t="shared" si="4"/>
        <v>39.734999999999999</v>
      </c>
      <c r="P35" s="6">
        <f t="shared" si="5"/>
        <v>99.298700010293857</v>
      </c>
      <c r="Q35" s="6">
        <f t="shared" si="0"/>
        <v>34.202348254474025</v>
      </c>
      <c r="R35" s="6">
        <f t="shared" si="1"/>
        <v>12.370068158400827</v>
      </c>
      <c r="S35" s="10">
        <f t="shared" si="2"/>
        <v>46.070116397751868</v>
      </c>
      <c r="T35" s="6">
        <f t="shared" si="6"/>
        <v>6.6561671996671468</v>
      </c>
      <c r="U35" s="6">
        <f t="shared" si="6"/>
        <v>6.0218658783024326</v>
      </c>
      <c r="V35" s="6">
        <f t="shared" si="6"/>
        <v>0.63430132136471484</v>
      </c>
      <c r="X35" s="5"/>
      <c r="Y35" s="72"/>
      <c r="Z35" s="73"/>
      <c r="AA35" s="74"/>
      <c r="AB35" s="7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2596.4</v>
      </c>
      <c r="C36" s="8">
        <v>6.6509799999999996E-12</v>
      </c>
      <c r="D36" s="1">
        <v>6.0171799999999996E-12</v>
      </c>
      <c r="E36" s="1">
        <v>6.3379999999999999E-13</v>
      </c>
      <c r="F36" s="1">
        <v>1.457E-13</v>
      </c>
      <c r="G36" s="1">
        <v>6.7544000000000001E-18</v>
      </c>
      <c r="H36" s="1">
        <v>4.4045999999999997E-11</v>
      </c>
      <c r="I36" s="1">
        <v>1.6007000000000002E-11</v>
      </c>
      <c r="J36" s="1">
        <v>5.9568999999999999E-11</v>
      </c>
      <c r="K36" s="1"/>
      <c r="L36" s="1"/>
      <c r="N36" s="7"/>
      <c r="O36">
        <f t="shared" si="4"/>
        <v>43.273333333333333</v>
      </c>
      <c r="P36" s="6">
        <f t="shared" si="5"/>
        <v>99.26411831040069</v>
      </c>
      <c r="Q36" s="6">
        <f t="shared" si="0"/>
        <v>34.699380683014866</v>
      </c>
      <c r="R36" s="6">
        <f t="shared" si="1"/>
        <v>12.568722655306672</v>
      </c>
      <c r="S36" s="10">
        <f t="shared" si="2"/>
        <v>46.773656770536384</v>
      </c>
      <c r="T36" s="6">
        <f t="shared" si="6"/>
        <v>5.2223582015427832</v>
      </c>
      <c r="U36" s="6">
        <f t="shared" si="6"/>
        <v>4.7246976119548103</v>
      </c>
      <c r="V36" s="6">
        <f t="shared" si="6"/>
        <v>0.49766058958797293</v>
      </c>
      <c r="X36" s="5"/>
      <c r="Y36" s="77" t="s">
        <v>141</v>
      </c>
      <c r="Z36" s="78" t="s">
        <v>136</v>
      </c>
      <c r="AA36" s="79"/>
      <c r="AB36" s="80">
        <v>0.32358310350983599</v>
      </c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2808.8</v>
      </c>
      <c r="C37" s="8">
        <v>5.2183200000000003E-12</v>
      </c>
      <c r="D37" s="1">
        <v>4.7210400000000002E-12</v>
      </c>
      <c r="E37" s="1">
        <v>4.9727999999999998E-13</v>
      </c>
      <c r="F37" s="1">
        <v>1.1430999999999999E-13</v>
      </c>
      <c r="G37" s="1">
        <v>5.2938000000000003E-18</v>
      </c>
      <c r="H37" s="1">
        <v>4.4574999999999999E-11</v>
      </c>
      <c r="I37" s="1">
        <v>1.6205999999999999E-11</v>
      </c>
      <c r="J37" s="1">
        <v>6.0270999999999998E-11</v>
      </c>
      <c r="K37" s="1"/>
      <c r="L37" s="1"/>
      <c r="N37" s="7"/>
      <c r="O37">
        <f t="shared" si="4"/>
        <v>46.81333333333334</v>
      </c>
      <c r="P37" s="6">
        <f t="shared" si="5"/>
        <v>99.237381058967244</v>
      </c>
      <c r="Q37" s="6">
        <f t="shared" si="0"/>
        <v>35.09010470634221</v>
      </c>
      <c r="R37" s="6">
        <f t="shared" si="1"/>
        <v>12.724976568914986</v>
      </c>
      <c r="S37" s="10">
        <f t="shared" si="2"/>
        <v>47.324868089392105</v>
      </c>
      <c r="T37" s="6">
        <f t="shared" si="6"/>
        <v>4.0974316943179403</v>
      </c>
      <c r="U37" s="6">
        <f t="shared" si="6"/>
        <v>3.7069667874225365</v>
      </c>
      <c r="V37" s="6">
        <f t="shared" si="6"/>
        <v>0.3904649068954042</v>
      </c>
      <c r="X37" s="5"/>
      <c r="Y37" s="81"/>
      <c r="Z37" s="82" t="s">
        <v>137</v>
      </c>
      <c r="AA37" s="79"/>
      <c r="AB37" s="80">
        <v>36.5246072304951</v>
      </c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3021.1</v>
      </c>
      <c r="C38" s="8">
        <v>4.0942299999999996E-12</v>
      </c>
      <c r="D38" s="1">
        <v>3.7040699999999996E-12</v>
      </c>
      <c r="E38" s="1">
        <v>3.9015999999999998E-13</v>
      </c>
      <c r="F38" s="1">
        <v>8.9689999999999994E-14</v>
      </c>
      <c r="G38" s="1">
        <v>4.1482999999999997E-18</v>
      </c>
      <c r="H38" s="1">
        <v>4.4989999999999998E-11</v>
      </c>
      <c r="I38" s="1">
        <v>1.6362E-11</v>
      </c>
      <c r="J38" s="1">
        <v>6.0821999999999994E-11</v>
      </c>
      <c r="K38" s="1"/>
      <c r="L38" s="1"/>
      <c r="N38" s="7"/>
      <c r="O38">
        <f t="shared" si="4"/>
        <v>50.351666666666667</v>
      </c>
      <c r="P38" s="6">
        <f t="shared" si="5"/>
        <v>99.216407432558114</v>
      </c>
      <c r="Q38" s="6">
        <f t="shared" si="0"/>
        <v>35.396631593315</v>
      </c>
      <c r="R38" s="6">
        <f t="shared" si="1"/>
        <v>12.847467073657045</v>
      </c>
      <c r="S38" s="10">
        <f t="shared" si="2"/>
        <v>47.757514010602215</v>
      </c>
      <c r="T38" s="6">
        <f t="shared" si="6"/>
        <v>3.2147947549838531</v>
      </c>
      <c r="U38" s="6">
        <f t="shared" si="6"/>
        <v>2.9084406122990258</v>
      </c>
      <c r="V38" s="6">
        <f t="shared" si="6"/>
        <v>0.30635414268482725</v>
      </c>
      <c r="X38" s="5"/>
      <c r="Y38" s="81"/>
      <c r="Z38" s="82" t="s">
        <v>138</v>
      </c>
      <c r="AA38" s="79"/>
      <c r="AB38" s="80">
        <v>3.12748789406469E-2</v>
      </c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3233.4</v>
      </c>
      <c r="C39" s="8">
        <v>3.2122799999999997E-12</v>
      </c>
      <c r="D39" s="1">
        <v>2.9061699999999999E-12</v>
      </c>
      <c r="E39" s="1">
        <v>3.0611E-13</v>
      </c>
      <c r="F39" s="1">
        <v>7.0369999999999994E-14</v>
      </c>
      <c r="G39" s="1">
        <v>3.2605000000000001E-18</v>
      </c>
      <c r="H39" s="1">
        <v>4.5315000000000001E-11</v>
      </c>
      <c r="I39" s="1">
        <v>1.6484E-11</v>
      </c>
      <c r="J39" s="1">
        <v>6.1254999999999999E-11</v>
      </c>
      <c r="K39" s="1"/>
      <c r="L39" s="1"/>
      <c r="N39" s="7"/>
      <c r="O39">
        <f t="shared" si="4"/>
        <v>53.89</v>
      </c>
      <c r="P39" s="6">
        <f t="shared" si="5"/>
        <v>99.19970550361586</v>
      </c>
      <c r="Q39" s="6">
        <f t="shared" si="0"/>
        <v>35.636651929423003</v>
      </c>
      <c r="R39" s="6">
        <f t="shared" si="1"/>
        <v>12.943260936242504</v>
      </c>
      <c r="S39" s="10">
        <f t="shared" si="2"/>
        <v>48.097506177360813</v>
      </c>
      <c r="T39" s="6">
        <f t="shared" si="6"/>
        <v>2.5222864605895445</v>
      </c>
      <c r="U39" s="6">
        <f t="shared" si="6"/>
        <v>2.2819284879187109</v>
      </c>
      <c r="V39" s="6">
        <f t="shared" si="6"/>
        <v>0.24035797267083367</v>
      </c>
      <c r="X39" s="5"/>
      <c r="Y39" s="81"/>
      <c r="Z39" s="82" t="s">
        <v>139</v>
      </c>
      <c r="AA39" s="79"/>
      <c r="AB39" s="80">
        <v>9.2357262893961405</v>
      </c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3445.8</v>
      </c>
      <c r="C40" s="8">
        <v>2.5203000000000001E-12</v>
      </c>
      <c r="D40" s="1">
        <v>2.2801299999999999E-12</v>
      </c>
      <c r="E40" s="1">
        <v>2.4016999999999998E-13</v>
      </c>
      <c r="F40" s="1">
        <v>5.5211000000000002E-14</v>
      </c>
      <c r="G40" s="1">
        <v>2.5572000000000002E-18</v>
      </c>
      <c r="H40" s="1">
        <v>4.5569999999999997E-11</v>
      </c>
      <c r="I40" s="1">
        <v>1.6579999999999999E-11</v>
      </c>
      <c r="J40" s="1">
        <v>6.1593999999999999E-11</v>
      </c>
      <c r="K40" s="1"/>
      <c r="L40" s="1"/>
      <c r="N40" s="7"/>
      <c r="O40">
        <f t="shared" si="4"/>
        <v>57.43</v>
      </c>
      <c r="P40" s="6">
        <f t="shared" si="5"/>
        <v>99.186247386150328</v>
      </c>
      <c r="Q40" s="6">
        <f t="shared" si="0"/>
        <v>35.82497539655359</v>
      </c>
      <c r="R40" s="6">
        <f t="shared" si="1"/>
        <v>13.018639709665905</v>
      </c>
      <c r="S40" s="10">
        <f t="shared" si="2"/>
        <v>48.363689421081737</v>
      </c>
      <c r="T40" s="6">
        <f t="shared" si="6"/>
        <v>1.9789428588491136</v>
      </c>
      <c r="U40" s="6">
        <f t="shared" si="6"/>
        <v>1.7903610604878897</v>
      </c>
      <c r="V40" s="6">
        <f t="shared" si="6"/>
        <v>0.18858179836122346</v>
      </c>
      <c r="X40" s="5"/>
      <c r="Y40" s="81"/>
      <c r="Z40" s="82" t="s">
        <v>140</v>
      </c>
      <c r="AA40" s="79"/>
      <c r="AB40" s="80">
        <v>6.8237027101864606E-2</v>
      </c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3658.1</v>
      </c>
      <c r="C41" s="8">
        <v>1.9773899999999999E-12</v>
      </c>
      <c r="D41" s="1">
        <v>1.78895E-12</v>
      </c>
      <c r="E41" s="1">
        <v>1.8844E-13</v>
      </c>
      <c r="F41" s="1">
        <v>4.3317999999999999E-14</v>
      </c>
      <c r="G41" s="1">
        <v>2.0058999999999999E-18</v>
      </c>
      <c r="H41" s="1">
        <v>4.5771000000000003E-11</v>
      </c>
      <c r="I41" s="1">
        <v>1.6655E-11</v>
      </c>
      <c r="J41" s="1">
        <v>6.1859999999999994E-11</v>
      </c>
      <c r="K41" s="1"/>
      <c r="L41" s="1"/>
      <c r="N41" s="7"/>
      <c r="O41">
        <f t="shared" si="4"/>
        <v>60.968333333333334</v>
      </c>
      <c r="P41" s="6">
        <f t="shared" si="5"/>
        <v>99.176194020910884</v>
      </c>
      <c r="Q41" s="6">
        <f t="shared" si="0"/>
        <v>35.973462460477883</v>
      </c>
      <c r="R41" s="6">
        <f t="shared" si="1"/>
        <v>13.077529374952768</v>
      </c>
      <c r="S41" s="10">
        <f t="shared" si="2"/>
        <v>48.572552969252129</v>
      </c>
      <c r="T41" s="6">
        <f t="shared" si="6"/>
        <v>1.5526492162280872</v>
      </c>
      <c r="U41" s="6">
        <f t="shared" si="6"/>
        <v>1.4046858815768446</v>
      </c>
      <c r="V41" s="6">
        <f t="shared" si="6"/>
        <v>0.1479633346512427</v>
      </c>
      <c r="X41" s="5"/>
      <c r="Y41" s="81"/>
      <c r="Z41" s="103" t="s">
        <v>151</v>
      </c>
      <c r="AA41" s="85"/>
      <c r="AB41" s="91">
        <v>10.4565290382094</v>
      </c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3870.4</v>
      </c>
      <c r="C42" s="8">
        <v>1.5515100000000001E-12</v>
      </c>
      <c r="D42" s="1">
        <v>1.4036600000000001E-12</v>
      </c>
      <c r="E42" s="1">
        <v>1.4785E-13</v>
      </c>
      <c r="F42" s="1">
        <v>3.3986999999999999E-14</v>
      </c>
      <c r="G42" s="1">
        <v>1.5765E-18</v>
      </c>
      <c r="H42" s="1">
        <v>4.5927999999999999E-11</v>
      </c>
      <c r="I42" s="1">
        <v>1.6713999999999998E-11</v>
      </c>
      <c r="J42" s="1">
        <v>6.2069000000000003E-11</v>
      </c>
      <c r="K42" s="1"/>
      <c r="L42" s="1"/>
      <c r="N42" s="7"/>
      <c r="O42">
        <f t="shared" si="4"/>
        <v>64.506666666666675</v>
      </c>
      <c r="P42" s="6">
        <f t="shared" si="5"/>
        <v>99.168175993180128</v>
      </c>
      <c r="Q42" s="6">
        <f t="shared" si="0"/>
        <v>36.0894123525635</v>
      </c>
      <c r="R42" s="6">
        <f t="shared" si="1"/>
        <v>13.123855915013092</v>
      </c>
      <c r="S42" s="57">
        <f t="shared" si="2"/>
        <v>48.736660042814592</v>
      </c>
      <c r="T42" s="6">
        <f t="shared" si="6"/>
        <v>1.218247682788949</v>
      </c>
      <c r="U42" s="6">
        <f t="shared" si="6"/>
        <v>1.1021556692664154</v>
      </c>
      <c r="V42" s="6">
        <f t="shared" si="6"/>
        <v>0.11609201352253359</v>
      </c>
      <c r="X42" s="5"/>
      <c r="Y42" s="81"/>
      <c r="Z42" s="103" t="s">
        <v>152</v>
      </c>
      <c r="AA42" s="85"/>
      <c r="AB42" s="105">
        <v>-9.2357262893961405</v>
      </c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4082.8</v>
      </c>
      <c r="C43" s="8">
        <v>1.2172720000000001E-12</v>
      </c>
      <c r="D43" s="8">
        <v>1.101272E-12</v>
      </c>
      <c r="E43" s="8">
        <v>1.1600000000000001E-13</v>
      </c>
      <c r="F43" s="1">
        <v>2.6665999999999999E-14</v>
      </c>
      <c r="G43" s="1">
        <v>1.2399E-18</v>
      </c>
      <c r="H43" s="1">
        <v>4.6051000000000001E-11</v>
      </c>
      <c r="I43" s="1">
        <v>1.6759999999999999E-11</v>
      </c>
      <c r="J43" s="1">
        <v>6.2233000000000001E-11</v>
      </c>
      <c r="K43" s="1"/>
      <c r="L43" s="1"/>
      <c r="N43" s="7"/>
      <c r="O43">
        <f t="shared" si="4"/>
        <v>68.046666666666667</v>
      </c>
      <c r="P43" s="6">
        <f t="shared" si="5"/>
        <v>99.161455190878399</v>
      </c>
      <c r="Q43" s="6">
        <f t="shared" si="0"/>
        <v>36.180243654777051</v>
      </c>
      <c r="R43" s="6">
        <f t="shared" si="1"/>
        <v>13.159974910924252</v>
      </c>
      <c r="S43" s="10">
        <f t="shared" si="2"/>
        <v>48.865433057476046</v>
      </c>
      <c r="T43" s="6">
        <f t="shared" si="6"/>
        <v>0.95580356770105857</v>
      </c>
      <c r="U43" s="6">
        <f t="shared" si="6"/>
        <v>0.86472021586734937</v>
      </c>
      <c r="V43" s="6">
        <f t="shared" si="6"/>
        <v>9.108335183370915E-2</v>
      </c>
      <c r="X43" s="5"/>
      <c r="Y43" s="81"/>
      <c r="Z43" s="103" t="s">
        <v>153</v>
      </c>
      <c r="AA43" s="85"/>
      <c r="AB43" s="105">
        <v>2.3929934864939999</v>
      </c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4295.1000000000004</v>
      </c>
      <c r="C44" s="8">
        <v>9.5505000000000006E-13</v>
      </c>
      <c r="D44" s="8">
        <v>8.6403800000000008E-13</v>
      </c>
      <c r="E44" s="8">
        <v>9.1012000000000001E-14</v>
      </c>
      <c r="F44" s="1">
        <v>2.0922E-14</v>
      </c>
      <c r="G44" s="1">
        <v>9.7396999999999999E-19</v>
      </c>
      <c r="H44" s="1">
        <v>4.6147999999999999E-11</v>
      </c>
      <c r="I44" s="1">
        <v>1.6797E-11</v>
      </c>
      <c r="J44" s="1">
        <v>6.2361999999999996E-11</v>
      </c>
      <c r="K44" s="1"/>
      <c r="L44" s="1"/>
      <c r="N44" s="7"/>
      <c r="O44" s="58">
        <f t="shared" si="4"/>
        <v>71.585000000000008</v>
      </c>
      <c r="P44" s="59">
        <f t="shared" si="5"/>
        <v>99.157555672369767</v>
      </c>
      <c r="Q44" s="59">
        <f t="shared" si="0"/>
        <v>36.251897985423057</v>
      </c>
      <c r="R44" s="59">
        <f t="shared" si="1"/>
        <v>13.189027150545385</v>
      </c>
      <c r="S44" s="10">
        <f t="shared" si="2"/>
        <v>48.966724026325601</v>
      </c>
      <c r="T44" s="59">
        <f t="shared" ref="T44:V45" si="7">C44/$A$1*100</f>
        <v>0.74990651007572351</v>
      </c>
      <c r="U44" s="59">
        <f t="shared" si="7"/>
        <v>0.67844376854908961</v>
      </c>
      <c r="V44" s="59">
        <f t="shared" si="7"/>
        <v>7.1462741526633927E-2</v>
      </c>
      <c r="X44" s="5"/>
      <c r="Y44" s="81"/>
      <c r="Z44" s="103" t="s">
        <v>154</v>
      </c>
      <c r="AA44" s="85"/>
      <c r="AB44" s="105">
        <v>-6.8237027101864606E-2</v>
      </c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x14ac:dyDescent="0.3">
      <c r="B45" s="7">
        <v>4320</v>
      </c>
      <c r="C45" s="8">
        <v>9.2801900000000015E-13</v>
      </c>
      <c r="D45" s="8">
        <v>8.3958300000000006E-13</v>
      </c>
      <c r="E45" s="8">
        <v>8.8436000000000001E-14</v>
      </c>
      <c r="F45" s="1">
        <v>2.033E-14</v>
      </c>
      <c r="G45" s="1">
        <v>9.4652999999999992E-19</v>
      </c>
      <c r="H45" s="1">
        <v>4.6158000000000001E-11</v>
      </c>
      <c r="I45" s="1">
        <v>1.68E-11</v>
      </c>
      <c r="J45" s="8">
        <v>6.2375000000000004E-11</v>
      </c>
      <c r="K45" s="1"/>
      <c r="L45" s="1"/>
      <c r="N45" s="7"/>
      <c r="O45" s="51">
        <f t="shared" si="4"/>
        <v>72</v>
      </c>
      <c r="P45" s="52">
        <f t="shared" si="5"/>
        <v>99.156281269099466</v>
      </c>
      <c r="Q45" s="52">
        <f t="shared" si="0"/>
        <v>36.259285159337296</v>
      </c>
      <c r="R45" s="52">
        <f t="shared" si="1"/>
        <v>13.191382732926193</v>
      </c>
      <c r="S45" s="55">
        <f t="shared" si="2"/>
        <v>48.976931643341452</v>
      </c>
      <c r="T45" s="52">
        <f t="shared" si="7"/>
        <v>0.72868173349454257</v>
      </c>
      <c r="U45" s="52">
        <f t="shared" si="7"/>
        <v>0.65924167053966409</v>
      </c>
      <c r="V45" s="52">
        <f t="shared" si="7"/>
        <v>6.9440062954878465E-2</v>
      </c>
      <c r="X45" s="5"/>
      <c r="Y45" s="81"/>
      <c r="Z45" s="101"/>
      <c r="AA45" s="83"/>
      <c r="AB45" s="106"/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>
        <v>2933.4</v>
      </c>
      <c r="C46" s="8">
        <v>2.61445E-12</v>
      </c>
      <c r="D46" s="8">
        <v>2.3653199999999999E-12</v>
      </c>
      <c r="E46" s="8">
        <v>2.4913000000000002E-13</v>
      </c>
      <c r="F46" s="1">
        <v>5.5911999999999998E-14</v>
      </c>
      <c r="G46" s="1">
        <v>6.3762E-18</v>
      </c>
      <c r="H46" s="1">
        <v>3.8042999999999999E-11</v>
      </c>
      <c r="I46" s="1">
        <v>3.4109999999999999E-11</v>
      </c>
      <c r="J46" s="8">
        <v>5.2648000000000003E-11</v>
      </c>
      <c r="K46" s="1"/>
      <c r="L46" s="1"/>
      <c r="N46" s="7"/>
      <c r="O46" s="58"/>
      <c r="P46" s="59"/>
      <c r="Q46" s="59"/>
      <c r="R46" s="59"/>
      <c r="S46" s="10"/>
      <c r="T46" s="59"/>
      <c r="U46" s="59"/>
      <c r="V46" s="59"/>
      <c r="X46" s="5"/>
      <c r="Y46" s="77" t="s">
        <v>142</v>
      </c>
      <c r="Z46" s="102" t="s">
        <v>136</v>
      </c>
      <c r="AA46" s="83"/>
      <c r="AB46" s="107">
        <v>9.2399385252066694E-3</v>
      </c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3051.3</v>
      </c>
      <c r="C47" s="8">
        <v>2.2354500000000001E-12</v>
      </c>
      <c r="D47" s="8">
        <v>2.02244E-12</v>
      </c>
      <c r="E47" s="8">
        <v>2.1300999999999999E-13</v>
      </c>
      <c r="F47" s="1">
        <v>4.7806999999999998E-14</v>
      </c>
      <c r="G47" s="1">
        <v>5.4452999999999998E-18</v>
      </c>
      <c r="H47" s="1">
        <v>3.8161000000000003E-11</v>
      </c>
      <c r="I47" s="1">
        <v>3.4215999999999997E-11</v>
      </c>
      <c r="J47" s="8">
        <v>5.2807999999999999E-11</v>
      </c>
      <c r="K47" s="1"/>
      <c r="L47" s="1"/>
      <c r="N47" s="7"/>
      <c r="O47" s="58"/>
      <c r="P47" s="59"/>
      <c r="Q47" s="59"/>
      <c r="R47" s="59"/>
      <c r="S47" s="10"/>
      <c r="T47" s="59"/>
      <c r="U47" s="59"/>
      <c r="V47" s="59"/>
      <c r="X47" s="5"/>
      <c r="Y47" s="81"/>
      <c r="Z47" s="102" t="s">
        <v>137</v>
      </c>
      <c r="AA47" s="83"/>
      <c r="AB47" s="107">
        <v>13.299528572251299</v>
      </c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8.75" x14ac:dyDescent="0.3">
      <c r="B48" s="7">
        <v>3169.3</v>
      </c>
      <c r="C48" s="8">
        <v>1.91139E-12</v>
      </c>
      <c r="D48" s="8">
        <v>1.72926E-12</v>
      </c>
      <c r="E48" s="8">
        <v>1.8213E-13</v>
      </c>
      <c r="F48" s="1">
        <v>4.0877000000000002E-14</v>
      </c>
      <c r="G48" s="1">
        <v>4.6502999999999998E-18</v>
      </c>
      <c r="H48" s="1">
        <v>3.8261000000000001E-11</v>
      </c>
      <c r="I48" s="1">
        <v>3.4307000000000002E-11</v>
      </c>
      <c r="J48" s="8">
        <v>5.2944000000000002E-11</v>
      </c>
      <c r="K48" s="1"/>
      <c r="L48" s="1"/>
      <c r="N48" s="7"/>
      <c r="O48" s="58"/>
      <c r="P48" s="59"/>
      <c r="Q48" s="59"/>
      <c r="R48" s="59"/>
      <c r="S48" s="10"/>
      <c r="T48" s="59"/>
      <c r="U48" s="59"/>
      <c r="V48" s="59"/>
      <c r="X48" s="5"/>
      <c r="Y48" s="81"/>
      <c r="Z48" s="102" t="s">
        <v>138</v>
      </c>
      <c r="AA48" s="83"/>
      <c r="AB48" s="107">
        <v>-5.2989933605243601E-2</v>
      </c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B49">
        <v>3287.3</v>
      </c>
      <c r="C49">
        <v>1.6342400000000001E-12</v>
      </c>
      <c r="D49">
        <v>1.4785100000000001E-12</v>
      </c>
      <c r="E49">
        <v>1.5573000000000001E-13</v>
      </c>
      <c r="F49" s="1">
        <v>3.4951000000000002E-14</v>
      </c>
      <c r="G49" s="1">
        <v>3.9763000000000002E-18</v>
      </c>
      <c r="H49" s="1">
        <v>3.8347000000000002E-11</v>
      </c>
      <c r="I49" s="1">
        <v>3.4383999999999997E-11</v>
      </c>
      <c r="J49" s="1">
        <v>5.3060999999999998E-11</v>
      </c>
      <c r="N49" s="7"/>
      <c r="O49" s="58"/>
      <c r="P49" s="59"/>
      <c r="Q49" s="59"/>
      <c r="R49" s="59"/>
      <c r="S49" s="10"/>
      <c r="T49" s="59"/>
      <c r="U49" s="59"/>
      <c r="V49" s="59"/>
      <c r="X49" s="5"/>
      <c r="Y49" s="81"/>
      <c r="Z49" s="102" t="s">
        <v>139</v>
      </c>
      <c r="AA49" s="83"/>
      <c r="AB49" s="107">
        <v>1.5515018947102599</v>
      </c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B50">
        <v>3405.2</v>
      </c>
      <c r="C50">
        <v>1.397367E-12</v>
      </c>
      <c r="D50">
        <v>1.264207E-12</v>
      </c>
      <c r="E50">
        <v>1.3316000000000001E-13</v>
      </c>
      <c r="F50" s="1">
        <v>2.9884E-14</v>
      </c>
      <c r="G50" s="1">
        <v>3.3978000000000001E-18</v>
      </c>
      <c r="H50" s="1">
        <v>3.8420000000000001E-11</v>
      </c>
      <c r="I50" s="1">
        <v>3.4450999999999997E-11</v>
      </c>
      <c r="J50" s="1">
        <v>5.316E-11</v>
      </c>
      <c r="N50" s="7"/>
      <c r="O50" s="58"/>
      <c r="P50" s="59"/>
      <c r="Q50" s="59"/>
      <c r="R50" s="59"/>
      <c r="S50" s="10"/>
      <c r="T50" s="59"/>
      <c r="U50" s="59"/>
      <c r="V50" s="59"/>
      <c r="X50" s="5"/>
      <c r="Y50" s="81"/>
      <c r="Z50" s="102" t="s">
        <v>140</v>
      </c>
      <c r="AA50" s="83"/>
      <c r="AB50" s="107">
        <v>6.8159040226134907E-2</v>
      </c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8.75" x14ac:dyDescent="0.3">
      <c r="B51">
        <v>3523.2</v>
      </c>
      <c r="C51">
        <v>1.1948099999999998E-12</v>
      </c>
      <c r="D51">
        <v>1.0809599999999999E-12</v>
      </c>
      <c r="E51">
        <v>1.1384999999999999E-13</v>
      </c>
      <c r="F51" s="1">
        <v>2.5551999999999999E-14</v>
      </c>
      <c r="G51" s="1">
        <v>2.9126999999999999E-18</v>
      </c>
      <c r="H51" s="1">
        <v>3.8482999999999999E-11</v>
      </c>
      <c r="I51" s="1">
        <v>3.4506999999999999E-11</v>
      </c>
      <c r="J51" s="1">
        <v>5.3246000000000002E-11</v>
      </c>
      <c r="N51" s="7"/>
      <c r="O51" s="58"/>
      <c r="P51" s="59"/>
      <c r="Q51" s="59"/>
      <c r="R51" s="59"/>
      <c r="S51" s="10"/>
      <c r="T51" s="59"/>
      <c r="U51" s="59"/>
      <c r="V51" s="59"/>
      <c r="X51" s="5"/>
      <c r="Y51" s="81"/>
      <c r="Z51" s="103" t="s">
        <v>151</v>
      </c>
      <c r="AA51" s="86"/>
      <c r="AB51" s="105">
        <v>-1.0926475556793001</v>
      </c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8.75" x14ac:dyDescent="0.3">
      <c r="B52">
        <v>3641.1</v>
      </c>
      <c r="C52">
        <v>1.0216050000000001E-12</v>
      </c>
      <c r="D52">
        <v>9.2425600000000006E-13</v>
      </c>
      <c r="E52">
        <v>9.7349E-14</v>
      </c>
      <c r="F52" s="1">
        <v>2.1848E-14</v>
      </c>
      <c r="G52" s="1">
        <v>2.4952E-18</v>
      </c>
      <c r="H52" s="1">
        <v>3.8536999999999997E-11</v>
      </c>
      <c r="I52" s="1">
        <v>3.4555999999999999E-11</v>
      </c>
      <c r="J52" s="1">
        <v>5.3317999999999999E-11</v>
      </c>
      <c r="N52" s="7"/>
      <c r="O52" s="58"/>
      <c r="P52" s="59"/>
      <c r="Q52" s="59"/>
      <c r="R52" s="59"/>
      <c r="S52" s="10"/>
      <c r="T52" s="59"/>
      <c r="U52" s="59"/>
      <c r="V52" s="59"/>
      <c r="X52" s="5"/>
      <c r="Y52" s="81"/>
      <c r="Z52" s="103" t="s">
        <v>152</v>
      </c>
      <c r="AA52" s="86"/>
      <c r="AB52" s="105">
        <v>-1.5515018947102599</v>
      </c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8.75" x14ac:dyDescent="0.3">
      <c r="B53">
        <v>3759.1</v>
      </c>
      <c r="C53">
        <v>8.7350900000000001E-13</v>
      </c>
      <c r="D53">
        <v>7.9027199999999997E-13</v>
      </c>
      <c r="E53">
        <v>8.3237000000000004E-14</v>
      </c>
      <c r="F53" s="1">
        <v>1.8680999999999999E-14</v>
      </c>
      <c r="G53" s="1">
        <v>2.1256000000000001E-18</v>
      </c>
      <c r="H53" s="1">
        <v>3.8582999999999997E-11</v>
      </c>
      <c r="I53" s="1">
        <v>3.4597000000000002E-11</v>
      </c>
      <c r="J53" s="1">
        <v>5.3381000000000003E-11</v>
      </c>
      <c r="N53" s="7"/>
      <c r="O53" s="58"/>
      <c r="P53" s="59"/>
      <c r="Q53" s="59"/>
      <c r="R53" s="59"/>
      <c r="S53" s="10"/>
      <c r="T53" s="59"/>
      <c r="U53" s="59"/>
      <c r="V53" s="59"/>
      <c r="X53" s="5"/>
      <c r="Y53" s="81"/>
      <c r="Z53" s="103" t="s">
        <v>153</v>
      </c>
      <c r="AA53" s="86"/>
      <c r="AB53" s="105">
        <v>0.95385442475895899</v>
      </c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8.75" x14ac:dyDescent="0.3">
      <c r="B54">
        <v>3877.1</v>
      </c>
      <c r="C54">
        <v>7.4688199999999999E-13</v>
      </c>
      <c r="D54">
        <v>6.7571100000000003E-13</v>
      </c>
      <c r="E54">
        <v>7.1170999999999998E-14</v>
      </c>
      <c r="F54" s="1">
        <v>1.5973E-14</v>
      </c>
      <c r="G54" s="1">
        <v>1.8171999999999999E-18</v>
      </c>
      <c r="H54" s="1">
        <v>3.8622000000000002E-11</v>
      </c>
      <c r="I54" s="1">
        <v>3.4633000000000001E-11</v>
      </c>
      <c r="J54" s="1">
        <v>5.3433999999999999E-11</v>
      </c>
      <c r="M54" s="58"/>
      <c r="N54" s="64"/>
      <c r="O54" s="58"/>
      <c r="P54" s="59"/>
      <c r="Q54" s="59"/>
      <c r="R54" s="59"/>
      <c r="S54" s="10"/>
      <c r="T54" s="59"/>
      <c r="U54" s="59"/>
      <c r="V54" s="59"/>
      <c r="X54" s="5"/>
      <c r="Y54" s="84"/>
      <c r="Z54" s="104" t="s">
        <v>154</v>
      </c>
      <c r="AA54" s="87"/>
      <c r="AB54" s="108">
        <v>-6.8159040226134907E-2</v>
      </c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B55">
        <v>3995</v>
      </c>
      <c r="C55">
        <v>6.3861599999999997E-13</v>
      </c>
      <c r="D55">
        <v>5.7776299999999997E-13</v>
      </c>
      <c r="E55">
        <v>6.0853000000000003E-14</v>
      </c>
      <c r="F55" s="1">
        <v>1.3656999999999999E-14</v>
      </c>
      <c r="G55" s="1">
        <v>1.5606999999999999E-18</v>
      </c>
      <c r="H55" s="1">
        <v>3.8655000000000001E-11</v>
      </c>
      <c r="I55" s="1">
        <v>3.4663E-11</v>
      </c>
      <c r="J55" s="1">
        <v>5.3479999999999999E-11</v>
      </c>
      <c r="M55" s="58"/>
      <c r="N55" s="64"/>
      <c r="O55" s="58"/>
      <c r="P55" s="59"/>
      <c r="Q55" s="59"/>
      <c r="R55" s="59"/>
      <c r="S55" s="10"/>
      <c r="T55" s="59"/>
      <c r="U55" s="59"/>
      <c r="V55" s="59"/>
      <c r="X55" s="5"/>
      <c r="Y55" s="5"/>
      <c r="Z55" s="5"/>
      <c r="AA55" s="5"/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B56">
        <v>4113</v>
      </c>
      <c r="C56">
        <v>5.4603899999999989E-13</v>
      </c>
      <c r="D56">
        <v>4.9400699999999992E-13</v>
      </c>
      <c r="E56">
        <v>5.2032E-14</v>
      </c>
      <c r="F56" s="1">
        <v>1.1677999999999999E-14</v>
      </c>
      <c r="G56" s="1">
        <v>1.334E-18</v>
      </c>
      <c r="H56" s="1">
        <v>3.8683999999999998E-11</v>
      </c>
      <c r="I56" s="1">
        <v>3.4689000000000003E-11</v>
      </c>
      <c r="J56" s="1">
        <v>5.3518999999999998E-11</v>
      </c>
      <c r="M56" s="58"/>
      <c r="N56" s="64"/>
      <c r="O56" s="58"/>
      <c r="P56" s="59"/>
      <c r="Q56" s="59"/>
      <c r="R56" s="59"/>
      <c r="S56" s="10"/>
      <c r="T56" s="59"/>
      <c r="U56" s="59"/>
      <c r="V56" s="59"/>
      <c r="X56" s="5"/>
      <c r="Y56" s="5"/>
      <c r="Z56" s="67" t="s">
        <v>148</v>
      </c>
      <c r="AA56" s="95">
        <v>8973.7743828574494</v>
      </c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B57">
        <v>4231</v>
      </c>
      <c r="C57">
        <v>4.6688199999999997E-13</v>
      </c>
      <c r="D57">
        <v>4.22393E-13</v>
      </c>
      <c r="E57">
        <v>4.4488999999999999E-14</v>
      </c>
      <c r="F57" s="1">
        <v>9.9847999999999993E-15</v>
      </c>
      <c r="G57" s="1">
        <v>1.1392000000000001E-18</v>
      </c>
      <c r="H57" s="1">
        <v>3.8708999999999999E-11</v>
      </c>
      <c r="I57" s="1">
        <v>3.4710999999999998E-11</v>
      </c>
      <c r="J57" s="1">
        <v>5.3552000000000003E-11</v>
      </c>
      <c r="M57" s="58"/>
      <c r="N57" s="64"/>
      <c r="O57" s="58"/>
      <c r="P57" s="59"/>
      <c r="Q57" s="59"/>
      <c r="R57" s="59"/>
      <c r="S57" s="10"/>
      <c r="T57" s="59"/>
      <c r="U57" s="59"/>
      <c r="V57" s="59"/>
      <c r="X57" s="5"/>
      <c r="Y57" s="5"/>
      <c r="Z57" s="67" t="s">
        <v>149</v>
      </c>
      <c r="AA57" s="95">
        <v>4426.7877548098404</v>
      </c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8.75" x14ac:dyDescent="0.3">
      <c r="B58">
        <v>4320</v>
      </c>
      <c r="C58">
        <v>4.1474599999999999E-13</v>
      </c>
      <c r="D58">
        <v>3.75225E-13</v>
      </c>
      <c r="E58">
        <v>3.9521000000000001E-14</v>
      </c>
      <c r="F58" s="1">
        <v>8.8696999999999997E-15</v>
      </c>
      <c r="G58" s="1">
        <v>1.0135999999999999E-18</v>
      </c>
      <c r="H58" s="1">
        <v>3.8725000000000001E-11</v>
      </c>
      <c r="I58" s="1">
        <v>3.4725999999999997E-11</v>
      </c>
      <c r="J58" s="1">
        <v>5.3573999999999998E-11</v>
      </c>
      <c r="M58" s="58"/>
      <c r="N58" s="64"/>
      <c r="O58" s="58"/>
      <c r="P58" s="59"/>
      <c r="Q58" s="59"/>
      <c r="R58" s="59"/>
      <c r="S58" s="10"/>
      <c r="T58" s="59"/>
      <c r="U58" s="59"/>
      <c r="V58" s="59"/>
      <c r="X58" s="5"/>
      <c r="Y58" s="5"/>
      <c r="Z58" s="66" t="s">
        <v>150</v>
      </c>
      <c r="AA58" s="96">
        <f>AA57/AA56*100</f>
        <v>49.330276937498098</v>
      </c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M59" s="58"/>
      <c r="N59" s="64"/>
      <c r="O59" s="60"/>
      <c r="P59" s="59"/>
      <c r="Q59" s="59"/>
      <c r="R59" s="59"/>
      <c r="S59" s="5"/>
      <c r="T59" s="59"/>
      <c r="U59" s="60"/>
      <c r="V59" s="60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M60" s="58"/>
      <c r="N60" s="64"/>
      <c r="O60" s="60"/>
      <c r="P60" s="59"/>
      <c r="Q60" s="59"/>
      <c r="R60" s="59"/>
      <c r="S60" s="5"/>
      <c r="T60" s="59"/>
      <c r="U60" s="60"/>
      <c r="V60" s="60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7.25" thickBot="1" x14ac:dyDescent="0.35">
      <c r="M61" s="58"/>
      <c r="N61" s="64"/>
      <c r="O61" s="60"/>
      <c r="P61" s="59"/>
      <c r="Q61" s="59"/>
      <c r="R61" s="59"/>
      <c r="S61" s="5"/>
      <c r="T61" s="59"/>
      <c r="U61" s="60"/>
      <c r="V61" s="60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/>
      <c r="B62" s="8" t="s">
        <v>18</v>
      </c>
      <c r="C62" s="8" t="s">
        <v>18</v>
      </c>
      <c r="D62" s="8" t="s">
        <v>18</v>
      </c>
      <c r="E62" s="1" t="s">
        <v>74</v>
      </c>
      <c r="F62" s="40"/>
      <c r="G62" s="41" t="s">
        <v>75</v>
      </c>
      <c r="H62" s="41" t="s">
        <v>75</v>
      </c>
      <c r="I62" s="42" t="s">
        <v>75</v>
      </c>
      <c r="N62" s="7"/>
      <c r="O62" s="1"/>
      <c r="P62" s="6"/>
      <c r="Q62" s="6"/>
      <c r="R62" s="6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/>
      <c r="B63" s="8" t="s">
        <v>73</v>
      </c>
      <c r="C63" s="8" t="s">
        <v>71</v>
      </c>
      <c r="D63" s="8" t="s">
        <v>72</v>
      </c>
      <c r="E63" s="1" t="s">
        <v>71</v>
      </c>
      <c r="F63" s="43"/>
      <c r="G63" s="8" t="s">
        <v>73</v>
      </c>
      <c r="H63" s="8" t="s">
        <v>71</v>
      </c>
      <c r="I63" s="44" t="s">
        <v>72</v>
      </c>
      <c r="N63" s="7"/>
      <c r="O63" s="1"/>
      <c r="P63" s="6"/>
      <c r="Q63" s="6"/>
      <c r="R63" s="6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 t="s">
        <v>0</v>
      </c>
      <c r="B64" s="8" t="s">
        <v>120</v>
      </c>
      <c r="C64" s="8" t="s">
        <v>121</v>
      </c>
      <c r="D64" s="8" t="s">
        <v>121</v>
      </c>
      <c r="E64" s="1" t="s">
        <v>121</v>
      </c>
      <c r="F64" s="45" t="str">
        <f>A64</f>
        <v>Time (min)</v>
      </c>
      <c r="G64" s="8" t="str">
        <f>B64</f>
        <v>MW=150, sigma_ve=0.9, sigma_le=0.1, p_ve=1E-9, p_le=1E-8, D_gel=4.5E-11, kf_m=0.48, kr_m=4.2, k_decay=1E-5, cA+cMA (mol)</v>
      </c>
      <c r="H64" s="8" t="str">
        <f>C64</f>
        <v>MW=150, sigma_ve=0.9, sigma_le=0.1, p_ve=1E-9, p_le=1E-8, D_gel=4.5E-11, kf_m=0.48, kr_m=4.2, k_decay=1E-5, Concentration (mol)</v>
      </c>
      <c r="I64" s="44" t="str">
        <f>D64</f>
        <v>MW=150, sigma_ve=0.9, sigma_le=0.1, p_ve=1E-9, p_le=1E-8, D_gel=4.5E-11, kf_m=0.48, kr_m=4.2, k_decay=1E-5, Concentration (mol)</v>
      </c>
      <c r="N64" s="7"/>
      <c r="O64" s="1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0</v>
      </c>
      <c r="B65" s="8">
        <v>1.2102999999999999E-10</v>
      </c>
      <c r="C65" s="8">
        <v>1.2102000000000001E-10</v>
      </c>
      <c r="D65" s="8">
        <v>6.5851999999999998E-15</v>
      </c>
      <c r="E65" s="1">
        <v>6.0721999999999999E-12</v>
      </c>
      <c r="F65" s="45">
        <f t="shared" ref="F65:F96" si="8">A65</f>
        <v>0</v>
      </c>
      <c r="G65" s="8">
        <f>H65+I65</f>
        <v>1.2709878519999999E-10</v>
      </c>
      <c r="H65" s="1">
        <f t="shared" ref="H65:H108" si="9">C65+E65</f>
        <v>1.270922E-10</v>
      </c>
      <c r="I65" s="46">
        <f t="shared" ref="I65:I108" si="10">D65</f>
        <v>6.5851999999999998E-15</v>
      </c>
      <c r="N65" s="7"/>
      <c r="O65" s="1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2.468</v>
      </c>
      <c r="B66" s="8">
        <v>1.1981E-10</v>
      </c>
      <c r="C66" s="8">
        <v>1.0751999999999999E-10</v>
      </c>
      <c r="D66" s="8">
        <v>1.2287999999999999E-11</v>
      </c>
      <c r="E66" s="1">
        <v>6.1402E-12</v>
      </c>
      <c r="F66" s="45">
        <f t="shared" si="8"/>
        <v>2.468</v>
      </c>
      <c r="G66" s="8">
        <f t="shared" ref="G66:G108" si="11">H66+I66</f>
        <v>1.2594820000000001E-10</v>
      </c>
      <c r="H66" s="1">
        <f t="shared" si="9"/>
        <v>1.136602E-10</v>
      </c>
      <c r="I66" s="46">
        <f t="shared" si="10"/>
        <v>1.2287999999999999E-11</v>
      </c>
      <c r="N66" s="7"/>
      <c r="O66" s="1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4.516</v>
      </c>
      <c r="B67" s="8">
        <v>1.1935999999999999E-10</v>
      </c>
      <c r="C67" s="8">
        <v>1.0712E-10</v>
      </c>
      <c r="D67" s="8">
        <v>1.2242000000000001E-11</v>
      </c>
      <c r="E67" s="1">
        <v>6.1647999999999997E-12</v>
      </c>
      <c r="F67" s="45">
        <f t="shared" si="8"/>
        <v>4.516</v>
      </c>
      <c r="G67" s="8">
        <f t="shared" si="11"/>
        <v>1.2552679999999999E-10</v>
      </c>
      <c r="H67" s="1">
        <f t="shared" si="9"/>
        <v>1.132848E-10</v>
      </c>
      <c r="I67" s="46">
        <f t="shared" si="10"/>
        <v>1.2242000000000001E-11</v>
      </c>
      <c r="N67" s="7"/>
      <c r="O67" s="1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7.5880000000000001</v>
      </c>
      <c r="B68" s="8">
        <v>1.1866000000000001E-10</v>
      </c>
      <c r="C68" s="8">
        <v>1.0649E-10</v>
      </c>
      <c r="D68" s="8">
        <v>1.2171000000000001E-11</v>
      </c>
      <c r="E68" s="1">
        <v>6.3160000000000001E-12</v>
      </c>
      <c r="F68" s="45">
        <f t="shared" si="8"/>
        <v>7.5880000000000001</v>
      </c>
      <c r="G68" s="8">
        <f t="shared" si="11"/>
        <v>1.2497699999999999E-10</v>
      </c>
      <c r="H68" s="1">
        <f t="shared" si="9"/>
        <v>1.12806E-10</v>
      </c>
      <c r="I68" s="46">
        <f t="shared" si="10"/>
        <v>1.2171000000000001E-11</v>
      </c>
      <c r="N68" s="7"/>
      <c r="O68" s="1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9.6359999999999992</v>
      </c>
      <c r="B69" s="8">
        <v>1.1819999999999999E-10</v>
      </c>
      <c r="C69" s="8">
        <v>1.0608E-10</v>
      </c>
      <c r="D69" s="8">
        <v>1.2124E-11</v>
      </c>
      <c r="E69" s="1">
        <v>6.4494000000000004E-12</v>
      </c>
      <c r="F69" s="45">
        <f t="shared" si="8"/>
        <v>9.6359999999999992</v>
      </c>
      <c r="G69" s="8">
        <f t="shared" si="11"/>
        <v>1.246534E-10</v>
      </c>
      <c r="H69" s="1">
        <f t="shared" si="9"/>
        <v>1.125294E-10</v>
      </c>
      <c r="I69" s="46">
        <f t="shared" si="10"/>
        <v>1.2124E-11</v>
      </c>
      <c r="N69" s="7"/>
      <c r="O69" s="1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13.731999999999999</v>
      </c>
      <c r="B70" s="8">
        <v>1.1731000000000001E-10</v>
      </c>
      <c r="C70" s="8">
        <v>1.0528E-10</v>
      </c>
      <c r="D70" s="8">
        <v>1.2032E-11</v>
      </c>
      <c r="E70" s="1">
        <v>6.7208999999999998E-12</v>
      </c>
      <c r="F70" s="45">
        <f t="shared" si="8"/>
        <v>13.731999999999999</v>
      </c>
      <c r="G70" s="8">
        <f t="shared" si="11"/>
        <v>1.240329E-10</v>
      </c>
      <c r="H70" s="1">
        <f t="shared" si="9"/>
        <v>1.120009E-10</v>
      </c>
      <c r="I70" s="46">
        <f t="shared" si="10"/>
        <v>1.2032E-11</v>
      </c>
      <c r="N70" s="7"/>
      <c r="O70" s="1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17.417999999999999</v>
      </c>
      <c r="B71" s="8">
        <v>1.1656000000000001E-10</v>
      </c>
      <c r="C71" s="8">
        <v>1.0460000000000001E-10</v>
      </c>
      <c r="D71" s="8">
        <v>1.1955000000000001E-11</v>
      </c>
      <c r="E71" s="1">
        <v>6.9477999999999999E-12</v>
      </c>
      <c r="F71" s="45">
        <f t="shared" si="8"/>
        <v>17.417999999999999</v>
      </c>
      <c r="G71" s="8">
        <f t="shared" si="11"/>
        <v>1.235028E-10</v>
      </c>
      <c r="H71" s="1">
        <f t="shared" si="9"/>
        <v>1.115478E-10</v>
      </c>
      <c r="I71" s="46">
        <f t="shared" si="10"/>
        <v>1.1955000000000001E-11</v>
      </c>
      <c r="N71" s="7"/>
      <c r="O71" s="1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21.105</v>
      </c>
      <c r="B72" s="8">
        <v>1.1585000000000001E-10</v>
      </c>
      <c r="C72" s="8">
        <v>1.0397E-10</v>
      </c>
      <c r="D72" s="8">
        <v>1.1882E-11</v>
      </c>
      <c r="E72" s="1">
        <v>7.1433999999999996E-12</v>
      </c>
      <c r="F72" s="45">
        <f t="shared" si="8"/>
        <v>21.105</v>
      </c>
      <c r="G72" s="8">
        <f t="shared" si="11"/>
        <v>1.229954E-10</v>
      </c>
      <c r="H72" s="1">
        <f t="shared" si="9"/>
        <v>1.111134E-10</v>
      </c>
      <c r="I72" s="46">
        <f t="shared" si="10"/>
        <v>1.1882E-11</v>
      </c>
      <c r="N72" s="7"/>
      <c r="O72" s="1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24.791</v>
      </c>
      <c r="B73" s="8">
        <v>1.1517E-10</v>
      </c>
      <c r="C73" s="8">
        <v>1.0336000000000001E-10</v>
      </c>
      <c r="D73" s="8">
        <v>1.1813000000000001E-11</v>
      </c>
      <c r="E73" s="1">
        <v>7.3077000000000005E-12</v>
      </c>
      <c r="F73" s="45">
        <f t="shared" si="8"/>
        <v>24.791</v>
      </c>
      <c r="G73" s="8">
        <f t="shared" si="11"/>
        <v>1.2248070000000002E-10</v>
      </c>
      <c r="H73" s="1">
        <f t="shared" si="9"/>
        <v>1.1066770000000001E-10</v>
      </c>
      <c r="I73" s="46">
        <f t="shared" si="10"/>
        <v>1.1813000000000001E-11</v>
      </c>
      <c r="N73" s="7"/>
      <c r="O73" s="1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32.164000000000001</v>
      </c>
      <c r="B74" s="8">
        <v>1.1391E-10</v>
      </c>
      <c r="C74" s="8">
        <v>1.0223000000000001E-10</v>
      </c>
      <c r="D74" s="8">
        <v>1.1684000000000001E-11</v>
      </c>
      <c r="E74" s="1">
        <v>7.5636999999999994E-12</v>
      </c>
      <c r="F74" s="45">
        <f t="shared" si="8"/>
        <v>32.164000000000001</v>
      </c>
      <c r="G74" s="8">
        <f t="shared" si="11"/>
        <v>1.2147770000000002E-10</v>
      </c>
      <c r="H74" s="1">
        <f t="shared" si="9"/>
        <v>1.0979370000000001E-10</v>
      </c>
      <c r="I74" s="46">
        <f t="shared" si="10"/>
        <v>1.1684000000000001E-11</v>
      </c>
      <c r="N74" s="7"/>
      <c r="O74" s="1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39.536999999999999</v>
      </c>
      <c r="B75" s="8">
        <v>1.1275E-10</v>
      </c>
      <c r="C75" s="8">
        <v>1.0118000000000001E-10</v>
      </c>
      <c r="D75" s="8">
        <v>1.1564E-11</v>
      </c>
      <c r="E75" s="1">
        <v>7.7413999999999993E-12</v>
      </c>
      <c r="F75" s="45">
        <f t="shared" si="8"/>
        <v>39.536999999999999</v>
      </c>
      <c r="G75" s="8">
        <f t="shared" si="11"/>
        <v>1.204854E-10</v>
      </c>
      <c r="H75" s="1">
        <f t="shared" si="9"/>
        <v>1.089214E-10</v>
      </c>
      <c r="I75" s="46">
        <f t="shared" si="10"/>
        <v>1.1564E-11</v>
      </c>
      <c r="N75" s="7"/>
      <c r="O75" s="1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46.91</v>
      </c>
      <c r="B76" s="8">
        <v>1.1165E-10</v>
      </c>
      <c r="C76" s="8">
        <v>1.002E-10</v>
      </c>
      <c r="D76" s="8">
        <v>1.1451999999999999E-11</v>
      </c>
      <c r="E76" s="1">
        <v>7.8601000000000004E-12</v>
      </c>
      <c r="F76" s="45">
        <f t="shared" si="8"/>
        <v>46.91</v>
      </c>
      <c r="G76" s="8">
        <f t="shared" si="11"/>
        <v>1.1951210000000001E-10</v>
      </c>
      <c r="H76" s="1">
        <f t="shared" si="9"/>
        <v>1.0806010000000001E-10</v>
      </c>
      <c r="I76" s="46">
        <f t="shared" si="10"/>
        <v>1.1451999999999999E-11</v>
      </c>
      <c r="N76" s="7"/>
      <c r="O76" s="1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54.281999999999996</v>
      </c>
      <c r="B77" s="8">
        <v>1.1061000000000001E-10</v>
      </c>
      <c r="C77" s="8">
        <v>9.9266000000000001E-11</v>
      </c>
      <c r="D77" s="8">
        <v>1.1345000000000001E-11</v>
      </c>
      <c r="E77" s="1">
        <v>7.9345999999999997E-12</v>
      </c>
      <c r="F77" s="45">
        <f t="shared" si="8"/>
        <v>54.281999999999996</v>
      </c>
      <c r="G77" s="8">
        <f t="shared" si="11"/>
        <v>1.1854560000000001E-10</v>
      </c>
      <c r="H77" s="1">
        <f t="shared" si="9"/>
        <v>1.072006E-10</v>
      </c>
      <c r="I77" s="46">
        <f t="shared" si="10"/>
        <v>1.1345000000000001E-11</v>
      </c>
      <c r="N77" s="7"/>
      <c r="O77" s="1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69.028000000000006</v>
      </c>
      <c r="B78" s="8">
        <v>1.0863E-10</v>
      </c>
      <c r="C78" s="8">
        <v>9.7491E-11</v>
      </c>
      <c r="D78" s="8">
        <v>1.1142000000000001E-11</v>
      </c>
      <c r="E78" s="1">
        <v>7.9995000000000004E-12</v>
      </c>
      <c r="F78" s="45">
        <f t="shared" si="8"/>
        <v>69.028000000000006</v>
      </c>
      <c r="G78" s="8">
        <f t="shared" si="11"/>
        <v>1.1663249999999998E-10</v>
      </c>
      <c r="H78" s="1">
        <f t="shared" si="9"/>
        <v>1.0549049999999999E-10</v>
      </c>
      <c r="I78" s="46">
        <f t="shared" si="10"/>
        <v>1.1142000000000001E-11</v>
      </c>
      <c r="N78" s="7"/>
      <c r="O78" s="1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83.774000000000001</v>
      </c>
      <c r="B79" s="8">
        <v>1.0676E-10</v>
      </c>
      <c r="C79" s="8">
        <v>9.5813999999999999E-11</v>
      </c>
      <c r="D79" s="8">
        <v>1.095E-11</v>
      </c>
      <c r="E79" s="1">
        <v>7.9816000000000006E-12</v>
      </c>
      <c r="F79" s="45">
        <f t="shared" si="8"/>
        <v>83.774000000000001</v>
      </c>
      <c r="G79" s="8">
        <f t="shared" si="11"/>
        <v>1.147456E-10</v>
      </c>
      <c r="H79" s="1">
        <f t="shared" si="9"/>
        <v>1.037956E-10</v>
      </c>
      <c r="I79" s="46">
        <f t="shared" si="10"/>
        <v>1.095E-11</v>
      </c>
      <c r="N79" s="7"/>
      <c r="O79" s="1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98.519000000000005</v>
      </c>
      <c r="B80" s="8">
        <v>1.0497E-10</v>
      </c>
      <c r="C80" s="8">
        <v>9.4204999999999999E-11</v>
      </c>
      <c r="D80" s="8">
        <v>1.0766E-11</v>
      </c>
      <c r="E80" s="1">
        <v>7.9152E-12</v>
      </c>
      <c r="F80" s="45">
        <f t="shared" si="8"/>
        <v>98.519000000000005</v>
      </c>
      <c r="G80" s="8">
        <f t="shared" si="11"/>
        <v>1.128862E-10</v>
      </c>
      <c r="H80" s="1">
        <f t="shared" si="9"/>
        <v>1.021202E-10</v>
      </c>
      <c r="I80" s="46">
        <f t="shared" si="10"/>
        <v>1.0766E-11</v>
      </c>
      <c r="N80" s="7"/>
      <c r="O80" s="1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113.26</v>
      </c>
      <c r="B81" s="8">
        <v>1.0323E-10</v>
      </c>
      <c r="C81" s="8">
        <v>9.2641999999999994E-11</v>
      </c>
      <c r="D81" s="8">
        <v>1.0588E-11</v>
      </c>
      <c r="E81" s="1">
        <v>7.8222000000000003E-12</v>
      </c>
      <c r="F81" s="45">
        <f t="shared" si="8"/>
        <v>113.26</v>
      </c>
      <c r="G81" s="8">
        <f t="shared" si="11"/>
        <v>1.1105219999999998E-10</v>
      </c>
      <c r="H81" s="1">
        <f t="shared" si="9"/>
        <v>1.0046419999999999E-10</v>
      </c>
      <c r="I81" s="46">
        <f t="shared" si="10"/>
        <v>1.0588E-11</v>
      </c>
      <c r="N81" s="7"/>
      <c r="O81" s="1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128.01</v>
      </c>
      <c r="B82" s="8">
        <v>1.0153E-10</v>
      </c>
      <c r="C82" s="8">
        <v>9.1115999999999996E-11</v>
      </c>
      <c r="D82" s="8">
        <v>1.0412999999999999E-11</v>
      </c>
      <c r="E82" s="1">
        <v>7.7149999999999993E-12</v>
      </c>
      <c r="F82" s="45">
        <f t="shared" si="8"/>
        <v>128.01</v>
      </c>
      <c r="G82" s="8">
        <f t="shared" si="11"/>
        <v>1.0924399999999998E-10</v>
      </c>
      <c r="H82" s="1">
        <f t="shared" si="9"/>
        <v>9.8830999999999992E-11</v>
      </c>
      <c r="I82" s="46">
        <f t="shared" si="10"/>
        <v>1.0412999999999999E-11</v>
      </c>
      <c r="N82" s="7"/>
      <c r="O82" s="1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142.76</v>
      </c>
      <c r="B83" s="8">
        <v>9.9863000000000005E-11</v>
      </c>
      <c r="C83" s="8">
        <v>8.9621000000000005E-11</v>
      </c>
      <c r="D83" s="8">
        <v>1.0241999999999999E-11</v>
      </c>
      <c r="E83" s="1">
        <v>7.6006000000000006E-12</v>
      </c>
      <c r="F83" s="45">
        <f t="shared" si="8"/>
        <v>142.76</v>
      </c>
      <c r="G83" s="8">
        <f t="shared" si="11"/>
        <v>1.0746360000000001E-10</v>
      </c>
      <c r="H83" s="1">
        <f t="shared" si="9"/>
        <v>9.7221600000000007E-11</v>
      </c>
      <c r="I83" s="46">
        <f t="shared" si="10"/>
        <v>1.0241999999999999E-11</v>
      </c>
      <c r="N83" s="7"/>
      <c r="O83" s="1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172.25</v>
      </c>
      <c r="B84" s="8">
        <v>9.6617999999999994E-11</v>
      </c>
      <c r="C84" s="8">
        <v>8.6708999999999995E-11</v>
      </c>
      <c r="D84" s="8">
        <v>9.9095999999999997E-12</v>
      </c>
      <c r="E84" s="1">
        <v>7.3665000000000002E-12</v>
      </c>
      <c r="F84" s="45">
        <f t="shared" si="8"/>
        <v>172.25</v>
      </c>
      <c r="G84" s="8">
        <f t="shared" si="11"/>
        <v>1.039851E-10</v>
      </c>
      <c r="H84" s="1">
        <f t="shared" si="9"/>
        <v>9.40755E-11</v>
      </c>
      <c r="I84" s="46">
        <f t="shared" si="10"/>
        <v>9.9095999999999997E-12</v>
      </c>
      <c r="N84" s="7"/>
      <c r="O84" s="1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201.74</v>
      </c>
      <c r="B85" s="8">
        <v>9.3533999999999995E-11</v>
      </c>
      <c r="C85" s="8">
        <v>8.3941000000000005E-11</v>
      </c>
      <c r="D85" s="8">
        <v>9.5932999999999995E-12</v>
      </c>
      <c r="E85" s="1">
        <v>7.1331E-12</v>
      </c>
      <c r="F85" s="45">
        <f t="shared" si="8"/>
        <v>201.74</v>
      </c>
      <c r="G85" s="8">
        <f t="shared" si="11"/>
        <v>1.006674E-10</v>
      </c>
      <c r="H85" s="1">
        <f t="shared" si="9"/>
        <v>9.1074100000000003E-11</v>
      </c>
      <c r="I85" s="46">
        <f t="shared" si="10"/>
        <v>9.5932999999999995E-12</v>
      </c>
      <c r="N85" s="7"/>
      <c r="O85" s="1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260.72000000000003</v>
      </c>
      <c r="B86" s="8">
        <v>8.7746999999999994E-11</v>
      </c>
      <c r="C86" s="8">
        <v>7.8747999999999995E-11</v>
      </c>
      <c r="D86" s="8">
        <v>8.9996999999999993E-12</v>
      </c>
      <c r="E86" s="1">
        <v>6.6927999999999999E-12</v>
      </c>
      <c r="F86" s="45">
        <f t="shared" si="8"/>
        <v>260.72000000000003</v>
      </c>
      <c r="G86" s="8">
        <f t="shared" si="11"/>
        <v>9.4440500000000003E-11</v>
      </c>
      <c r="H86" s="1">
        <f t="shared" si="9"/>
        <v>8.5440800000000001E-11</v>
      </c>
      <c r="I86" s="46">
        <f t="shared" si="10"/>
        <v>8.9996999999999993E-12</v>
      </c>
      <c r="N86" s="7"/>
      <c r="O86" s="1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319.7</v>
      </c>
      <c r="B87" s="8">
        <v>8.2318999999999998E-11</v>
      </c>
      <c r="C87" s="8">
        <v>7.3875999999999999E-11</v>
      </c>
      <c r="D87" s="8">
        <v>8.4430000000000003E-12</v>
      </c>
      <c r="E87" s="1">
        <v>6.2790999999999998E-12</v>
      </c>
      <c r="F87" s="45">
        <f t="shared" si="8"/>
        <v>319.7</v>
      </c>
      <c r="G87" s="8">
        <f t="shared" si="11"/>
        <v>8.8598099999999998E-11</v>
      </c>
      <c r="H87" s="1">
        <f t="shared" si="9"/>
        <v>8.01551E-11</v>
      </c>
      <c r="I87" s="46">
        <f t="shared" si="10"/>
        <v>8.4430000000000003E-12</v>
      </c>
      <c r="N87" s="7"/>
      <c r="O87" s="1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378.69</v>
      </c>
      <c r="B88" s="8">
        <v>7.7226000000000006E-11</v>
      </c>
      <c r="C88" s="8">
        <v>6.9305999999999996E-11</v>
      </c>
      <c r="D88" s="8">
        <v>7.9207000000000004E-12</v>
      </c>
      <c r="E88" s="1">
        <v>5.8907999999999999E-12</v>
      </c>
      <c r="F88" s="45">
        <f t="shared" si="8"/>
        <v>378.69</v>
      </c>
      <c r="G88" s="8">
        <f t="shared" si="11"/>
        <v>8.3117499999999998E-11</v>
      </c>
      <c r="H88" s="1">
        <f t="shared" si="9"/>
        <v>7.5196799999999997E-11</v>
      </c>
      <c r="I88" s="46">
        <f t="shared" si="10"/>
        <v>7.9207000000000004E-12</v>
      </c>
      <c r="N88" s="7"/>
      <c r="O88" s="1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496.65</v>
      </c>
      <c r="B89" s="8">
        <v>6.7767999999999998E-11</v>
      </c>
      <c r="C89" s="8">
        <v>6.0817999999999999E-11</v>
      </c>
      <c r="D89" s="8">
        <v>6.9505999999999999E-12</v>
      </c>
      <c r="E89" s="1">
        <v>5.1694000000000002E-12</v>
      </c>
      <c r="F89" s="45">
        <f t="shared" si="8"/>
        <v>496.65</v>
      </c>
      <c r="G89" s="8">
        <f t="shared" si="11"/>
        <v>7.2937999999999992E-11</v>
      </c>
      <c r="H89" s="1">
        <f t="shared" si="9"/>
        <v>6.5987399999999995E-11</v>
      </c>
      <c r="I89" s="46">
        <f t="shared" si="10"/>
        <v>6.9505999999999999E-12</v>
      </c>
      <c r="N89" s="7"/>
      <c r="O89" s="1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614.62</v>
      </c>
      <c r="B90" s="8">
        <v>5.9396000000000001E-11</v>
      </c>
      <c r="C90" s="8">
        <v>5.3304000000000001E-11</v>
      </c>
      <c r="D90" s="8">
        <v>6.0918999999999999E-12</v>
      </c>
      <c r="E90" s="1">
        <v>4.5306999999999997E-12</v>
      </c>
      <c r="F90" s="45">
        <f t="shared" si="8"/>
        <v>614.62</v>
      </c>
      <c r="G90" s="8">
        <f t="shared" si="11"/>
        <v>6.3926600000000008E-11</v>
      </c>
      <c r="H90" s="1">
        <f t="shared" si="9"/>
        <v>5.7834700000000001E-11</v>
      </c>
      <c r="I90" s="46">
        <f t="shared" si="10"/>
        <v>6.0918999999999999E-12</v>
      </c>
      <c r="N90" s="7"/>
      <c r="O90" s="1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850.54</v>
      </c>
      <c r="B91" s="8">
        <v>4.5468000000000001E-11</v>
      </c>
      <c r="C91" s="8">
        <v>4.0803999999999999E-11</v>
      </c>
      <c r="D91" s="8">
        <v>4.6633999999999997E-12</v>
      </c>
      <c r="E91" s="1">
        <v>3.4683000000000001E-12</v>
      </c>
      <c r="F91" s="45">
        <f t="shared" si="8"/>
        <v>850.54</v>
      </c>
      <c r="G91" s="8">
        <f t="shared" si="11"/>
        <v>4.89357E-11</v>
      </c>
      <c r="H91" s="1">
        <f t="shared" si="9"/>
        <v>4.4272300000000002E-11</v>
      </c>
      <c r="I91" s="46">
        <f t="shared" si="10"/>
        <v>4.6633999999999997E-12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1086.5</v>
      </c>
      <c r="B92" s="8">
        <v>3.4728999999999997E-11</v>
      </c>
      <c r="C92" s="8">
        <v>3.1167000000000001E-11</v>
      </c>
      <c r="D92" s="8">
        <v>3.562E-12</v>
      </c>
      <c r="E92" s="1">
        <v>2.6492000000000001E-12</v>
      </c>
      <c r="F92" s="45">
        <f t="shared" si="8"/>
        <v>1086.5</v>
      </c>
      <c r="G92" s="8">
        <f t="shared" si="11"/>
        <v>3.7378200000000006E-11</v>
      </c>
      <c r="H92" s="1">
        <f t="shared" si="9"/>
        <v>3.3816200000000003E-11</v>
      </c>
      <c r="I92" s="46">
        <f t="shared" si="10"/>
        <v>3.562E-12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1322.4</v>
      </c>
      <c r="B93" s="8">
        <v>2.6501000000000001E-11</v>
      </c>
      <c r="C93" s="8">
        <v>2.3783000000000001E-11</v>
      </c>
      <c r="D93" s="8">
        <v>2.7179999999999999E-12</v>
      </c>
      <c r="E93" s="1">
        <v>2.0214999999999998E-12</v>
      </c>
      <c r="F93" s="45">
        <f t="shared" si="8"/>
        <v>1322.4</v>
      </c>
      <c r="G93" s="8">
        <f t="shared" si="11"/>
        <v>2.8522500000000001E-11</v>
      </c>
      <c r="H93" s="1">
        <f t="shared" si="9"/>
        <v>2.5804500000000001E-11</v>
      </c>
      <c r="I93" s="46">
        <f t="shared" si="10"/>
        <v>2.7179999999999999E-12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1534.7</v>
      </c>
      <c r="B94" s="8">
        <v>2.0787999999999999E-11</v>
      </c>
      <c r="C94" s="8">
        <v>1.8656000000000001E-11</v>
      </c>
      <c r="D94" s="8">
        <v>2.1321000000000002E-12</v>
      </c>
      <c r="E94" s="1">
        <v>1.5857E-12</v>
      </c>
      <c r="F94" s="45">
        <f t="shared" si="8"/>
        <v>1534.7</v>
      </c>
      <c r="G94" s="8">
        <f t="shared" si="11"/>
        <v>2.2373800000000002E-11</v>
      </c>
      <c r="H94" s="1">
        <f t="shared" si="9"/>
        <v>2.0241700000000002E-11</v>
      </c>
      <c r="I94" s="46">
        <f t="shared" si="10"/>
        <v>2.1321000000000002E-12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1747.1</v>
      </c>
      <c r="B95" s="8">
        <v>1.6309000000000001E-11</v>
      </c>
      <c r="C95" s="8">
        <v>1.4635999999999999E-11</v>
      </c>
      <c r="D95" s="8">
        <v>1.6726999999999999E-12</v>
      </c>
      <c r="E95" s="1">
        <v>1.2439999999999999E-12</v>
      </c>
      <c r="F95" s="45">
        <f t="shared" si="8"/>
        <v>1747.1</v>
      </c>
      <c r="G95" s="8">
        <f t="shared" si="11"/>
        <v>1.7552699999999998E-11</v>
      </c>
      <c r="H95" s="1">
        <f t="shared" si="9"/>
        <v>1.5879999999999998E-11</v>
      </c>
      <c r="I95" s="46">
        <f t="shared" si="10"/>
        <v>1.6726999999999999E-12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1959.4</v>
      </c>
      <c r="B96" s="8">
        <v>1.2795E-11</v>
      </c>
      <c r="C96" s="8">
        <v>1.1483E-11</v>
      </c>
      <c r="D96" s="8">
        <v>1.3123E-12</v>
      </c>
      <c r="E96" s="1">
        <v>9.7601999999999991E-13</v>
      </c>
      <c r="F96" s="45">
        <f t="shared" si="8"/>
        <v>1959.4</v>
      </c>
      <c r="G96" s="8">
        <f t="shared" si="11"/>
        <v>1.3771319999999999E-11</v>
      </c>
      <c r="H96" s="1">
        <f t="shared" si="9"/>
        <v>1.245902E-11</v>
      </c>
      <c r="I96" s="46">
        <f t="shared" si="10"/>
        <v>1.3123E-12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2171.8000000000002</v>
      </c>
      <c r="B97" s="8">
        <v>1.0039E-11</v>
      </c>
      <c r="C97" s="8">
        <v>9.0091000000000005E-12</v>
      </c>
      <c r="D97" s="8">
        <v>1.0296E-12</v>
      </c>
      <c r="E97" s="1">
        <v>7.6575999999999996E-13</v>
      </c>
      <c r="F97" s="45">
        <f t="shared" ref="F97:F121" si="12">A97</f>
        <v>2171.8000000000002</v>
      </c>
      <c r="G97" s="8">
        <f t="shared" si="11"/>
        <v>1.080446E-11</v>
      </c>
      <c r="H97" s="1">
        <f t="shared" si="9"/>
        <v>9.7748599999999998E-12</v>
      </c>
      <c r="I97" s="46">
        <f t="shared" si="10"/>
        <v>1.0296E-12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2384.1</v>
      </c>
      <c r="B98" s="8">
        <v>7.8761999999999999E-12</v>
      </c>
      <c r="C98" s="8">
        <v>7.0684000000000001E-12</v>
      </c>
      <c r="D98" s="8">
        <v>8.0781999999999998E-13</v>
      </c>
      <c r="E98" s="1">
        <v>6.0080000000000002E-13</v>
      </c>
      <c r="F98" s="45">
        <f t="shared" si="12"/>
        <v>2384.1</v>
      </c>
      <c r="G98" s="8">
        <f t="shared" si="11"/>
        <v>8.4770199999999998E-12</v>
      </c>
      <c r="H98" s="1">
        <f t="shared" si="9"/>
        <v>7.6691999999999997E-12</v>
      </c>
      <c r="I98" s="46">
        <f t="shared" si="10"/>
        <v>8.0781999999999998E-13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2596.4</v>
      </c>
      <c r="B99" s="8">
        <v>6.1796E-12</v>
      </c>
      <c r="C99" s="8">
        <v>5.5458000000000001E-12</v>
      </c>
      <c r="D99" s="8">
        <v>6.3379999999999999E-13</v>
      </c>
      <c r="E99" s="1">
        <v>4.7137999999999996E-13</v>
      </c>
      <c r="F99" s="45">
        <f t="shared" si="12"/>
        <v>2596.4</v>
      </c>
      <c r="G99" s="8">
        <f t="shared" si="11"/>
        <v>6.6509799999999996E-12</v>
      </c>
      <c r="H99" s="1">
        <f t="shared" si="9"/>
        <v>6.0171799999999996E-12</v>
      </c>
      <c r="I99" s="46">
        <f t="shared" si="10"/>
        <v>6.3379999999999999E-13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2808.8</v>
      </c>
      <c r="B100" s="8">
        <v>4.8484000000000002E-12</v>
      </c>
      <c r="C100" s="8">
        <v>4.3512000000000003E-12</v>
      </c>
      <c r="D100" s="8">
        <v>4.9727999999999998E-13</v>
      </c>
      <c r="E100" s="1">
        <v>3.6984000000000002E-13</v>
      </c>
      <c r="F100" s="45">
        <f t="shared" si="12"/>
        <v>2808.8</v>
      </c>
      <c r="G100" s="8">
        <f t="shared" si="11"/>
        <v>5.2183200000000003E-12</v>
      </c>
      <c r="H100" s="1">
        <f t="shared" si="9"/>
        <v>4.7210400000000002E-12</v>
      </c>
      <c r="I100" s="46">
        <f t="shared" si="10"/>
        <v>4.9727999999999998E-13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3021.1</v>
      </c>
      <c r="B101" s="8">
        <v>3.8040000000000004E-12</v>
      </c>
      <c r="C101" s="8">
        <v>3.4138999999999998E-12</v>
      </c>
      <c r="D101" s="8">
        <v>3.9015999999999998E-13</v>
      </c>
      <c r="E101" s="1">
        <v>2.9017000000000001E-13</v>
      </c>
      <c r="F101" s="45">
        <f t="shared" si="12"/>
        <v>3021.1</v>
      </c>
      <c r="G101" s="8">
        <f t="shared" si="11"/>
        <v>4.0942299999999996E-12</v>
      </c>
      <c r="H101" s="1">
        <f t="shared" si="9"/>
        <v>3.7040699999999996E-12</v>
      </c>
      <c r="I101" s="46">
        <f t="shared" si="10"/>
        <v>3.9015999999999998E-13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3233.4</v>
      </c>
      <c r="B102" s="8">
        <v>2.9846E-12</v>
      </c>
      <c r="C102" s="8">
        <v>2.6784999999999999E-12</v>
      </c>
      <c r="D102" s="8">
        <v>3.0611E-13</v>
      </c>
      <c r="E102" s="1">
        <v>2.2766999999999998E-13</v>
      </c>
      <c r="F102" s="45">
        <f t="shared" si="12"/>
        <v>3233.4</v>
      </c>
      <c r="G102" s="8">
        <f t="shared" si="11"/>
        <v>3.2122799999999997E-12</v>
      </c>
      <c r="H102" s="1">
        <f t="shared" si="9"/>
        <v>2.9061699999999999E-12</v>
      </c>
      <c r="I102" s="46">
        <f t="shared" si="10"/>
        <v>3.0611E-13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3445.8</v>
      </c>
      <c r="B103" s="8">
        <v>2.3417E-12</v>
      </c>
      <c r="C103" s="8">
        <v>2.1014999999999999E-12</v>
      </c>
      <c r="D103" s="8">
        <v>2.4016999999999998E-13</v>
      </c>
      <c r="E103" s="1">
        <v>1.7862999999999999E-13</v>
      </c>
      <c r="F103" s="45">
        <f t="shared" si="12"/>
        <v>3445.8</v>
      </c>
      <c r="G103" s="8">
        <f t="shared" si="11"/>
        <v>2.5203000000000001E-12</v>
      </c>
      <c r="H103" s="1">
        <f t="shared" si="9"/>
        <v>2.2801299999999999E-12</v>
      </c>
      <c r="I103" s="46">
        <f t="shared" si="10"/>
        <v>2.4016999999999998E-13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3658.1</v>
      </c>
      <c r="B104" s="8">
        <v>1.8372999999999999E-12</v>
      </c>
      <c r="C104" s="8">
        <v>1.6488E-12</v>
      </c>
      <c r="D104" s="8">
        <v>1.8844E-13</v>
      </c>
      <c r="E104" s="1">
        <v>1.4014999999999999E-13</v>
      </c>
      <c r="F104" s="45">
        <f t="shared" si="12"/>
        <v>3658.1</v>
      </c>
      <c r="G104" s="8">
        <f t="shared" si="11"/>
        <v>1.9773899999999999E-12</v>
      </c>
      <c r="H104" s="1">
        <f t="shared" si="9"/>
        <v>1.78895E-12</v>
      </c>
      <c r="I104" s="46">
        <f t="shared" si="10"/>
        <v>1.8844E-13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x14ac:dyDescent="0.3">
      <c r="A105" s="7">
        <v>3870.4</v>
      </c>
      <c r="B105" s="8">
        <v>1.4415000000000001E-12</v>
      </c>
      <c r="C105" s="8">
        <v>1.2937E-12</v>
      </c>
      <c r="D105" s="8">
        <v>1.4785E-13</v>
      </c>
      <c r="E105" s="1">
        <v>1.0996000000000001E-13</v>
      </c>
      <c r="F105" s="45">
        <f t="shared" si="12"/>
        <v>3870.4</v>
      </c>
      <c r="G105" s="8">
        <f t="shared" si="11"/>
        <v>1.5515100000000001E-12</v>
      </c>
      <c r="H105" s="1">
        <f t="shared" si="9"/>
        <v>1.4036600000000001E-12</v>
      </c>
      <c r="I105" s="46">
        <f t="shared" si="10"/>
        <v>1.4785E-13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x14ac:dyDescent="0.3">
      <c r="A106" s="7">
        <v>4082.8</v>
      </c>
      <c r="B106" s="8">
        <v>1.1309999999999999E-12</v>
      </c>
      <c r="C106" s="8">
        <v>1.015E-12</v>
      </c>
      <c r="D106" s="8">
        <v>1.1600000000000001E-13</v>
      </c>
      <c r="E106" s="1">
        <v>8.6272000000000001E-14</v>
      </c>
      <c r="F106" s="45">
        <f t="shared" si="12"/>
        <v>4082.8</v>
      </c>
      <c r="G106" s="8">
        <f t="shared" si="11"/>
        <v>1.2172720000000001E-12</v>
      </c>
      <c r="H106" s="1">
        <f t="shared" si="9"/>
        <v>1.101272E-12</v>
      </c>
      <c r="I106" s="46">
        <f t="shared" si="10"/>
        <v>1.1600000000000001E-13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7.25" thickBot="1" x14ac:dyDescent="0.35">
      <c r="A107" s="7">
        <v>4295.1000000000004</v>
      </c>
      <c r="B107" s="8">
        <v>8.8735999999999997E-13</v>
      </c>
      <c r="C107" s="8">
        <v>7.9635000000000003E-13</v>
      </c>
      <c r="D107" s="8">
        <v>9.1012000000000001E-14</v>
      </c>
      <c r="E107" s="1">
        <v>6.7687999999999994E-14</v>
      </c>
      <c r="F107" s="47">
        <f t="shared" si="12"/>
        <v>4295.1000000000004</v>
      </c>
      <c r="G107" s="48">
        <f t="shared" si="11"/>
        <v>9.5505000000000006E-13</v>
      </c>
      <c r="H107" s="49">
        <f t="shared" si="9"/>
        <v>8.6403800000000008E-13</v>
      </c>
      <c r="I107" s="50">
        <f t="shared" si="10"/>
        <v>9.1012000000000001E-14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7.25" thickBot="1" x14ac:dyDescent="0.35">
      <c r="A108">
        <v>4320</v>
      </c>
      <c r="B108" s="8">
        <v>8.6224999999999999E-13</v>
      </c>
      <c r="C108" s="8">
        <v>7.7381000000000001E-13</v>
      </c>
      <c r="D108" s="8">
        <v>8.8436000000000001E-14</v>
      </c>
      <c r="E108" s="8">
        <v>6.5772999999999997E-14</v>
      </c>
      <c r="F108" s="47">
        <f t="shared" si="12"/>
        <v>4320</v>
      </c>
      <c r="G108" s="48">
        <f t="shared" si="11"/>
        <v>9.2801900000000015E-13</v>
      </c>
      <c r="H108" s="49">
        <f t="shared" si="9"/>
        <v>8.3958300000000006E-13</v>
      </c>
      <c r="I108" s="50">
        <f t="shared" si="10"/>
        <v>8.8436000000000001E-14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7.25" thickBot="1" x14ac:dyDescent="0.35">
      <c r="A109">
        <v>2933.4</v>
      </c>
      <c r="B109" s="8">
        <v>2.4289999999999998E-12</v>
      </c>
      <c r="C109" s="8">
        <v>2.1799E-12</v>
      </c>
      <c r="D109" s="8">
        <v>2.4913000000000002E-13</v>
      </c>
      <c r="E109" s="8">
        <v>1.8542000000000001E-13</v>
      </c>
      <c r="F109" s="47">
        <f t="shared" si="12"/>
        <v>2933.4</v>
      </c>
      <c r="G109" s="48">
        <f t="shared" ref="G109:G121" si="13">H109+I109</f>
        <v>2.61445E-12</v>
      </c>
      <c r="H109" s="49">
        <f t="shared" ref="H109:H121" si="14">C109+E109</f>
        <v>2.3653199999999999E-12</v>
      </c>
      <c r="I109" s="50">
        <f t="shared" ref="I109:I121" si="15">D109</f>
        <v>2.4913000000000002E-13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7.25" thickBot="1" x14ac:dyDescent="0.35">
      <c r="A110">
        <v>3051.3</v>
      </c>
      <c r="B110" s="8">
        <v>2.0769000000000002E-12</v>
      </c>
      <c r="C110" s="8">
        <v>1.8639000000000002E-12</v>
      </c>
      <c r="D110" s="8">
        <v>2.1300999999999999E-13</v>
      </c>
      <c r="E110" s="8">
        <v>1.5854E-13</v>
      </c>
      <c r="F110" s="47">
        <f t="shared" si="12"/>
        <v>3051.3</v>
      </c>
      <c r="G110" s="48">
        <f t="shared" si="13"/>
        <v>2.2354500000000001E-12</v>
      </c>
      <c r="H110" s="49">
        <f t="shared" si="14"/>
        <v>2.02244E-12</v>
      </c>
      <c r="I110" s="50">
        <f t="shared" si="15"/>
        <v>2.1300999999999999E-13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7.25" thickBot="1" x14ac:dyDescent="0.35">
      <c r="A111">
        <v>3169.3</v>
      </c>
      <c r="B111" s="8">
        <v>1.7758E-12</v>
      </c>
      <c r="C111" s="8">
        <v>1.5937E-12</v>
      </c>
      <c r="D111" s="8">
        <v>1.8213E-13</v>
      </c>
      <c r="E111" s="8">
        <v>1.3556E-13</v>
      </c>
      <c r="F111" s="47">
        <f t="shared" si="12"/>
        <v>3169.3</v>
      </c>
      <c r="G111" s="48">
        <f t="shared" si="13"/>
        <v>1.91139E-12</v>
      </c>
      <c r="H111" s="49">
        <f t="shared" si="14"/>
        <v>1.72926E-12</v>
      </c>
      <c r="I111" s="50">
        <f t="shared" si="15"/>
        <v>1.8213E-13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7.25" thickBot="1" x14ac:dyDescent="0.35">
      <c r="A112">
        <v>3287.3</v>
      </c>
      <c r="B112" s="8">
        <v>1.5184000000000001E-12</v>
      </c>
      <c r="C112" s="8">
        <v>1.3626000000000001E-12</v>
      </c>
      <c r="D112" s="8">
        <v>1.5573000000000001E-13</v>
      </c>
      <c r="E112" s="8">
        <v>1.1591000000000001E-13</v>
      </c>
      <c r="F112" s="47">
        <f t="shared" si="12"/>
        <v>3287.3</v>
      </c>
      <c r="G112" s="48">
        <f t="shared" si="13"/>
        <v>1.6342400000000001E-12</v>
      </c>
      <c r="H112" s="49">
        <f t="shared" si="14"/>
        <v>1.4785100000000001E-12</v>
      </c>
      <c r="I112" s="50">
        <f t="shared" si="15"/>
        <v>1.5573000000000001E-13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7.25" thickBot="1" x14ac:dyDescent="0.35">
      <c r="A113">
        <v>3405.2</v>
      </c>
      <c r="B113" s="8">
        <v>1.2983E-12</v>
      </c>
      <c r="C113" s="8">
        <v>1.1651E-12</v>
      </c>
      <c r="D113" s="8">
        <v>1.3316000000000001E-13</v>
      </c>
      <c r="E113" s="8">
        <v>9.9107000000000004E-14</v>
      </c>
      <c r="F113" s="47">
        <f t="shared" si="12"/>
        <v>3405.2</v>
      </c>
      <c r="G113" s="48">
        <f t="shared" si="13"/>
        <v>1.397367E-12</v>
      </c>
      <c r="H113" s="49">
        <f t="shared" si="14"/>
        <v>1.264207E-12</v>
      </c>
      <c r="I113" s="50">
        <f t="shared" si="15"/>
        <v>1.3316000000000001E-13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7.25" thickBot="1" x14ac:dyDescent="0.35">
      <c r="A114">
        <v>3523.2</v>
      </c>
      <c r="B114" s="8">
        <v>1.1101000000000001E-12</v>
      </c>
      <c r="C114" s="8">
        <v>9.9621999999999997E-13</v>
      </c>
      <c r="D114" s="8">
        <v>1.1384999999999999E-13</v>
      </c>
      <c r="E114" s="8">
        <v>8.474E-14</v>
      </c>
      <c r="F114" s="47">
        <f t="shared" si="12"/>
        <v>3523.2</v>
      </c>
      <c r="G114" s="48">
        <f t="shared" si="13"/>
        <v>1.1948099999999998E-12</v>
      </c>
      <c r="H114" s="49">
        <f t="shared" si="14"/>
        <v>1.0809599999999999E-12</v>
      </c>
      <c r="I114" s="50">
        <f t="shared" si="15"/>
        <v>1.1384999999999999E-13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7.25" thickBot="1" x14ac:dyDescent="0.35">
      <c r="A115">
        <v>3641.1</v>
      </c>
      <c r="B115" s="8">
        <v>9.4915000000000005E-13</v>
      </c>
      <c r="C115" s="8">
        <v>8.5179999999999997E-13</v>
      </c>
      <c r="D115" s="8">
        <v>9.7349E-14</v>
      </c>
      <c r="E115" s="8">
        <v>7.2456000000000002E-14</v>
      </c>
      <c r="F115" s="47">
        <f t="shared" si="12"/>
        <v>3641.1</v>
      </c>
      <c r="G115" s="48">
        <f t="shared" si="13"/>
        <v>1.0216050000000001E-12</v>
      </c>
      <c r="H115" s="49">
        <f t="shared" si="14"/>
        <v>9.2425600000000006E-13</v>
      </c>
      <c r="I115" s="50">
        <f t="shared" si="15"/>
        <v>9.7349E-14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7.25" thickBot="1" x14ac:dyDescent="0.35">
      <c r="A116">
        <v>3759.1</v>
      </c>
      <c r="B116" s="8">
        <v>8.1156000000000003E-13</v>
      </c>
      <c r="C116" s="8">
        <v>7.2831999999999997E-13</v>
      </c>
      <c r="D116" s="8">
        <v>8.3237000000000004E-14</v>
      </c>
      <c r="E116" s="8">
        <v>6.1951999999999997E-14</v>
      </c>
      <c r="F116" s="47">
        <f t="shared" si="12"/>
        <v>3759.1</v>
      </c>
      <c r="G116" s="48">
        <f t="shared" si="13"/>
        <v>8.7350900000000001E-13</v>
      </c>
      <c r="H116" s="49">
        <f t="shared" si="14"/>
        <v>7.9027199999999997E-13</v>
      </c>
      <c r="I116" s="50">
        <f t="shared" si="15"/>
        <v>8.3237000000000004E-14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7.25" thickBot="1" x14ac:dyDescent="0.35">
      <c r="A117">
        <v>3877.1</v>
      </c>
      <c r="B117" s="8">
        <v>6.9391000000000002E-13</v>
      </c>
      <c r="C117" s="8">
        <v>6.2274000000000003E-13</v>
      </c>
      <c r="D117" s="8">
        <v>7.1170999999999998E-14</v>
      </c>
      <c r="E117" s="8">
        <v>5.2970999999999997E-14</v>
      </c>
      <c r="F117" s="47">
        <f t="shared" si="12"/>
        <v>3877.1</v>
      </c>
      <c r="G117" s="48">
        <f t="shared" si="13"/>
        <v>7.4688199999999999E-13</v>
      </c>
      <c r="H117" s="49">
        <f t="shared" si="14"/>
        <v>6.7571100000000003E-13</v>
      </c>
      <c r="I117" s="50">
        <f t="shared" si="15"/>
        <v>7.1170999999999998E-14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7.25" thickBot="1" x14ac:dyDescent="0.35">
      <c r="A118">
        <v>3995</v>
      </c>
      <c r="B118" s="8">
        <v>5.9332000000000004E-13</v>
      </c>
      <c r="C118" s="8">
        <v>5.3246999999999995E-13</v>
      </c>
      <c r="D118" s="8">
        <v>6.0853000000000003E-14</v>
      </c>
      <c r="E118" s="8">
        <v>4.5292999999999998E-14</v>
      </c>
      <c r="F118" s="47">
        <f t="shared" si="12"/>
        <v>3995</v>
      </c>
      <c r="G118" s="48">
        <f t="shared" si="13"/>
        <v>6.3861599999999997E-13</v>
      </c>
      <c r="H118" s="49">
        <f t="shared" si="14"/>
        <v>5.7776299999999997E-13</v>
      </c>
      <c r="I118" s="50">
        <f t="shared" si="15"/>
        <v>6.0853000000000003E-14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7.25" thickBot="1" x14ac:dyDescent="0.35">
      <c r="A119">
        <v>4113</v>
      </c>
      <c r="B119" s="8">
        <v>5.0730999999999999E-13</v>
      </c>
      <c r="C119" s="8">
        <v>4.5527999999999995E-13</v>
      </c>
      <c r="D119" s="8">
        <v>5.2032E-14</v>
      </c>
      <c r="E119" s="8">
        <v>3.8727E-14</v>
      </c>
      <c r="F119" s="47">
        <f t="shared" si="12"/>
        <v>4113</v>
      </c>
      <c r="G119" s="48">
        <f t="shared" si="13"/>
        <v>5.4603899999999989E-13</v>
      </c>
      <c r="H119" s="49">
        <f t="shared" si="14"/>
        <v>4.9400699999999992E-13</v>
      </c>
      <c r="I119" s="50">
        <f t="shared" si="15"/>
        <v>5.2032E-14</v>
      </c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7.25" thickBot="1" x14ac:dyDescent="0.35">
      <c r="A120">
        <v>4231</v>
      </c>
      <c r="B120" s="8">
        <v>4.3376999999999998E-13</v>
      </c>
      <c r="C120" s="8">
        <v>3.8927999999999998E-13</v>
      </c>
      <c r="D120" s="8">
        <v>4.4488999999999999E-14</v>
      </c>
      <c r="E120" s="8">
        <v>3.3113E-14</v>
      </c>
      <c r="F120" s="47">
        <f t="shared" si="12"/>
        <v>4231</v>
      </c>
      <c r="G120" s="48">
        <f t="shared" si="13"/>
        <v>4.6688199999999997E-13</v>
      </c>
      <c r="H120" s="49">
        <f t="shared" si="14"/>
        <v>4.22393E-13</v>
      </c>
      <c r="I120" s="50">
        <f t="shared" si="15"/>
        <v>4.4488999999999999E-14</v>
      </c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7.25" thickBot="1" x14ac:dyDescent="0.35">
      <c r="A121">
        <v>4320</v>
      </c>
      <c r="B121" s="8">
        <v>3.8532999999999998E-13</v>
      </c>
      <c r="C121" s="8">
        <v>3.4581000000000002E-13</v>
      </c>
      <c r="D121" s="8">
        <v>3.9521000000000001E-14</v>
      </c>
      <c r="E121" s="8">
        <v>2.9415E-14</v>
      </c>
      <c r="F121" s="47">
        <f t="shared" si="12"/>
        <v>4320</v>
      </c>
      <c r="G121" s="48">
        <f t="shared" si="13"/>
        <v>4.1474599999999999E-13</v>
      </c>
      <c r="H121" s="49">
        <f t="shared" si="14"/>
        <v>3.75225E-13</v>
      </c>
      <c r="I121" s="50">
        <f t="shared" si="15"/>
        <v>3.9521000000000001E-14</v>
      </c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4509-3D08-4464-9CAD-378D38A5B3D6}">
  <dimension ref="A1:BM602"/>
  <sheetViews>
    <sheetView topLeftCell="G1" zoomScale="55" zoomScaleNormal="55" workbookViewId="0">
      <selection activeCell="AI47" sqref="AI47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20" max="20" width="11" bestFit="1" customWidth="1"/>
    <col min="21" max="21" width="9.5" bestFit="1" customWidth="1"/>
    <col min="22" max="22" width="13.375" bestFit="1" customWidth="1"/>
    <col min="28" max="28" width="19.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1.2735937737092E-10</v>
      </c>
      <c r="B1" s="7" t="s">
        <v>0</v>
      </c>
      <c r="C1" s="8" t="s">
        <v>125</v>
      </c>
      <c r="D1" s="8" t="s">
        <v>126</v>
      </c>
      <c r="E1" s="8" t="s">
        <v>126</v>
      </c>
      <c r="F1" t="s">
        <v>126</v>
      </c>
      <c r="G1" t="s">
        <v>126</v>
      </c>
      <c r="H1" t="s">
        <v>127</v>
      </c>
      <c r="I1" t="s">
        <v>128</v>
      </c>
      <c r="J1" t="s">
        <v>129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1.2710218700000001E-10</v>
      </c>
      <c r="D2" s="1">
        <v>1.270823E-10</v>
      </c>
      <c r="E2" s="1">
        <v>1.9887000000000001E-14</v>
      </c>
      <c r="F2" s="1">
        <v>2.5718999999999999E-13</v>
      </c>
      <c r="G2" s="1">
        <v>3.7092E-19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4" si="0">(H2+F2)/$A$1*100</f>
        <v>0.20194037165474102</v>
      </c>
      <c r="R2" s="6">
        <f t="shared" ref="R2:R44" si="1">(G2+I2)/$A$1*100</f>
        <v>2.9123886097506335E-7</v>
      </c>
      <c r="S2" s="10">
        <f t="shared" ref="S2:S44" si="2">J2/$A$1*100</f>
        <v>0</v>
      </c>
      <c r="T2" s="6">
        <f t="shared" ref="T2:V17" si="3">C2/$A$1*100</f>
        <v>99.798059337106409</v>
      </c>
      <c r="U2" s="6">
        <f t="shared" si="3"/>
        <v>99.7824444680559</v>
      </c>
      <c r="V2" s="6">
        <f t="shared" si="3"/>
        <v>1.561486905049899E-2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2.2759999999999998</v>
      </c>
      <c r="C3" s="8">
        <v>1.252408E-10</v>
      </c>
      <c r="D3" s="1">
        <v>1.044258E-10</v>
      </c>
      <c r="E3" s="1">
        <v>2.0815000000000001E-11</v>
      </c>
      <c r="F3" s="1">
        <v>1.8239999999999999E-12</v>
      </c>
      <c r="G3" s="1">
        <v>3.4387E-16</v>
      </c>
      <c r="H3" s="1">
        <v>3.7626999999999997E-14</v>
      </c>
      <c r="I3" s="1">
        <v>5.9063000000000005E-14</v>
      </c>
      <c r="J3" s="1">
        <v>1.637E-13</v>
      </c>
      <c r="K3" s="1"/>
      <c r="L3" s="1"/>
      <c r="N3" s="7"/>
      <c r="O3">
        <f t="shared" ref="O3:O44" si="4">B3/60</f>
        <v>3.7933333333333333E-2</v>
      </c>
      <c r="P3" s="6">
        <f t="shared" ref="P3:P44" si="5">(SUM(F3:J3)+C3)/$A$1*100</f>
        <v>99.973426769493827</v>
      </c>
      <c r="Q3" s="6">
        <f t="shared" si="0"/>
        <v>1.4617117627532197</v>
      </c>
      <c r="R3" s="6">
        <f t="shared" si="1"/>
        <v>4.6645069429779099E-2</v>
      </c>
      <c r="S3" s="10">
        <f t="shared" si="2"/>
        <v>0.12853391982534743</v>
      </c>
      <c r="T3" s="6">
        <f t="shared" si="3"/>
        <v>98.336536017485471</v>
      </c>
      <c r="U3" s="6">
        <f t="shared" si="3"/>
        <v>81.993020188746286</v>
      </c>
      <c r="V3" s="6">
        <f t="shared" si="3"/>
        <v>16.3435158287392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4.3239999999999998</v>
      </c>
      <c r="C4" s="8">
        <v>1.2457079999999999E-10</v>
      </c>
      <c r="D4" s="1">
        <v>1.039898E-10</v>
      </c>
      <c r="E4" s="1">
        <v>2.0581E-11</v>
      </c>
      <c r="F4" s="1">
        <v>2.1111000000000002E-12</v>
      </c>
      <c r="G4" s="1">
        <v>6.6389000000000003E-16</v>
      </c>
      <c r="H4" s="1">
        <v>1.1106E-13</v>
      </c>
      <c r="I4" s="1">
        <v>2.1520000000000001E-13</v>
      </c>
      <c r="J4" s="1">
        <v>3.0875000000000002E-13</v>
      </c>
      <c r="K4" s="1"/>
      <c r="L4" s="1"/>
      <c r="N4" s="7"/>
      <c r="O4">
        <f t="shared" si="4"/>
        <v>7.2066666666666668E-2</v>
      </c>
      <c r="P4" s="6">
        <f t="shared" si="5"/>
        <v>99.967176754642679</v>
      </c>
      <c r="Q4" s="6">
        <f t="shared" si="0"/>
        <v>1.7447949619981313</v>
      </c>
      <c r="R4" s="6">
        <f t="shared" si="1"/>
        <v>0.16949194826174477</v>
      </c>
      <c r="S4" s="10">
        <f t="shared" si="2"/>
        <v>0.2424242379112769</v>
      </c>
      <c r="T4" s="6">
        <f t="shared" si="3"/>
        <v>97.810465606471524</v>
      </c>
      <c r="U4" s="6">
        <f t="shared" si="3"/>
        <v>81.650681831728249</v>
      </c>
      <c r="V4" s="6">
        <f t="shared" si="3"/>
        <v>16.159783774743286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7.3959999999999999</v>
      </c>
      <c r="C5" s="8">
        <v>1.2363080000000001E-10</v>
      </c>
      <c r="D5" s="1">
        <v>1.0330280000000001E-10</v>
      </c>
      <c r="E5" s="1">
        <v>2.0328000000000001E-11</v>
      </c>
      <c r="F5" s="1">
        <v>2.3363000000000001E-12</v>
      </c>
      <c r="G5" s="1">
        <v>9.6185000000000004E-16</v>
      </c>
      <c r="H5" s="1">
        <v>2.3737999999999999E-13</v>
      </c>
      <c r="I5" s="1">
        <v>5.9407000000000001E-13</v>
      </c>
      <c r="J5" s="1">
        <v>5.2378000000000002E-13</v>
      </c>
      <c r="K5" s="1"/>
      <c r="L5" s="1"/>
      <c r="N5" s="7"/>
      <c r="O5">
        <f t="shared" si="4"/>
        <v>0.12326666666666666</v>
      </c>
      <c r="P5" s="6">
        <f t="shared" si="5"/>
        <v>99.971666380862644</v>
      </c>
      <c r="Q5" s="6">
        <f t="shared" si="0"/>
        <v>2.0208013364453281</v>
      </c>
      <c r="R5" s="6">
        <f t="shared" si="1"/>
        <v>0.46720694014311642</v>
      </c>
      <c r="S5" s="10">
        <f t="shared" si="2"/>
        <v>0.41126143265803594</v>
      </c>
      <c r="T5" s="6">
        <f t="shared" si="3"/>
        <v>97.072396671616161</v>
      </c>
      <c r="U5" s="6">
        <f t="shared" si="3"/>
        <v>81.111263365509487</v>
      </c>
      <c r="V5" s="6">
        <f t="shared" si="3"/>
        <v>15.961133306106676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9.2392000000000003</v>
      </c>
      <c r="C6" s="8">
        <v>1.2308829999999999E-10</v>
      </c>
      <c r="D6" s="1">
        <v>1.0287629999999999E-10</v>
      </c>
      <c r="E6" s="1">
        <v>2.0212000000000002E-11</v>
      </c>
      <c r="F6" s="1">
        <v>2.401E-12</v>
      </c>
      <c r="G6" s="1">
        <v>1.0471999999999999E-15</v>
      </c>
      <c r="H6" s="1">
        <v>3.1883999999999998E-13</v>
      </c>
      <c r="I6" s="1">
        <v>8.7521999999999998E-13</v>
      </c>
      <c r="J6" s="1">
        <v>6.5164000000000004E-13</v>
      </c>
      <c r="K6" s="1"/>
      <c r="L6" s="1"/>
      <c r="N6" s="7"/>
      <c r="O6">
        <f t="shared" si="4"/>
        <v>0.15398666666666666</v>
      </c>
      <c r="P6" s="6">
        <f t="shared" si="5"/>
        <v>99.981681622977732</v>
      </c>
      <c r="Q6" s="6">
        <f t="shared" si="0"/>
        <v>2.1355632040181609</v>
      </c>
      <c r="R6" s="6">
        <f t="shared" si="1"/>
        <v>0.68802723292841594</v>
      </c>
      <c r="S6" s="10">
        <f t="shared" si="2"/>
        <v>0.51165451139272711</v>
      </c>
      <c r="T6" s="6">
        <f t="shared" si="3"/>
        <v>96.646436674638437</v>
      </c>
      <c r="U6" s="6">
        <f t="shared" si="3"/>
        <v>80.776384215811788</v>
      </c>
      <c r="V6" s="6">
        <f t="shared" si="3"/>
        <v>15.870052458826651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0.1</v>
      </c>
      <c r="AH6" s="1">
        <v>0.5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11.082000000000001</v>
      </c>
      <c r="C7" s="8">
        <v>1.2255390000000001E-10</v>
      </c>
      <c r="D7" s="1">
        <v>1.024449E-10</v>
      </c>
      <c r="E7" s="1">
        <v>2.0109E-11</v>
      </c>
      <c r="F7" s="1">
        <v>2.4355999999999998E-12</v>
      </c>
      <c r="G7" s="1">
        <v>1.0876999999999999E-15</v>
      </c>
      <c r="H7" s="1">
        <v>4.0239000000000002E-13</v>
      </c>
      <c r="I7" s="1">
        <v>1.1741E-12</v>
      </c>
      <c r="J7" s="1">
        <v>7.7879999999999997E-13</v>
      </c>
      <c r="K7" s="1"/>
      <c r="L7" s="1"/>
      <c r="N7" s="7"/>
      <c r="O7">
        <f t="shared" si="4"/>
        <v>0.1847</v>
      </c>
      <c r="P7" s="6">
        <f t="shared" si="5"/>
        <v>99.989400332194876</v>
      </c>
      <c r="Q7" s="6">
        <f t="shared" si="0"/>
        <v>2.2283321876917395</v>
      </c>
      <c r="R7" s="6">
        <f t="shared" si="1"/>
        <v>0.92273354680228759</v>
      </c>
      <c r="S7" s="10">
        <f t="shared" si="2"/>
        <v>0.61149796432486614</v>
      </c>
      <c r="T7" s="6">
        <f t="shared" si="3"/>
        <v>96.226836633375996</v>
      </c>
      <c r="U7" s="6">
        <f t="shared" si="3"/>
        <v>80.437657685496248</v>
      </c>
      <c r="V7" s="6">
        <f t="shared" si="3"/>
        <v>15.789178947879728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158</v>
      </c>
      <c r="AH7" s="1" t="s">
        <v>159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12.926</v>
      </c>
      <c r="C8" s="8">
        <v>1.2202920000000002E-10</v>
      </c>
      <c r="D8" s="1">
        <v>1.0201420000000001E-10</v>
      </c>
      <c r="E8" s="1">
        <v>2.0015000000000001E-11</v>
      </c>
      <c r="F8" s="1">
        <v>2.4520000000000001E-12</v>
      </c>
      <c r="G8" s="1">
        <v>1.1037E-15</v>
      </c>
      <c r="H8" s="1">
        <v>4.8713999999999998E-13</v>
      </c>
      <c r="I8" s="1">
        <v>1.4813E-12</v>
      </c>
      <c r="J8" s="1">
        <v>9.0533999999999996E-13</v>
      </c>
      <c r="K8" s="1"/>
      <c r="L8" s="1"/>
      <c r="M8" s="4"/>
      <c r="N8" s="7"/>
      <c r="O8">
        <f t="shared" si="4"/>
        <v>0.21543333333333334</v>
      </c>
      <c r="P8" s="6">
        <f t="shared" si="5"/>
        <v>99.997413876396095</v>
      </c>
      <c r="Q8" s="6">
        <f t="shared" si="0"/>
        <v>2.3077531161604865</v>
      </c>
      <c r="R8" s="6">
        <f t="shared" si="1"/>
        <v>1.1639533190262576</v>
      </c>
      <c r="S8" s="10">
        <f t="shared" si="2"/>
        <v>0.71085460583188786</v>
      </c>
      <c r="T8" s="6">
        <f t="shared" si="3"/>
        <v>95.814852835377465</v>
      </c>
      <c r="U8" s="6">
        <f t="shared" si="3"/>
        <v>80.099480780983271</v>
      </c>
      <c r="V8" s="6">
        <f t="shared" si="3"/>
        <v>15.715372054394191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1.45</v>
      </c>
      <c r="AH8" s="1">
        <v>0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14.769</v>
      </c>
      <c r="C9" s="8">
        <v>1.2151029999999999E-10</v>
      </c>
      <c r="D9" s="1">
        <v>1.015853E-10</v>
      </c>
      <c r="E9" s="1">
        <v>1.9924999999999998E-11</v>
      </c>
      <c r="F9" s="1">
        <v>2.4575999999999999E-12</v>
      </c>
      <c r="G9" s="1">
        <v>1.1085999999999999E-15</v>
      </c>
      <c r="H9" s="1">
        <v>5.7250999999999995E-13</v>
      </c>
      <c r="I9" s="1">
        <v>1.7916999999999999E-12</v>
      </c>
      <c r="J9" s="1">
        <v>1.0313000000000001E-12</v>
      </c>
      <c r="K9" s="1"/>
      <c r="L9" s="1"/>
      <c r="N9" s="7"/>
      <c r="O9">
        <f t="shared" si="4"/>
        <v>0.24615000000000001</v>
      </c>
      <c r="P9" s="6">
        <f t="shared" si="5"/>
        <v>100.00403678879886</v>
      </c>
      <c r="Q9" s="6">
        <f t="shared" si="0"/>
        <v>2.3791809151006933</v>
      </c>
      <c r="R9" s="6">
        <f t="shared" si="1"/>
        <v>1.4076769508527389</v>
      </c>
      <c r="S9" s="10">
        <f t="shared" si="2"/>
        <v>0.80975584310250959</v>
      </c>
      <c r="T9" s="6">
        <f t="shared" si="3"/>
        <v>95.407423079742912</v>
      </c>
      <c r="U9" s="6">
        <f t="shared" si="3"/>
        <v>79.762717199962523</v>
      </c>
      <c r="V9" s="6">
        <f t="shared" si="3"/>
        <v>15.644705879780377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6.82</v>
      </c>
      <c r="AH9" s="1">
        <v>0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16.611999999999998</v>
      </c>
      <c r="C10" s="8">
        <v>1.2099729999999999E-10</v>
      </c>
      <c r="D10" s="1">
        <v>1.0115829999999999E-10</v>
      </c>
      <c r="E10" s="1">
        <v>1.9839000000000001E-11</v>
      </c>
      <c r="F10" s="1">
        <v>2.4566999999999998E-12</v>
      </c>
      <c r="G10" s="1">
        <v>1.1071999999999999E-15</v>
      </c>
      <c r="H10" s="1">
        <v>6.5815999999999999E-13</v>
      </c>
      <c r="I10" s="1">
        <v>2.1028999999999999E-12</v>
      </c>
      <c r="J10" s="1">
        <v>1.1566999999999999E-12</v>
      </c>
      <c r="K10" s="1"/>
      <c r="L10" s="1"/>
      <c r="N10" s="7"/>
      <c r="O10">
        <f t="shared" si="4"/>
        <v>0.27686666666666665</v>
      </c>
      <c r="P10" s="6">
        <f t="shared" si="5"/>
        <v>100.01059194019197</v>
      </c>
      <c r="Q10" s="6">
        <f t="shared" si="0"/>
        <v>2.4457248961953679</v>
      </c>
      <c r="R10" s="6">
        <f t="shared" si="1"/>
        <v>1.6520237798213426</v>
      </c>
      <c r="S10" s="10">
        <f t="shared" si="2"/>
        <v>0.90821737973108974</v>
      </c>
      <c r="T10" s="6">
        <f t="shared" si="3"/>
        <v>95.004625884444167</v>
      </c>
      <c r="U10" s="6">
        <f t="shared" si="3"/>
        <v>79.427445460405877</v>
      </c>
      <c r="V10" s="6">
        <f t="shared" si="3"/>
        <v>15.577180424038289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1.5E-5</v>
      </c>
      <c r="AH10" s="37">
        <v>1.5E-5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20.297999999999998</v>
      </c>
      <c r="C11" s="8">
        <v>1.199815E-10</v>
      </c>
      <c r="D11" s="1">
        <v>1.003115E-10</v>
      </c>
      <c r="E11" s="1">
        <v>1.9670000000000002E-11</v>
      </c>
      <c r="F11" s="1">
        <v>2.4468E-12</v>
      </c>
      <c r="G11" s="1">
        <v>1.0895000000000001E-15</v>
      </c>
      <c r="H11" s="1">
        <v>8.2944999999999996E-13</v>
      </c>
      <c r="I11" s="1">
        <v>2.7235999999999998E-12</v>
      </c>
      <c r="J11" s="1">
        <v>1.4059000000000001E-12</v>
      </c>
      <c r="K11" s="1"/>
      <c r="L11" s="1"/>
      <c r="N11" s="7"/>
      <c r="O11">
        <f t="shared" si="4"/>
        <v>0.33829999999999999</v>
      </c>
      <c r="P11" s="6">
        <f t="shared" si="5"/>
        <v>100.02274047634172</v>
      </c>
      <c r="Q11" s="6">
        <f t="shared" si="0"/>
        <v>2.572445050872294</v>
      </c>
      <c r="R11" s="6">
        <f t="shared" si="1"/>
        <v>2.1393709330602686</v>
      </c>
      <c r="S11" s="10">
        <f t="shared" si="2"/>
        <v>1.1038841654395601</v>
      </c>
      <c r="T11" s="6">
        <f t="shared" si="3"/>
        <v>94.207040326969604</v>
      </c>
      <c r="U11" s="6">
        <f t="shared" si="3"/>
        <v>78.762555275261704</v>
      </c>
      <c r="V11" s="6">
        <f t="shared" si="3"/>
        <v>15.444485051707908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27.670999999999999</v>
      </c>
      <c r="C12" s="8">
        <v>1.1800399999999999E-10</v>
      </c>
      <c r="D12" s="1">
        <v>9.8659000000000003E-11</v>
      </c>
      <c r="E12" s="1">
        <v>1.9344999999999999E-11</v>
      </c>
      <c r="F12" s="1">
        <v>2.4098000000000001E-12</v>
      </c>
      <c r="G12" s="1">
        <v>1.0728999999999999E-15</v>
      </c>
      <c r="H12" s="1">
        <v>1.1696E-12</v>
      </c>
      <c r="I12" s="1">
        <v>3.9514999999999999E-12</v>
      </c>
      <c r="J12" s="1">
        <v>1.8981000000000002E-12</v>
      </c>
      <c r="K12" s="1"/>
      <c r="L12" s="1"/>
      <c r="N12" s="7"/>
      <c r="O12">
        <f t="shared" si="4"/>
        <v>0.46118333333333333</v>
      </c>
      <c r="P12" s="6">
        <f t="shared" si="5"/>
        <v>100.05864941445375</v>
      </c>
      <c r="Q12" s="6">
        <f t="shared" si="0"/>
        <v>2.8104722823631558</v>
      </c>
      <c r="R12" s="6">
        <f t="shared" si="1"/>
        <v>3.1034800747247462</v>
      </c>
      <c r="S12" s="10">
        <f t="shared" si="2"/>
        <v>1.4903496226053268</v>
      </c>
      <c r="T12" s="6">
        <f t="shared" si="3"/>
        <v>92.654347434760524</v>
      </c>
      <c r="U12" s="6">
        <f t="shared" si="3"/>
        <v>77.465045791380291</v>
      </c>
      <c r="V12" s="6">
        <f t="shared" si="3"/>
        <v>15.189301643380245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35.043999999999997</v>
      </c>
      <c r="C13" s="8">
        <v>1.1606110000000001E-10</v>
      </c>
      <c r="D13" s="1">
        <v>9.703510000000001E-11</v>
      </c>
      <c r="E13" s="1">
        <v>1.9025999999999999E-11</v>
      </c>
      <c r="F13" s="1">
        <v>2.3714000000000002E-12</v>
      </c>
      <c r="G13" s="1">
        <v>1.0666E-15</v>
      </c>
      <c r="H13" s="1">
        <v>1.5049E-12</v>
      </c>
      <c r="I13" s="1">
        <v>5.1590000000000001E-12</v>
      </c>
      <c r="J13" s="1">
        <v>2.3822000000000001E-12</v>
      </c>
      <c r="K13" s="1"/>
      <c r="L13" s="1"/>
      <c r="N13" s="7"/>
      <c r="O13">
        <f t="shared" si="4"/>
        <v>0.58406666666666662</v>
      </c>
      <c r="P13" s="6">
        <f t="shared" si="5"/>
        <v>100.09444866295922</v>
      </c>
      <c r="Q13" s="6">
        <f t="shared" si="0"/>
        <v>3.0435921406169477</v>
      </c>
      <c r="R13" s="6">
        <f t="shared" si="1"/>
        <v>4.0515796374945223</v>
      </c>
      <c r="S13" s="10">
        <f t="shared" si="2"/>
        <v>1.8704551240558502</v>
      </c>
      <c r="T13" s="6">
        <f t="shared" si="3"/>
        <v>91.128821760791894</v>
      </c>
      <c r="U13" s="6">
        <f t="shared" si="3"/>
        <v>76.18999244743172</v>
      </c>
      <c r="V13" s="6">
        <f t="shared" si="3"/>
        <v>14.938829313360172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49.79</v>
      </c>
      <c r="C14" s="8">
        <v>1.123006E-10</v>
      </c>
      <c r="D14" s="1">
        <v>9.3890599999999996E-11</v>
      </c>
      <c r="E14" s="1">
        <v>1.8410000000000001E-11</v>
      </c>
      <c r="F14" s="1">
        <v>2.2954000000000001E-12</v>
      </c>
      <c r="G14" s="1">
        <v>1.0326000000000001E-15</v>
      </c>
      <c r="H14" s="1">
        <v>2.1602E-12</v>
      </c>
      <c r="I14" s="1">
        <v>7.5156999999999996E-12</v>
      </c>
      <c r="J14" s="1">
        <v>3.3267E-12</v>
      </c>
      <c r="K14" s="1"/>
      <c r="L14" s="1"/>
      <c r="N14" s="7"/>
      <c r="O14">
        <f t="shared" si="4"/>
        <v>0.82983333333333331</v>
      </c>
      <c r="P14" s="6">
        <f t="shared" si="5"/>
        <v>100.18864353300054</v>
      </c>
      <c r="Q14" s="6">
        <f t="shared" si="0"/>
        <v>3.498446751214527</v>
      </c>
      <c r="R14" s="6">
        <f t="shared" si="1"/>
        <v>5.9019859826327146</v>
      </c>
      <c r="S14" s="10">
        <f t="shared" si="2"/>
        <v>2.6120573676419263</v>
      </c>
      <c r="T14" s="6">
        <f t="shared" si="3"/>
        <v>88.176153431511381</v>
      </c>
      <c r="U14" s="6">
        <f t="shared" si="3"/>
        <v>73.720994824396854</v>
      </c>
      <c r="V14" s="6">
        <f t="shared" si="3"/>
        <v>14.455158607114518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79.281000000000006</v>
      </c>
      <c r="C15" s="8">
        <v>1.052506E-10</v>
      </c>
      <c r="D15" s="1">
        <v>8.7996599999999995E-11</v>
      </c>
      <c r="E15" s="1">
        <v>1.7254000000000001E-11</v>
      </c>
      <c r="F15" s="1">
        <v>2.1515999999999998E-12</v>
      </c>
      <c r="G15" s="1">
        <v>9.6929999999999999E-16</v>
      </c>
      <c r="H15" s="1">
        <v>3.4101000000000002E-12</v>
      </c>
      <c r="I15" s="1">
        <v>1.2006E-11</v>
      </c>
      <c r="J15" s="1">
        <v>5.1263000000000001E-12</v>
      </c>
      <c r="K15" s="1"/>
      <c r="L15" s="1"/>
      <c r="N15" s="7"/>
      <c r="O15">
        <f t="shared" si="4"/>
        <v>1.32135</v>
      </c>
      <c r="P15" s="6">
        <f t="shared" si="5"/>
        <v>100.46026601352862</v>
      </c>
      <c r="Q15" s="6">
        <f t="shared" si="0"/>
        <v>4.3669340372182948</v>
      </c>
      <c r="R15" s="6">
        <f t="shared" si="1"/>
        <v>9.4276287681833111</v>
      </c>
      <c r="S15" s="10">
        <f t="shared" si="2"/>
        <v>4.0250667880310242</v>
      </c>
      <c r="T15" s="6">
        <f t="shared" si="3"/>
        <v>82.640636420095987</v>
      </c>
      <c r="U15" s="6">
        <f t="shared" si="3"/>
        <v>69.09314556691001</v>
      </c>
      <c r="V15" s="6">
        <f t="shared" si="3"/>
        <v>13.547490853185979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</v>
      </c>
      <c r="AH15" s="1">
        <v>0.1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108.77</v>
      </c>
      <c r="C16" s="8">
        <v>9.8641999999999999E-11</v>
      </c>
      <c r="D16" s="1">
        <v>8.2470999999999996E-11</v>
      </c>
      <c r="E16" s="1">
        <v>1.6171E-11</v>
      </c>
      <c r="F16" s="1">
        <v>2.0165000000000001E-12</v>
      </c>
      <c r="G16" s="1">
        <v>9.0791999999999997E-16</v>
      </c>
      <c r="H16" s="1">
        <v>4.5819999999999997E-12</v>
      </c>
      <c r="I16" s="1">
        <v>1.6214999999999999E-11</v>
      </c>
      <c r="J16" s="1">
        <v>6.8128999999999998E-12</v>
      </c>
      <c r="K16" s="1"/>
      <c r="L16" s="1"/>
      <c r="N16" s="7"/>
      <c r="O16">
        <f t="shared" si="4"/>
        <v>1.8128333333333333</v>
      </c>
      <c r="P16" s="6">
        <f t="shared" si="5"/>
        <v>100.71445901186368</v>
      </c>
      <c r="Q16" s="6">
        <f t="shared" si="0"/>
        <v>5.1810083687694259</v>
      </c>
      <c r="R16" s="6">
        <f t="shared" si="1"/>
        <v>12.732402006624902</v>
      </c>
      <c r="S16" s="10">
        <f t="shared" si="2"/>
        <v>5.3493509002938886</v>
      </c>
      <c r="T16" s="6">
        <f t="shared" si="3"/>
        <v>77.451697736175447</v>
      </c>
      <c r="U16" s="6">
        <f t="shared" si="3"/>
        <v>64.75455651750903</v>
      </c>
      <c r="V16" s="6">
        <f t="shared" si="3"/>
        <v>12.697141218666422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138.26</v>
      </c>
      <c r="C17" s="8">
        <v>9.2448300000000002E-11</v>
      </c>
      <c r="D17" s="1">
        <v>7.7293300000000004E-11</v>
      </c>
      <c r="E17" s="1">
        <v>1.5155000000000002E-11</v>
      </c>
      <c r="F17" s="1">
        <v>1.8898999999999999E-12</v>
      </c>
      <c r="G17" s="1">
        <v>8.5135999999999999E-16</v>
      </c>
      <c r="H17" s="1">
        <v>5.6805000000000003E-12</v>
      </c>
      <c r="I17" s="1">
        <v>2.0158999999999999E-11</v>
      </c>
      <c r="J17" s="1">
        <v>8.3936000000000001E-12</v>
      </c>
      <c r="K17" s="1"/>
      <c r="L17" s="1"/>
      <c r="N17" s="7"/>
      <c r="O17">
        <f t="shared" si="4"/>
        <v>2.3043333333333331</v>
      </c>
      <c r="P17" s="6">
        <f t="shared" si="5"/>
        <v>100.95224553866021</v>
      </c>
      <c r="Q17" s="6">
        <f t="shared" si="0"/>
        <v>5.9441245366268198</v>
      </c>
      <c r="R17" s="6">
        <f t="shared" si="1"/>
        <v>15.829106404380951</v>
      </c>
      <c r="S17" s="10">
        <f t="shared" si="2"/>
        <v>6.5904844804278326</v>
      </c>
      <c r="T17" s="6">
        <f t="shared" si="3"/>
        <v>72.588530117224607</v>
      </c>
      <c r="U17" s="6">
        <f t="shared" si="3"/>
        <v>60.689131491976347</v>
      </c>
      <c r="V17" s="6">
        <f t="shared" si="3"/>
        <v>11.899398625248264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197.25</v>
      </c>
      <c r="C18" s="8">
        <v>8.0959200000000001E-11</v>
      </c>
      <c r="D18" s="1">
        <v>6.76872E-11</v>
      </c>
      <c r="E18" s="1">
        <v>1.3272000000000001E-11</v>
      </c>
      <c r="F18" s="1">
        <v>1.6551000000000001E-12</v>
      </c>
      <c r="G18" s="1">
        <v>7.3396E-16</v>
      </c>
      <c r="H18" s="1">
        <v>7.6743000000000001E-12</v>
      </c>
      <c r="I18" s="1">
        <v>2.7315000000000001E-11</v>
      </c>
      <c r="J18" s="1">
        <v>1.1263E-11</v>
      </c>
      <c r="K18" s="1"/>
      <c r="L18" s="1"/>
      <c r="N18" s="7"/>
      <c r="O18">
        <f t="shared" si="4"/>
        <v>3.2875000000000001</v>
      </c>
      <c r="P18" s="6">
        <f t="shared" si="5"/>
        <v>101.18401692926642</v>
      </c>
      <c r="Q18" s="6">
        <f t="shared" si="0"/>
        <v>7.3252556604679082</v>
      </c>
      <c r="R18" s="6">
        <f t="shared" si="1"/>
        <v>21.447760285798172</v>
      </c>
      <c r="S18" s="10">
        <f t="shared" si="2"/>
        <v>8.8434791630597935</v>
      </c>
      <c r="T18" s="6">
        <f t="shared" ref="T18:V43" si="6">C18/$A$1*100</f>
        <v>63.567521819940552</v>
      </c>
      <c r="U18" s="6">
        <f t="shared" si="6"/>
        <v>53.146616603556851</v>
      </c>
      <c r="V18" s="6">
        <f t="shared" si="6"/>
        <v>10.420905216383698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256.23</v>
      </c>
      <c r="C19" s="8">
        <v>7.0808100000000001E-11</v>
      </c>
      <c r="D19" s="1">
        <v>5.9200100000000006E-11</v>
      </c>
      <c r="E19" s="1">
        <v>1.1608E-11</v>
      </c>
      <c r="F19" s="1">
        <v>1.4475E-12</v>
      </c>
      <c r="G19" s="1">
        <v>6.3625000000000003E-16</v>
      </c>
      <c r="H19" s="1">
        <v>9.4192999999999997E-12</v>
      </c>
      <c r="I19" s="1">
        <v>3.3573E-11</v>
      </c>
      <c r="J19" s="1">
        <v>1.3773E-11</v>
      </c>
      <c r="K19" s="1"/>
      <c r="L19" s="1"/>
      <c r="N19" s="7"/>
      <c r="O19">
        <f t="shared" si="4"/>
        <v>4.2705000000000002</v>
      </c>
      <c r="P19" s="6">
        <f t="shared" si="5"/>
        <v>101.30509343983299</v>
      </c>
      <c r="Q19" s="6">
        <f t="shared" si="0"/>
        <v>8.5323909588154283</v>
      </c>
      <c r="R19" s="6">
        <f t="shared" si="1"/>
        <v>26.361338240701759</v>
      </c>
      <c r="S19" s="10">
        <f t="shared" si="2"/>
        <v>10.814280255067258</v>
      </c>
      <c r="T19" s="6">
        <f t="shared" si="6"/>
        <v>55.597083985248531</v>
      </c>
      <c r="U19" s="6">
        <f t="shared" si="6"/>
        <v>46.482717819502454</v>
      </c>
      <c r="V19" s="6">
        <f t="shared" si="6"/>
        <v>9.1143661657460786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374.19</v>
      </c>
      <c r="C20" s="8">
        <v>5.3965800000000001E-11</v>
      </c>
      <c r="D20" s="1">
        <v>4.5118999999999999E-11</v>
      </c>
      <c r="E20" s="1">
        <v>8.8467999999999998E-12</v>
      </c>
      <c r="F20" s="1">
        <v>1.1032E-12</v>
      </c>
      <c r="G20" s="1">
        <v>4.8097999999999998E-16</v>
      </c>
      <c r="H20" s="1">
        <v>1.2289E-11</v>
      </c>
      <c r="I20" s="1">
        <v>4.3862000000000002E-11</v>
      </c>
      <c r="J20" s="1">
        <v>1.7901999999999999E-11</v>
      </c>
      <c r="K20" s="1"/>
      <c r="L20" s="1"/>
      <c r="N20" s="7"/>
      <c r="O20">
        <f t="shared" si="4"/>
        <v>6.2365000000000004</v>
      </c>
      <c r="P20" s="6">
        <f t="shared" si="5"/>
        <v>101.38435319446104</v>
      </c>
      <c r="Q20" s="6">
        <f t="shared" si="0"/>
        <v>10.515283818479034</v>
      </c>
      <c r="R20" s="6">
        <f t="shared" si="1"/>
        <v>34.439930443641707</v>
      </c>
      <c r="S20" s="10">
        <f t="shared" si="2"/>
        <v>14.056287310405436</v>
      </c>
      <c r="T20" s="6">
        <f t="shared" si="6"/>
        <v>42.372851621934849</v>
      </c>
      <c r="U20" s="6">
        <f t="shared" si="6"/>
        <v>35.42652369334057</v>
      </c>
      <c r="V20" s="6">
        <f t="shared" si="6"/>
        <v>6.9463279285942798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492.16</v>
      </c>
      <c r="C21" s="8">
        <v>4.1035199999999996E-11</v>
      </c>
      <c r="D21" s="1">
        <v>3.4308199999999997E-11</v>
      </c>
      <c r="E21" s="1">
        <v>6.7269999999999999E-12</v>
      </c>
      <c r="F21" s="1">
        <v>8.3888999999999997E-13</v>
      </c>
      <c r="G21" s="1">
        <v>3.6707999999999999E-16</v>
      </c>
      <c r="H21" s="1">
        <v>1.4472999999999999E-11</v>
      </c>
      <c r="I21" s="1">
        <v>5.1698999999999998E-11</v>
      </c>
      <c r="J21" s="1">
        <v>2.1045E-11</v>
      </c>
      <c r="K21" s="1"/>
      <c r="L21" s="1"/>
      <c r="N21" s="7"/>
      <c r="O21">
        <f t="shared" si="4"/>
        <v>8.2026666666666674</v>
      </c>
      <c r="P21" s="6">
        <f t="shared" si="5"/>
        <v>101.3599938574099</v>
      </c>
      <c r="Q21" s="6">
        <f t="shared" si="0"/>
        <v>12.022585471194496</v>
      </c>
      <c r="R21" s="6">
        <f t="shared" si="1"/>
        <v>40.593294461099127</v>
      </c>
      <c r="S21" s="10">
        <f t="shared" si="2"/>
        <v>16.524107163863388</v>
      </c>
      <c r="T21" s="6">
        <f t="shared" si="6"/>
        <v>32.220006761252883</v>
      </c>
      <c r="U21" s="6">
        <f t="shared" si="6"/>
        <v>26.93810279872929</v>
      </c>
      <c r="V21" s="6">
        <f t="shared" si="6"/>
        <v>5.2819039625235931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610.12</v>
      </c>
      <c r="C22" s="8">
        <v>3.1170599999999998E-11</v>
      </c>
      <c r="D22" s="1">
        <v>2.6060799999999998E-11</v>
      </c>
      <c r="E22" s="1">
        <v>5.1097999999999999E-12</v>
      </c>
      <c r="F22" s="1">
        <v>6.3721999999999998E-13</v>
      </c>
      <c r="G22" s="1">
        <v>2.7950999999999998E-16</v>
      </c>
      <c r="H22" s="1">
        <v>1.6133999999999999E-11</v>
      </c>
      <c r="I22" s="1">
        <v>5.7655E-11</v>
      </c>
      <c r="J22" s="1">
        <v>2.3435000000000001E-11</v>
      </c>
      <c r="K22" s="1"/>
      <c r="L22" s="1"/>
      <c r="N22" s="7"/>
      <c r="O22">
        <f t="shared" si="4"/>
        <v>10.168666666666667</v>
      </c>
      <c r="P22" s="6">
        <f t="shared" si="5"/>
        <v>101.3133874973402</v>
      </c>
      <c r="Q22" s="6">
        <f t="shared" si="0"/>
        <v>13.168421788963123</v>
      </c>
      <c r="R22" s="6">
        <f t="shared" si="1"/>
        <v>45.269756102909817</v>
      </c>
      <c r="S22" s="10">
        <f t="shared" si="2"/>
        <v>18.400686689719102</v>
      </c>
      <c r="T22" s="6">
        <f t="shared" si="6"/>
        <v>24.474522915748164</v>
      </c>
      <c r="U22" s="6">
        <f t="shared" si="6"/>
        <v>20.462411593063006</v>
      </c>
      <c r="V22" s="6">
        <f t="shared" si="6"/>
        <v>4.0121113226851577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168</v>
      </c>
      <c r="AH22" s="1" t="s">
        <v>169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716.29</v>
      </c>
      <c r="C23" s="8">
        <v>2.4351299999999999E-11</v>
      </c>
      <c r="D23" s="1">
        <v>2.0359400000000001E-11</v>
      </c>
      <c r="E23" s="1">
        <v>3.9919000000000004E-12</v>
      </c>
      <c r="F23" s="1">
        <v>4.9780999999999998E-13</v>
      </c>
      <c r="G23" s="1">
        <v>2.1797999999999999E-16</v>
      </c>
      <c r="H23" s="1">
        <v>1.7283000000000001E-11</v>
      </c>
      <c r="I23" s="1">
        <v>6.1775999999999997E-11</v>
      </c>
      <c r="J23" s="1">
        <v>2.5088E-11</v>
      </c>
      <c r="K23" s="1"/>
      <c r="L23" s="1"/>
      <c r="N23" s="7"/>
      <c r="O23">
        <f t="shared" si="4"/>
        <v>11.938166666666666</v>
      </c>
      <c r="P23" s="6">
        <f t="shared" si="5"/>
        <v>101.28530041750483</v>
      </c>
      <c r="Q23" s="6">
        <f t="shared" si="0"/>
        <v>13.961131380389347</v>
      </c>
      <c r="R23" s="6">
        <f t="shared" si="1"/>
        <v>48.505433408396499</v>
      </c>
      <c r="S23" s="10">
        <f t="shared" si="2"/>
        <v>19.69858876345948</v>
      </c>
      <c r="T23" s="6">
        <f t="shared" si="6"/>
        <v>19.120146865259517</v>
      </c>
      <c r="U23" s="6">
        <f t="shared" si="6"/>
        <v>15.985787949249719</v>
      </c>
      <c r="V23" s="6">
        <f t="shared" si="6"/>
        <v>3.1343589160098015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166</v>
      </c>
      <c r="AH23" s="1" t="s">
        <v>169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822.46</v>
      </c>
      <c r="C24" s="8">
        <v>1.9026099999999999E-11</v>
      </c>
      <c r="D24" s="1">
        <v>1.59071E-11</v>
      </c>
      <c r="E24" s="1">
        <v>3.1189999999999999E-12</v>
      </c>
      <c r="F24" s="1">
        <v>3.8895999999999999E-13</v>
      </c>
      <c r="G24" s="1">
        <v>1.6988000000000001E-16</v>
      </c>
      <c r="H24" s="1">
        <v>1.8181000000000001E-11</v>
      </c>
      <c r="I24" s="1">
        <v>6.4995000000000004E-11</v>
      </c>
      <c r="J24" s="1">
        <v>2.638E-11</v>
      </c>
      <c r="K24" s="1"/>
      <c r="L24" s="1"/>
      <c r="N24" s="7"/>
      <c r="O24">
        <f t="shared" si="4"/>
        <v>13.707666666666666</v>
      </c>
      <c r="P24" s="6">
        <f t="shared" si="5"/>
        <v>101.26559389842622</v>
      </c>
      <c r="Q24" s="6">
        <f t="shared" si="0"/>
        <v>14.580755954794803</v>
      </c>
      <c r="R24" s="6">
        <f t="shared" si="1"/>
        <v>51.032889153272798</v>
      </c>
      <c r="S24" s="10">
        <f t="shared" si="2"/>
        <v>20.713040959026667</v>
      </c>
      <c r="T24" s="6">
        <f t="shared" si="6"/>
        <v>14.938907831331965</v>
      </c>
      <c r="U24" s="6">
        <f t="shared" si="6"/>
        <v>12.489932291104363</v>
      </c>
      <c r="V24" s="6">
        <f t="shared" si="6"/>
        <v>2.4489755402276034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928.63</v>
      </c>
      <c r="C25" s="8">
        <v>1.486676E-11</v>
      </c>
      <c r="D25" s="1">
        <v>1.242966E-11</v>
      </c>
      <c r="E25" s="1">
        <v>2.4371000000000002E-12</v>
      </c>
      <c r="F25" s="1">
        <v>3.0391999999999998E-13</v>
      </c>
      <c r="G25" s="1">
        <v>1.3291E-16</v>
      </c>
      <c r="H25" s="1">
        <v>1.8882000000000001E-11</v>
      </c>
      <c r="I25" s="1">
        <v>6.7511999999999999E-11</v>
      </c>
      <c r="J25" s="1">
        <v>2.7389E-11</v>
      </c>
      <c r="K25" s="1"/>
      <c r="L25" s="1"/>
      <c r="N25" s="7"/>
      <c r="O25">
        <f t="shared" si="4"/>
        <v>15.477166666666667</v>
      </c>
      <c r="P25" s="6">
        <f t="shared" si="5"/>
        <v>101.25191844683444</v>
      </c>
      <c r="Q25" s="6">
        <f t="shared" si="0"/>
        <v>15.064395253851742</v>
      </c>
      <c r="R25" s="6">
        <f t="shared" si="1"/>
        <v>53.009157475211609</v>
      </c>
      <c r="S25" s="10">
        <f t="shared" si="2"/>
        <v>21.505287294419308</v>
      </c>
      <c r="T25" s="6">
        <f t="shared" si="6"/>
        <v>11.673078423351756</v>
      </c>
      <c r="U25" s="6">
        <f t="shared" si="6"/>
        <v>9.7595169327814784</v>
      </c>
      <c r="V25" s="6">
        <f t="shared" si="6"/>
        <v>1.9135614905702765</v>
      </c>
      <c r="X25" s="5"/>
      <c r="Y25" s="5"/>
      <c r="Z25" s="5"/>
      <c r="AA25" s="5"/>
      <c r="AB25" s="5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1034.8</v>
      </c>
      <c r="C26" s="8">
        <v>1.1616640000000002E-11</v>
      </c>
      <c r="D26" s="1">
        <v>9.7123400000000014E-12</v>
      </c>
      <c r="E26" s="1">
        <v>1.9042999999999999E-12</v>
      </c>
      <c r="F26" s="1">
        <v>2.3748000000000001E-13</v>
      </c>
      <c r="G26" s="1">
        <v>1.0414E-16</v>
      </c>
      <c r="H26" s="1">
        <v>1.9430000000000001E-11</v>
      </c>
      <c r="I26" s="1">
        <v>6.9477999999999998E-11</v>
      </c>
      <c r="J26" s="1">
        <v>2.8177999999999999E-11</v>
      </c>
      <c r="K26" s="1"/>
      <c r="L26" s="1"/>
      <c r="N26" s="7"/>
      <c r="O26">
        <f t="shared" si="4"/>
        <v>17.246666666666666</v>
      </c>
      <c r="P26" s="6">
        <f t="shared" si="5"/>
        <v>101.24124882023879</v>
      </c>
      <c r="Q26" s="6">
        <f t="shared" si="0"/>
        <v>15.44250639881872</v>
      </c>
      <c r="R26" s="6">
        <f t="shared" si="1"/>
        <v>54.552798211043985</v>
      </c>
      <c r="S26" s="10">
        <f t="shared" si="2"/>
        <v>22.124794091867077</v>
      </c>
      <c r="T26" s="6">
        <f t="shared" si="6"/>
        <v>9.1211501185090071</v>
      </c>
      <c r="U26" s="6">
        <f t="shared" si="6"/>
        <v>7.6259323816525058</v>
      </c>
      <c r="V26" s="6">
        <f t="shared" si="6"/>
        <v>1.4952177368565003</v>
      </c>
      <c r="X26" s="5"/>
      <c r="Y26" s="5"/>
      <c r="Z26" s="5"/>
      <c r="AA26" s="5"/>
      <c r="AB26" s="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1141</v>
      </c>
      <c r="C27" s="8">
        <v>9.0772200000000004E-12</v>
      </c>
      <c r="D27" s="1">
        <v>7.5891200000000007E-12</v>
      </c>
      <c r="E27" s="1">
        <v>1.4881000000000001E-12</v>
      </c>
      <c r="F27" s="1">
        <v>1.8557000000000001E-13</v>
      </c>
      <c r="G27" s="1">
        <v>8.1212000000000002E-17</v>
      </c>
      <c r="H27" s="1">
        <v>1.9857999999999999E-11</v>
      </c>
      <c r="I27" s="1">
        <v>7.1015E-11</v>
      </c>
      <c r="J27" s="1">
        <v>2.8794E-11</v>
      </c>
      <c r="K27" s="1"/>
      <c r="L27" s="1"/>
      <c r="N27" s="7"/>
      <c r="O27">
        <f t="shared" si="4"/>
        <v>19.016666666666666</v>
      </c>
      <c r="P27" s="6">
        <f t="shared" si="5"/>
        <v>101.23311991115199</v>
      </c>
      <c r="Q27" s="6">
        <f t="shared" si="0"/>
        <v>15.737804638935485</v>
      </c>
      <c r="R27" s="6">
        <f t="shared" si="1"/>
        <v>55.759601434903757</v>
      </c>
      <c r="S27" s="10">
        <f t="shared" si="2"/>
        <v>22.608464798112731</v>
      </c>
      <c r="T27" s="6">
        <f t="shared" si="6"/>
        <v>7.1272490392000023</v>
      </c>
      <c r="U27" s="6">
        <f t="shared" si="6"/>
        <v>5.9588231009464927</v>
      </c>
      <c r="V27" s="6">
        <f t="shared" si="6"/>
        <v>1.1684259382535096</v>
      </c>
      <c r="X27" s="5"/>
      <c r="Y27" s="5"/>
      <c r="Z27" s="5"/>
      <c r="AA27" s="5"/>
      <c r="AB27" s="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1247.0999999999999</v>
      </c>
      <c r="C28" s="8">
        <v>7.0929999999999998E-12</v>
      </c>
      <c r="D28" s="1">
        <v>5.9301999999999999E-12</v>
      </c>
      <c r="E28" s="1">
        <v>1.1628000000000001E-12</v>
      </c>
      <c r="F28" s="1">
        <v>1.4499999999999999E-13</v>
      </c>
      <c r="G28" s="1">
        <v>6.3295000000000001E-17</v>
      </c>
      <c r="H28" s="1">
        <v>2.0193E-11</v>
      </c>
      <c r="I28" s="1">
        <v>7.2215000000000006E-11</v>
      </c>
      <c r="J28" s="1">
        <v>2.9274999999999997E-11</v>
      </c>
      <c r="K28" s="1"/>
      <c r="L28" s="1"/>
      <c r="N28" s="7"/>
      <c r="O28">
        <f t="shared" si="4"/>
        <v>20.785</v>
      </c>
      <c r="P28" s="6">
        <f t="shared" si="5"/>
        <v>101.22620411336636</v>
      </c>
      <c r="Q28" s="6">
        <f t="shared" si="0"/>
        <v>15.968985103285988</v>
      </c>
      <c r="R28" s="6">
        <f t="shared" si="1"/>
        <v>56.701803028356267</v>
      </c>
      <c r="S28" s="10">
        <f t="shared" si="2"/>
        <v>22.986136242437667</v>
      </c>
      <c r="T28" s="6">
        <f t="shared" si="6"/>
        <v>5.5692797392864346</v>
      </c>
      <c r="U28" s="6">
        <f t="shared" si="6"/>
        <v>4.6562727632759637</v>
      </c>
      <c r="V28" s="6">
        <f t="shared" si="6"/>
        <v>0.91300697601047043</v>
      </c>
      <c r="X28" s="5"/>
      <c r="Y28" s="5"/>
      <c r="Z28" s="5"/>
      <c r="AA28" s="5"/>
      <c r="AB28" s="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1353.3</v>
      </c>
      <c r="C29" s="8">
        <v>5.5424700000000003E-12</v>
      </c>
      <c r="D29" s="1">
        <v>4.63388E-12</v>
      </c>
      <c r="E29" s="1">
        <v>9.0858999999999997E-13</v>
      </c>
      <c r="F29" s="1">
        <v>1.1331E-13</v>
      </c>
      <c r="G29" s="1">
        <v>4.9569999999999997E-17</v>
      </c>
      <c r="H29" s="1">
        <v>2.0454999999999999E-11</v>
      </c>
      <c r="I29" s="1">
        <v>7.3153000000000001E-11</v>
      </c>
      <c r="J29" s="1">
        <v>2.9652E-11</v>
      </c>
      <c r="K29" s="1"/>
      <c r="L29" s="1"/>
      <c r="N29" s="7"/>
      <c r="O29">
        <f t="shared" si="4"/>
        <v>22.555</v>
      </c>
      <c r="P29" s="6">
        <f t="shared" si="5"/>
        <v>101.22209469864714</v>
      </c>
      <c r="Q29" s="6">
        <f t="shared" si="0"/>
        <v>16.149819844122739</v>
      </c>
      <c r="R29" s="6">
        <f t="shared" si="1"/>
        <v>57.438290827184154</v>
      </c>
      <c r="S29" s="10">
        <f t="shared" si="2"/>
        <v>23.282148996097753</v>
      </c>
      <c r="T29" s="6">
        <f t="shared" si="6"/>
        <v>4.3518350312424774</v>
      </c>
      <c r="U29" s="6">
        <f t="shared" si="6"/>
        <v>3.6384285913273118</v>
      </c>
      <c r="V29" s="6">
        <f t="shared" si="6"/>
        <v>0.7134064399151645</v>
      </c>
      <c r="X29" s="5"/>
      <c r="Y29" s="68" t="s">
        <v>135</v>
      </c>
      <c r="Z29" s="69"/>
      <c r="AA29" s="70"/>
      <c r="AB29" s="71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1459.5</v>
      </c>
      <c r="C30" s="8">
        <v>4.3308700000000001E-12</v>
      </c>
      <c r="D30" s="1">
        <v>3.6209000000000001E-12</v>
      </c>
      <c r="E30" s="1">
        <v>7.0996999999999995E-13</v>
      </c>
      <c r="F30" s="1">
        <v>8.8537000000000004E-14</v>
      </c>
      <c r="G30" s="1">
        <v>3.8812E-17</v>
      </c>
      <c r="H30" s="1">
        <v>2.0659000000000001E-11</v>
      </c>
      <c r="I30" s="1">
        <v>7.3885999999999994E-11</v>
      </c>
      <c r="J30" s="1">
        <v>2.9946000000000002E-11</v>
      </c>
      <c r="K30" s="1"/>
      <c r="L30" s="1"/>
      <c r="N30" s="7"/>
      <c r="O30">
        <f t="shared" si="4"/>
        <v>24.324999999999999</v>
      </c>
      <c r="P30" s="6">
        <f t="shared" si="5"/>
        <v>101.21786748105927</v>
      </c>
      <c r="Q30" s="6">
        <f t="shared" si="0"/>
        <v>16.290545249428405</v>
      </c>
      <c r="R30" s="6">
        <f t="shared" si="1"/>
        <v>58.013819113464358</v>
      </c>
      <c r="S30" s="10">
        <f t="shared" si="2"/>
        <v>23.512991833169547</v>
      </c>
      <c r="T30" s="6">
        <f t="shared" si="6"/>
        <v>3.4005112849969605</v>
      </c>
      <c r="U30" s="6">
        <f t="shared" si="6"/>
        <v>2.8430572406573034</v>
      </c>
      <c r="V30" s="6">
        <f t="shared" si="6"/>
        <v>0.5574540443396574</v>
      </c>
      <c r="X30" s="5"/>
      <c r="Y30" s="72"/>
      <c r="Z30" s="73"/>
      <c r="AA30" s="74"/>
      <c r="AB30" s="7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1565.6</v>
      </c>
      <c r="C31" s="8">
        <v>3.38413E-12</v>
      </c>
      <c r="D31" s="1">
        <v>2.8293500000000003E-12</v>
      </c>
      <c r="E31" s="1">
        <v>5.5477999999999998E-13</v>
      </c>
      <c r="F31" s="1">
        <v>6.9183000000000004E-14</v>
      </c>
      <c r="G31" s="1">
        <v>3.0253000000000001E-17</v>
      </c>
      <c r="H31" s="1">
        <v>2.0819E-11</v>
      </c>
      <c r="I31" s="1">
        <v>7.4458999999999998E-11</v>
      </c>
      <c r="J31" s="1">
        <v>3.0175000000000002E-11</v>
      </c>
      <c r="K31" s="1"/>
      <c r="L31" s="1"/>
      <c r="N31" s="7"/>
      <c r="O31">
        <f t="shared" si="4"/>
        <v>26.09333333333333</v>
      </c>
      <c r="P31" s="6">
        <f t="shared" si="5"/>
        <v>101.21464623494087</v>
      </c>
      <c r="Q31" s="6">
        <f t="shared" si="0"/>
        <v>16.400977636036561</v>
      </c>
      <c r="R31" s="6">
        <f t="shared" si="1"/>
        <v>58.463720371485785</v>
      </c>
      <c r="S31" s="10">
        <f t="shared" si="2"/>
        <v>23.692797988575805</v>
      </c>
      <c r="T31" s="6">
        <f t="shared" si="6"/>
        <v>2.6571502388427186</v>
      </c>
      <c r="U31" s="6">
        <f t="shared" si="6"/>
        <v>2.221548234928814</v>
      </c>
      <c r="V31" s="6">
        <f t="shared" si="6"/>
        <v>0.43560200391390502</v>
      </c>
      <c r="X31" s="5"/>
      <c r="Y31" s="76" t="s">
        <v>143</v>
      </c>
      <c r="Z31" s="73"/>
      <c r="AA31" s="74"/>
      <c r="AB31" s="7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1671.8</v>
      </c>
      <c r="C32" s="8">
        <v>2.6444400000000004E-12</v>
      </c>
      <c r="D32" s="1">
        <v>2.2109400000000003E-12</v>
      </c>
      <c r="E32" s="1">
        <v>4.3350000000000002E-13</v>
      </c>
      <c r="F32" s="1">
        <v>5.4059999999999999E-14</v>
      </c>
      <c r="G32" s="1">
        <v>2.3617E-17</v>
      </c>
      <c r="H32" s="1">
        <v>2.0943000000000001E-11</v>
      </c>
      <c r="I32" s="1">
        <v>7.4905999999999994E-11</v>
      </c>
      <c r="J32" s="1">
        <v>3.0355000000000001E-11</v>
      </c>
      <c r="K32" s="1"/>
      <c r="L32" s="1"/>
      <c r="N32" s="7"/>
      <c r="O32">
        <f t="shared" si="4"/>
        <v>27.863333333333333</v>
      </c>
      <c r="P32" s="6">
        <f t="shared" si="5"/>
        <v>101.21164713422377</v>
      </c>
      <c r="Q32" s="6">
        <f t="shared" si="0"/>
        <v>16.486465648185767</v>
      </c>
      <c r="R32" s="6">
        <f t="shared" si="1"/>
        <v>58.814690494948444</v>
      </c>
      <c r="S32" s="10">
        <f t="shared" si="2"/>
        <v>23.83413033780343</v>
      </c>
      <c r="T32" s="6">
        <f t="shared" si="6"/>
        <v>2.0763606532861445</v>
      </c>
      <c r="U32" s="6">
        <f t="shared" si="6"/>
        <v>1.7359852455629425</v>
      </c>
      <c r="V32" s="6">
        <f t="shared" si="6"/>
        <v>0.34037540772320168</v>
      </c>
      <c r="X32" s="5"/>
      <c r="Y32" s="76" t="s">
        <v>144</v>
      </c>
      <c r="Z32" s="73"/>
      <c r="AA32" s="74"/>
      <c r="AB32" s="7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x14ac:dyDescent="0.3">
      <c r="B33" s="7">
        <v>1778</v>
      </c>
      <c r="C33" s="8">
        <v>2.0662999999999998E-12</v>
      </c>
      <c r="D33" s="1">
        <v>1.72756E-12</v>
      </c>
      <c r="E33" s="1">
        <v>3.3873999999999998E-13</v>
      </c>
      <c r="F33" s="1">
        <v>4.2243000000000001E-14</v>
      </c>
      <c r="G33" s="1">
        <v>1.8499E-17</v>
      </c>
      <c r="H33" s="1">
        <v>2.1041000000000001E-11</v>
      </c>
      <c r="I33" s="1">
        <v>7.5255999999999998E-11</v>
      </c>
      <c r="J33" s="1">
        <v>3.0495E-11</v>
      </c>
      <c r="K33" s="1"/>
      <c r="L33" s="1"/>
      <c r="N33" s="7"/>
      <c r="O33">
        <f t="shared" si="4"/>
        <v>29.633333333333333</v>
      </c>
      <c r="P33" s="6">
        <f t="shared" si="5"/>
        <v>101.210106518966</v>
      </c>
      <c r="Q33" s="6">
        <f t="shared" si="0"/>
        <v>16.554134791816235</v>
      </c>
      <c r="R33" s="6">
        <f t="shared" si="1"/>
        <v>59.089499377674585</v>
      </c>
      <c r="S33" s="10">
        <f t="shared" si="2"/>
        <v>23.944055498313809</v>
      </c>
      <c r="T33" s="6">
        <f t="shared" si="6"/>
        <v>1.6224168511613648</v>
      </c>
      <c r="U33" s="6">
        <f t="shared" si="6"/>
        <v>1.3564450735093294</v>
      </c>
      <c r="V33" s="6">
        <f t="shared" si="6"/>
        <v>0.26597177765203533</v>
      </c>
      <c r="X33" s="5"/>
      <c r="Y33" s="76" t="s">
        <v>145</v>
      </c>
      <c r="Z33" s="73"/>
      <c r="AA33" s="74"/>
      <c r="AB33" s="75"/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x14ac:dyDescent="0.3">
      <c r="B34" s="7">
        <v>1884.1</v>
      </c>
      <c r="C34" s="8">
        <v>1.6146799999999999E-12</v>
      </c>
      <c r="D34" s="1">
        <v>1.34999E-12</v>
      </c>
      <c r="E34" s="1">
        <v>2.6469000000000001E-13</v>
      </c>
      <c r="F34" s="1">
        <v>3.3009E-14</v>
      </c>
      <c r="G34" s="1">
        <v>1.4478E-17</v>
      </c>
      <c r="H34" s="1">
        <v>2.1117000000000001E-11</v>
      </c>
      <c r="I34" s="1">
        <v>7.5529000000000001E-11</v>
      </c>
      <c r="J34" s="1">
        <v>3.0605000000000001E-11</v>
      </c>
      <c r="K34" s="1"/>
      <c r="L34" s="1"/>
      <c r="N34" s="7"/>
      <c r="O34">
        <f t="shared" si="4"/>
        <v>31.401666666666664</v>
      </c>
      <c r="P34" s="6">
        <f t="shared" si="5"/>
        <v>101.2086476385613</v>
      </c>
      <c r="Q34" s="6">
        <f t="shared" si="0"/>
        <v>16.606558100863637</v>
      </c>
      <c r="R34" s="6">
        <f t="shared" si="1"/>
        <v>59.303850283462175</v>
      </c>
      <c r="S34" s="10">
        <f t="shared" si="2"/>
        <v>24.030425267286244</v>
      </c>
      <c r="T34" s="6">
        <f t="shared" si="6"/>
        <v>1.2678139869492486</v>
      </c>
      <c r="U34" s="6">
        <f t="shared" si="6"/>
        <v>1.0599847674100231</v>
      </c>
      <c r="V34" s="6">
        <f t="shared" si="6"/>
        <v>0.20782921953922551</v>
      </c>
      <c r="X34" s="5"/>
      <c r="Y34" s="76" t="s">
        <v>146</v>
      </c>
      <c r="Z34" s="73"/>
      <c r="AA34" s="74"/>
      <c r="AB34" s="75"/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x14ac:dyDescent="0.3">
      <c r="B35" s="7">
        <v>1990.3</v>
      </c>
      <c r="C35" s="8">
        <v>1.2616880000000001E-12</v>
      </c>
      <c r="D35" s="1">
        <v>1.0548580000000001E-12</v>
      </c>
      <c r="E35" s="1">
        <v>2.0682999999999999E-13</v>
      </c>
      <c r="F35" s="1">
        <v>2.5792999999999999E-14</v>
      </c>
      <c r="G35" s="1">
        <v>1.1289999999999999E-17</v>
      </c>
      <c r="H35" s="1">
        <v>2.1177000000000002E-11</v>
      </c>
      <c r="I35" s="1">
        <v>7.5743000000000001E-11</v>
      </c>
      <c r="J35" s="1">
        <v>3.0691000000000002E-11</v>
      </c>
      <c r="K35" s="1"/>
      <c r="L35" s="1"/>
      <c r="N35" s="7"/>
      <c r="O35">
        <f t="shared" si="4"/>
        <v>33.171666666666667</v>
      </c>
      <c r="P35" s="6">
        <f t="shared" si="5"/>
        <v>101.20848181802704</v>
      </c>
      <c r="Q35" s="6">
        <f t="shared" si="0"/>
        <v>16.648003027094919</v>
      </c>
      <c r="R35" s="6">
        <f t="shared" si="1"/>
        <v>59.471876239946518</v>
      </c>
      <c r="S35" s="10">
        <f t="shared" si="2"/>
        <v>24.097950723028337</v>
      </c>
      <c r="T35" s="6">
        <f t="shared" si="6"/>
        <v>0.99065182795725693</v>
      </c>
      <c r="U35" s="6">
        <f t="shared" si="6"/>
        <v>0.82825310689753417</v>
      </c>
      <c r="V35" s="6">
        <f t="shared" si="6"/>
        <v>0.16239872105972272</v>
      </c>
      <c r="X35" s="5"/>
      <c r="Y35" s="72"/>
      <c r="Z35" s="73"/>
      <c r="AA35" s="74"/>
      <c r="AB35" s="75"/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x14ac:dyDescent="0.3">
      <c r="B36" s="7">
        <v>2096.5</v>
      </c>
      <c r="C36" s="8">
        <v>9.8589500000000001E-13</v>
      </c>
      <c r="D36" s="1">
        <v>8.2427499999999994E-13</v>
      </c>
      <c r="E36" s="1">
        <v>1.6162E-13</v>
      </c>
      <c r="F36" s="1">
        <v>2.0155E-14</v>
      </c>
      <c r="G36" s="1">
        <v>8.8031000000000006E-18</v>
      </c>
      <c r="H36" s="1">
        <v>2.1222999999999999E-11</v>
      </c>
      <c r="I36" s="1">
        <v>7.5909999999999999E-11</v>
      </c>
      <c r="J36" s="1">
        <v>3.0756999999999999E-11</v>
      </c>
      <c r="K36" s="1"/>
      <c r="L36" s="1"/>
      <c r="N36" s="7"/>
      <c r="O36">
        <f t="shared" si="4"/>
        <v>34.94166666666667</v>
      </c>
      <c r="P36" s="6">
        <f t="shared" si="5"/>
        <v>101.20657109346929</v>
      </c>
      <c r="Q36" s="6">
        <f t="shared" si="0"/>
        <v>16.679694450870059</v>
      </c>
      <c r="R36" s="6">
        <f t="shared" si="1"/>
        <v>59.602999300177594</v>
      </c>
      <c r="S36" s="10">
        <f t="shared" si="2"/>
        <v>24.149772584411796</v>
      </c>
      <c r="T36" s="6">
        <f t="shared" si="6"/>
        <v>0.77410475800984069</v>
      </c>
      <c r="U36" s="6">
        <f t="shared" si="6"/>
        <v>0.64720401199779021</v>
      </c>
      <c r="V36" s="6">
        <f t="shared" si="6"/>
        <v>0.12690074601205042</v>
      </c>
      <c r="X36" s="5"/>
      <c r="Y36" s="72"/>
      <c r="Z36" s="73"/>
      <c r="AA36" s="74"/>
      <c r="AB36" s="75"/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2202.6</v>
      </c>
      <c r="C37" s="8">
        <v>7.7038199999999994E-13</v>
      </c>
      <c r="D37" s="1">
        <v>6.4409199999999998E-13</v>
      </c>
      <c r="E37" s="1">
        <v>1.2629000000000001E-13</v>
      </c>
      <c r="F37" s="1">
        <v>1.5748999999999999E-14</v>
      </c>
      <c r="G37" s="1">
        <v>6.8987999999999998E-18</v>
      </c>
      <c r="H37" s="1">
        <v>2.1259000000000001E-11</v>
      </c>
      <c r="I37" s="1">
        <v>7.6040000000000003E-11</v>
      </c>
      <c r="J37" s="1">
        <v>3.0810000000000001E-11</v>
      </c>
      <c r="K37" s="1"/>
      <c r="L37" s="1"/>
      <c r="N37" s="7"/>
      <c r="O37">
        <f t="shared" si="4"/>
        <v>36.71</v>
      </c>
      <c r="P37" s="6">
        <f t="shared" si="5"/>
        <v>101.20584801809078</v>
      </c>
      <c r="Q37" s="6">
        <f t="shared" si="0"/>
        <v>16.70450141887838</v>
      </c>
      <c r="R37" s="6">
        <f t="shared" si="1"/>
        <v>59.705071168290935</v>
      </c>
      <c r="S37" s="10">
        <f t="shared" si="2"/>
        <v>24.191387109462156</v>
      </c>
      <c r="T37" s="6">
        <f t="shared" si="6"/>
        <v>0.6048883214593207</v>
      </c>
      <c r="U37" s="6">
        <f t="shared" si="6"/>
        <v>0.50572797488178178</v>
      </c>
      <c r="V37" s="6">
        <f t="shared" si="6"/>
        <v>9.9160346577538985E-2</v>
      </c>
      <c r="X37" s="5"/>
      <c r="Y37" s="77" t="s">
        <v>141</v>
      </c>
      <c r="Z37" s="78" t="s">
        <v>136</v>
      </c>
      <c r="AA37" s="79"/>
      <c r="AB37" s="90">
        <v>0.212801402014346</v>
      </c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2308.8000000000002</v>
      </c>
      <c r="C38" s="8">
        <v>6.0197600000000004E-13</v>
      </c>
      <c r="D38" s="1">
        <v>5.0329200000000001E-13</v>
      </c>
      <c r="E38" s="1">
        <v>9.8684000000000001E-14</v>
      </c>
      <c r="F38" s="1">
        <v>1.2306000000000001E-14</v>
      </c>
      <c r="G38" s="1">
        <v>5.4023000000000001E-18</v>
      </c>
      <c r="H38" s="1">
        <v>2.1288000000000001E-11</v>
      </c>
      <c r="I38" s="1">
        <v>7.6141999999999999E-11</v>
      </c>
      <c r="J38" s="1">
        <v>3.0850999999999998E-11</v>
      </c>
      <c r="K38" s="1"/>
      <c r="L38" s="1"/>
      <c r="N38" s="7"/>
      <c r="O38" s="58">
        <f t="shared" si="4"/>
        <v>38.480000000000004</v>
      </c>
      <c r="P38" s="59">
        <f t="shared" si="5"/>
        <v>101.20596540520674</v>
      </c>
      <c r="Q38" s="59">
        <f t="shared" si="0"/>
        <v>16.724568256929548</v>
      </c>
      <c r="R38" s="59">
        <f t="shared" si="1"/>
        <v>59.785158324498468</v>
      </c>
      <c r="S38" s="10">
        <f t="shared" si="2"/>
        <v>24.223579477897335</v>
      </c>
      <c r="T38" s="59">
        <f t="shared" si="6"/>
        <v>0.4726593458813888</v>
      </c>
      <c r="U38" s="59">
        <f t="shared" si="6"/>
        <v>0.3951746705970603</v>
      </c>
      <c r="V38" s="59">
        <f t="shared" si="6"/>
        <v>7.7484675284328564E-2</v>
      </c>
      <c r="X38" s="5"/>
      <c r="Y38" s="81"/>
      <c r="Z38" s="82" t="s">
        <v>137</v>
      </c>
      <c r="AA38" s="79"/>
      <c r="AB38" s="90">
        <v>16.795842603120299</v>
      </c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2415</v>
      </c>
      <c r="C39" s="8">
        <v>4.7038800000000003E-13</v>
      </c>
      <c r="D39" s="1">
        <v>3.9327599999999998E-13</v>
      </c>
      <c r="E39" s="1">
        <v>7.7112000000000005E-14</v>
      </c>
      <c r="F39" s="1">
        <v>9.6162000000000003E-15</v>
      </c>
      <c r="G39" s="1">
        <v>4.2097999999999997E-18</v>
      </c>
      <c r="H39" s="1">
        <v>2.1309999999999999E-11</v>
      </c>
      <c r="I39" s="1">
        <v>7.6221000000000005E-11</v>
      </c>
      <c r="J39" s="1">
        <v>3.0883000000000001E-11</v>
      </c>
      <c r="K39" s="1"/>
      <c r="L39" s="1"/>
      <c r="N39" s="7"/>
      <c r="O39" s="58">
        <f t="shared" si="4"/>
        <v>40.25</v>
      </c>
      <c r="P39" s="59">
        <f t="shared" si="5"/>
        <v>101.20496116623636</v>
      </c>
      <c r="Q39" s="59">
        <f t="shared" si="0"/>
        <v>16.739730234318742</v>
      </c>
      <c r="R39" s="59">
        <f t="shared" si="1"/>
        <v>59.847186585888238</v>
      </c>
      <c r="S39" s="10">
        <f t="shared" si="2"/>
        <v>24.248705228871138</v>
      </c>
      <c r="T39" s="59">
        <f t="shared" si="6"/>
        <v>0.36933911715825007</v>
      </c>
      <c r="U39" s="59">
        <f t="shared" si="6"/>
        <v>0.30879233874913459</v>
      </c>
      <c r="V39" s="59">
        <f t="shared" si="6"/>
        <v>6.0546778409115418E-2</v>
      </c>
      <c r="X39" s="5"/>
      <c r="Y39" s="81"/>
      <c r="Z39" s="82" t="s">
        <v>138</v>
      </c>
      <c r="AA39" s="79"/>
      <c r="AB39" s="90">
        <v>9.9365233271473202E-2</v>
      </c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2521.1999999999998</v>
      </c>
      <c r="C40" s="8">
        <v>3.6756499999999996E-13</v>
      </c>
      <c r="D40" s="1">
        <v>3.0730999999999998E-13</v>
      </c>
      <c r="E40" s="1">
        <v>6.0255000000000004E-14</v>
      </c>
      <c r="F40" s="1">
        <v>7.5142000000000005E-15</v>
      </c>
      <c r="G40" s="1">
        <v>3.2853999999999999E-18</v>
      </c>
      <c r="H40" s="1">
        <v>2.1326999999999999E-11</v>
      </c>
      <c r="I40" s="1">
        <v>7.6284000000000003E-11</v>
      </c>
      <c r="J40" s="1">
        <v>3.0908000000000002E-11</v>
      </c>
      <c r="K40" s="1"/>
      <c r="L40" s="1"/>
      <c r="N40" s="7"/>
      <c r="O40" s="58">
        <f t="shared" si="4"/>
        <v>42.019999999999996</v>
      </c>
      <c r="P40" s="59">
        <f t="shared" si="5"/>
        <v>101.20501932889508</v>
      </c>
      <c r="Q40" s="59">
        <f t="shared" si="0"/>
        <v>16.751427841756485</v>
      </c>
      <c r="R40" s="59">
        <f t="shared" si="1"/>
        <v>59.896652182297771</v>
      </c>
      <c r="S40" s="10">
        <f t="shared" si="2"/>
        <v>24.268334721819421</v>
      </c>
      <c r="T40" s="59">
        <f t="shared" si="6"/>
        <v>0.28860458302140396</v>
      </c>
      <c r="U40" s="59">
        <f t="shared" si="6"/>
        <v>0.24129357911745583</v>
      </c>
      <c r="V40" s="59">
        <f t="shared" si="6"/>
        <v>4.7311003903948143E-2</v>
      </c>
      <c r="X40" s="5"/>
      <c r="Y40" s="81"/>
      <c r="Z40" s="82" t="s">
        <v>139</v>
      </c>
      <c r="AA40" s="79"/>
      <c r="AB40" s="90">
        <v>29.417567394281399</v>
      </c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2627.3</v>
      </c>
      <c r="C41" s="8">
        <v>2.8721899999999999E-13</v>
      </c>
      <c r="D41" s="1">
        <v>2.4013500000000002E-13</v>
      </c>
      <c r="E41" s="1">
        <v>4.7083999999999999E-14</v>
      </c>
      <c r="F41" s="1">
        <v>5.8716000000000002E-15</v>
      </c>
      <c r="G41" s="1">
        <v>2.5745000000000001E-18</v>
      </c>
      <c r="H41" s="1">
        <v>2.1341E-11</v>
      </c>
      <c r="I41" s="1">
        <v>7.6332000000000001E-11</v>
      </c>
      <c r="J41" s="1">
        <v>3.0926999999999997E-11</v>
      </c>
      <c r="K41" s="1"/>
      <c r="L41" s="1"/>
      <c r="N41" s="7"/>
      <c r="O41" s="58">
        <f t="shared" si="4"/>
        <v>43.788333333333334</v>
      </c>
      <c r="P41" s="59">
        <f t="shared" si="5"/>
        <v>101.20424254204168</v>
      </c>
      <c r="Q41" s="59">
        <f t="shared" si="0"/>
        <v>16.761130621602849</v>
      </c>
      <c r="R41" s="59">
        <f t="shared" si="1"/>
        <v>59.934340250574202</v>
      </c>
      <c r="S41" s="10">
        <f t="shared" si="2"/>
        <v>24.283253136460107</v>
      </c>
      <c r="T41" s="59">
        <f t="shared" si="6"/>
        <v>0.22551853340449884</v>
      </c>
      <c r="U41" s="59">
        <f t="shared" si="6"/>
        <v>0.18854913156542338</v>
      </c>
      <c r="V41" s="59">
        <f t="shared" si="6"/>
        <v>3.6969401839075496E-2</v>
      </c>
      <c r="X41" s="5"/>
      <c r="Y41" s="81"/>
      <c r="Z41" s="82" t="s">
        <v>140</v>
      </c>
      <c r="AA41" s="79"/>
      <c r="AB41" s="90">
        <v>0.13903182528324201</v>
      </c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ht="18.75" x14ac:dyDescent="0.3">
      <c r="B42" s="7">
        <v>2733.5</v>
      </c>
      <c r="C42" s="8">
        <v>2.2443500000000002E-13</v>
      </c>
      <c r="D42" s="1">
        <v>1.8764300000000001E-13</v>
      </c>
      <c r="E42" s="1">
        <v>3.6792E-14</v>
      </c>
      <c r="F42" s="1">
        <v>4.5880999999999997E-15</v>
      </c>
      <c r="G42" s="1">
        <v>2.0128999999999999E-18</v>
      </c>
      <c r="H42" s="1">
        <v>2.1351000000000001E-11</v>
      </c>
      <c r="I42" s="1">
        <v>7.6370000000000004E-11</v>
      </c>
      <c r="J42" s="1">
        <v>3.0942000000000003E-11</v>
      </c>
      <c r="K42" s="1"/>
      <c r="L42" s="1"/>
      <c r="N42" s="7"/>
      <c r="O42" s="58">
        <f t="shared" si="4"/>
        <v>45.55833333333333</v>
      </c>
      <c r="P42" s="59">
        <f t="shared" si="5"/>
        <v>101.20340392173586</v>
      </c>
      <c r="Q42" s="59">
        <f t="shared" si="0"/>
        <v>16.767974640614199</v>
      </c>
      <c r="R42" s="59">
        <f t="shared" si="1"/>
        <v>59.964176638898671</v>
      </c>
      <c r="S42" s="10">
        <f t="shared" si="2"/>
        <v>24.295030832229084</v>
      </c>
      <c r="T42" s="59">
        <f t="shared" si="6"/>
        <v>0.17622180999390258</v>
      </c>
      <c r="U42" s="59">
        <f t="shared" si="6"/>
        <v>0.14733347781177564</v>
      </c>
      <c r="V42" s="59">
        <f t="shared" si="6"/>
        <v>2.8888332182126959E-2</v>
      </c>
      <c r="X42" s="5"/>
      <c r="Y42" s="81"/>
      <c r="Z42" s="103" t="s">
        <v>151</v>
      </c>
      <c r="AA42" s="85"/>
      <c r="AB42" s="91">
        <v>48.473613226121998</v>
      </c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2839.7</v>
      </c>
      <c r="C43" s="8">
        <v>1.7537200000000001E-13</v>
      </c>
      <c r="D43" s="8">
        <v>1.46623E-13</v>
      </c>
      <c r="E43" s="8">
        <v>2.8749000000000001E-14</v>
      </c>
      <c r="F43" s="1">
        <v>3.5852E-15</v>
      </c>
      <c r="G43" s="1">
        <v>1.5724999999999999E-18</v>
      </c>
      <c r="H43" s="1">
        <v>2.1360000000000001E-11</v>
      </c>
      <c r="I43" s="1">
        <v>7.6400000000000002E-11</v>
      </c>
      <c r="J43" s="1">
        <v>3.0954000000000002E-11</v>
      </c>
      <c r="K43" s="1"/>
      <c r="L43" s="1"/>
      <c r="N43" s="7"/>
      <c r="O43">
        <f t="shared" si="4"/>
        <v>47.328333333333333</v>
      </c>
      <c r="P43" s="6">
        <f t="shared" si="5"/>
        <v>101.20413701231723</v>
      </c>
      <c r="Q43" s="6">
        <f t="shared" si="0"/>
        <v>16.774253801336464</v>
      </c>
      <c r="R43" s="6">
        <f t="shared" si="1"/>
        <v>59.98773168464345</v>
      </c>
      <c r="S43" s="10">
        <f t="shared" si="2"/>
        <v>24.304452988844258</v>
      </c>
      <c r="T43" s="6">
        <f t="shared" si="6"/>
        <v>0.13769853749304112</v>
      </c>
      <c r="U43" s="6">
        <f t="shared" si="6"/>
        <v>0.1151254057822353</v>
      </c>
      <c r="V43" s="6">
        <f t="shared" si="6"/>
        <v>2.2573131710805824E-2</v>
      </c>
      <c r="X43" s="5"/>
      <c r="Y43" s="81"/>
      <c r="Z43" s="103" t="s">
        <v>152</v>
      </c>
      <c r="AA43" s="85"/>
      <c r="AB43" s="91">
        <v>-29.417567394281399</v>
      </c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2945.8</v>
      </c>
      <c r="C44" s="8">
        <v>1.3703540000000001E-13</v>
      </c>
      <c r="D44" s="8">
        <v>1.1457040000000001E-13</v>
      </c>
      <c r="E44" s="8">
        <v>2.2464999999999999E-14</v>
      </c>
      <c r="F44" s="1">
        <v>2.8014999999999999E-15</v>
      </c>
      <c r="G44" s="1">
        <v>1.2304999999999999E-18</v>
      </c>
      <c r="H44" s="1">
        <v>2.1366000000000001E-11</v>
      </c>
      <c r="I44" s="1">
        <v>7.6423000000000006E-11</v>
      </c>
      <c r="J44" s="1">
        <v>3.0963000000000002E-11</v>
      </c>
      <c r="K44" s="1"/>
      <c r="L44" s="1"/>
      <c r="N44" s="7"/>
      <c r="O44">
        <f t="shared" si="4"/>
        <v>49.096666666666671</v>
      </c>
      <c r="P44" s="6">
        <f t="shared" si="5"/>
        <v>101.20325710694777</v>
      </c>
      <c r="Q44" s="6">
        <f t="shared" si="0"/>
        <v>16.77834953429911</v>
      </c>
      <c r="R44" s="6">
        <f t="shared" si="1"/>
        <v>60.005790549624415</v>
      </c>
      <c r="S44" s="57">
        <f t="shared" si="2"/>
        <v>24.311519606305641</v>
      </c>
      <c r="T44" s="6">
        <f t="shared" ref="T44:V44" si="7">C44/$A$1*100</f>
        <v>0.10759741671859754</v>
      </c>
      <c r="U44" s="6">
        <f t="shared" si="7"/>
        <v>8.9958354355271775E-2</v>
      </c>
      <c r="V44" s="6">
        <f t="shared" si="7"/>
        <v>1.763906236332578E-2</v>
      </c>
      <c r="X44" s="5"/>
      <c r="Y44" s="81"/>
      <c r="Z44" s="103" t="s">
        <v>153</v>
      </c>
      <c r="AA44" s="85"/>
      <c r="AB44" s="91">
        <v>2.0764769376786498</v>
      </c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3052</v>
      </c>
      <c r="C45" s="8">
        <v>1.070806E-13</v>
      </c>
      <c r="D45" s="8">
        <v>8.9526600000000004E-14</v>
      </c>
      <c r="E45" s="8">
        <v>1.7554000000000001E-14</v>
      </c>
      <c r="F45" s="1">
        <v>2.1891E-15</v>
      </c>
      <c r="G45" s="1">
        <v>9.6423999999999996E-19</v>
      </c>
      <c r="H45" s="1">
        <v>2.1370999999999999E-11</v>
      </c>
      <c r="I45" s="1">
        <v>7.6441000000000005E-11</v>
      </c>
      <c r="J45" s="8">
        <v>3.0971E-11</v>
      </c>
      <c r="K45" s="1"/>
      <c r="L45" s="1"/>
      <c r="N45" s="7"/>
      <c r="O45">
        <f t="shared" ref="O45:O57" si="8">B45/60</f>
        <v>50.866666666666667</v>
      </c>
      <c r="P45" s="6">
        <f t="shared" ref="P45:P57" si="9">(SUM(F45:J45)+C45)/$A$1*100</f>
        <v>101.20359672366772</v>
      </c>
      <c r="Q45" s="6">
        <f t="shared" ref="Q45:Q57" si="10">(H45+F45)/$A$1*100</f>
        <v>16.781794588829506</v>
      </c>
      <c r="R45" s="6">
        <f t="shared" ref="R45:R57" si="11">(G45+I45)/$A$1*100</f>
        <v>60.019923575485222</v>
      </c>
      <c r="S45" s="57">
        <f t="shared" ref="S45:S57" si="12">J45/$A$1*100</f>
        <v>24.317801044049087</v>
      </c>
      <c r="T45" s="6">
        <f t="shared" ref="T45:T57" si="13">C45/$A$1*100</f>
        <v>8.4077515303910194E-2</v>
      </c>
      <c r="U45" s="6">
        <f t="shared" ref="U45:U57" si="14">D45/$A$1*100</f>
        <v>7.029447053534485E-2</v>
      </c>
      <c r="V45" s="6">
        <f t="shared" ref="V45:V57" si="15">E45/$A$1*100</f>
        <v>1.3783044768565358E-2</v>
      </c>
      <c r="X45" s="5"/>
      <c r="Y45" s="81"/>
      <c r="Z45" s="103" t="s">
        <v>154</v>
      </c>
      <c r="AA45" s="85"/>
      <c r="AB45" s="91">
        <v>-0.13903182528324201</v>
      </c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x14ac:dyDescent="0.3">
      <c r="B46" s="7">
        <v>3158.2</v>
      </c>
      <c r="C46" s="8">
        <v>8.3673600000000007E-14</v>
      </c>
      <c r="D46" s="8">
        <v>6.9956600000000006E-14</v>
      </c>
      <c r="E46" s="8">
        <v>1.3716999999999999E-14</v>
      </c>
      <c r="F46" s="1">
        <v>1.7105000000000001E-15</v>
      </c>
      <c r="G46" s="1">
        <v>7.5546999999999996E-19</v>
      </c>
      <c r="H46" s="1">
        <v>2.1375000000000001E-11</v>
      </c>
      <c r="I46" s="1">
        <v>7.6454999999999996E-11</v>
      </c>
      <c r="J46" s="8">
        <v>3.0975999999999997E-11</v>
      </c>
      <c r="K46" s="1"/>
      <c r="L46" s="1"/>
      <c r="N46" s="7"/>
      <c r="O46">
        <f t="shared" si="8"/>
        <v>52.636666666666663</v>
      </c>
      <c r="P46" s="6">
        <f t="shared" si="9"/>
        <v>101.20290120458755</v>
      </c>
      <c r="Q46" s="6">
        <f t="shared" si="10"/>
        <v>16.784559520688227</v>
      </c>
      <c r="R46" s="6">
        <f t="shared" si="11"/>
        <v>60.030915927614281</v>
      </c>
      <c r="S46" s="57">
        <f t="shared" si="12"/>
        <v>24.32172694263874</v>
      </c>
      <c r="T46" s="6">
        <f t="shared" si="13"/>
        <v>6.5698813646293167E-2</v>
      </c>
      <c r="U46" s="6">
        <f t="shared" si="14"/>
        <v>5.4928503455430065E-2</v>
      </c>
      <c r="V46" s="6">
        <f t="shared" si="15"/>
        <v>1.0770310190863108E-2</v>
      </c>
      <c r="X46" s="5"/>
      <c r="Y46" s="81"/>
      <c r="Z46" s="101"/>
      <c r="AA46" s="83"/>
      <c r="AB46" s="89"/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3264.3</v>
      </c>
      <c r="C47" s="8">
        <v>6.5382299999999997E-14</v>
      </c>
      <c r="D47" s="8">
        <v>5.46643E-14</v>
      </c>
      <c r="E47" s="8">
        <v>1.0717999999999999E-14</v>
      </c>
      <c r="F47" s="1">
        <v>1.3366000000000001E-15</v>
      </c>
      <c r="G47" s="1">
        <v>5.9270999999999996E-19</v>
      </c>
      <c r="H47" s="1">
        <v>2.1378E-11</v>
      </c>
      <c r="I47" s="1">
        <v>7.6466999999999996E-11</v>
      </c>
      <c r="J47" s="8">
        <v>3.0981000000000001E-11</v>
      </c>
      <c r="K47" s="1"/>
      <c r="L47" s="1"/>
      <c r="N47" s="7"/>
      <c r="O47">
        <f t="shared" si="8"/>
        <v>54.405000000000001</v>
      </c>
      <c r="P47" s="6">
        <f t="shared" si="9"/>
        <v>101.20394913467918</v>
      </c>
      <c r="Q47" s="6">
        <f t="shared" si="10"/>
        <v>16.786621481145485</v>
      </c>
      <c r="R47" s="6">
        <f t="shared" si="11"/>
        <v>60.040337956433611</v>
      </c>
      <c r="S47" s="57">
        <f t="shared" si="12"/>
        <v>24.325652841228401</v>
      </c>
      <c r="T47" s="6">
        <f t="shared" si="13"/>
        <v>5.1336855871697083E-2</v>
      </c>
      <c r="U47" s="6">
        <f t="shared" si="14"/>
        <v>4.2921299654909831E-2</v>
      </c>
      <c r="V47" s="6">
        <f t="shared" si="15"/>
        <v>8.4155562167872559E-3</v>
      </c>
      <c r="X47" s="5"/>
      <c r="Y47" s="77" t="s">
        <v>142</v>
      </c>
      <c r="Z47" s="102" t="s">
        <v>136</v>
      </c>
      <c r="AA47" s="83"/>
      <c r="AB47" s="90">
        <v>9.0909742140597495E-9</v>
      </c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8.75" x14ac:dyDescent="0.3">
      <c r="B48" s="7">
        <v>3370.5</v>
      </c>
      <c r="C48" s="8">
        <v>5.1090399999999997E-14</v>
      </c>
      <c r="D48" s="8">
        <v>4.2714999999999998E-14</v>
      </c>
      <c r="E48" s="8">
        <v>8.3753999999999996E-15</v>
      </c>
      <c r="F48" s="1">
        <v>1.0444999999999999E-15</v>
      </c>
      <c r="G48" s="1">
        <v>4.6621E-19</v>
      </c>
      <c r="H48" s="1">
        <v>2.1381E-11</v>
      </c>
      <c r="I48" s="1">
        <v>7.6475E-11</v>
      </c>
      <c r="J48" s="8">
        <v>3.0984000000000001E-11</v>
      </c>
      <c r="K48" s="1"/>
      <c r="L48" s="1"/>
      <c r="N48" s="7"/>
      <c r="O48">
        <f t="shared" si="8"/>
        <v>56.174999999999997</v>
      </c>
      <c r="P48" s="6">
        <f t="shared" si="9"/>
        <v>101.20349049039869</v>
      </c>
      <c r="Q48" s="6">
        <f t="shared" si="10"/>
        <v>16.788747669303671</v>
      </c>
      <c r="R48" s="6">
        <f t="shared" si="11"/>
        <v>60.04661929485183</v>
      </c>
      <c r="S48" s="57">
        <f t="shared" si="12"/>
        <v>24.328008380382194</v>
      </c>
      <c r="T48" s="6">
        <f t="shared" si="13"/>
        <v>4.0115145860995301E-2</v>
      </c>
      <c r="U48" s="6">
        <f t="shared" si="14"/>
        <v>3.3538951651433814E-2</v>
      </c>
      <c r="V48" s="6">
        <f t="shared" si="15"/>
        <v>6.5761942095614841E-3</v>
      </c>
      <c r="X48" s="5"/>
      <c r="Y48" s="81"/>
      <c r="Z48" s="102" t="s">
        <v>137</v>
      </c>
      <c r="AA48" s="83"/>
      <c r="AB48" s="90">
        <v>60.083692571716199</v>
      </c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B49">
        <v>3476.7</v>
      </c>
      <c r="C49">
        <v>3.9922500000000006E-14</v>
      </c>
      <c r="D49">
        <v>3.3377900000000005E-14</v>
      </c>
      <c r="E49">
        <v>6.5445999999999999E-15</v>
      </c>
      <c r="F49" s="1">
        <v>8.1613999999999999E-16</v>
      </c>
      <c r="G49" s="1">
        <v>3.6741E-19</v>
      </c>
      <c r="H49" s="1">
        <v>2.1383000000000001E-11</v>
      </c>
      <c r="I49" s="1">
        <v>7.6481999999999995E-11</v>
      </c>
      <c r="J49" s="1">
        <v>3.0987000000000001E-11</v>
      </c>
      <c r="N49" s="7"/>
      <c r="O49">
        <f t="shared" si="8"/>
        <v>57.945</v>
      </c>
      <c r="P49" s="6">
        <f t="shared" si="9"/>
        <v>101.20396445722584</v>
      </c>
      <c r="Q49" s="6">
        <f t="shared" si="10"/>
        <v>16.790138725099148</v>
      </c>
      <c r="R49" s="6">
        <f t="shared" si="11"/>
        <v>60.052115475301591</v>
      </c>
      <c r="S49" s="57">
        <f t="shared" si="12"/>
        <v>24.330363919535987</v>
      </c>
      <c r="T49" s="6">
        <f t="shared" si="13"/>
        <v>3.1346337289110772E-2</v>
      </c>
      <c r="U49" s="6">
        <f t="shared" si="14"/>
        <v>2.6207650107137843E-2</v>
      </c>
      <c r="V49" s="6">
        <f t="shared" si="15"/>
        <v>5.1386871819729309E-3</v>
      </c>
      <c r="X49" s="5"/>
      <c r="Y49" s="81"/>
      <c r="Z49" s="102" t="s">
        <v>138</v>
      </c>
      <c r="AA49" s="83"/>
      <c r="AB49" s="90">
        <v>-1.18404130281282E-2</v>
      </c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B50">
        <v>3582.8</v>
      </c>
      <c r="C50">
        <v>3.1195399999999997E-14</v>
      </c>
      <c r="D50">
        <v>2.6081399999999998E-14</v>
      </c>
      <c r="E50">
        <v>5.1139999999999999E-15</v>
      </c>
      <c r="F50" s="1">
        <v>6.3773999999999999E-16</v>
      </c>
      <c r="G50" s="1">
        <v>2.9043999999999998E-19</v>
      </c>
      <c r="H50" s="1">
        <v>2.1384E-11</v>
      </c>
      <c r="I50" s="1">
        <v>7.6486999999999999E-11</v>
      </c>
      <c r="J50" s="1">
        <v>3.0988999999999999E-11</v>
      </c>
      <c r="N50" s="7"/>
      <c r="O50">
        <f t="shared" si="8"/>
        <v>59.713333333333338</v>
      </c>
      <c r="P50" s="6">
        <f t="shared" si="9"/>
        <v>101.20325341655597</v>
      </c>
      <c r="Q50" s="6">
        <f t="shared" si="10"/>
        <v>16.790783828755398</v>
      </c>
      <c r="R50" s="6">
        <f t="shared" si="11"/>
        <v>60.056041313455964</v>
      </c>
      <c r="S50" s="57">
        <f t="shared" si="12"/>
        <v>24.331934278971847</v>
      </c>
      <c r="T50" s="6">
        <f t="shared" si="13"/>
        <v>2.4493995372752861E-2</v>
      </c>
      <c r="U50" s="6">
        <f t="shared" si="14"/>
        <v>2.0478586295252392E-2</v>
      </c>
      <c r="V50" s="6">
        <f t="shared" si="15"/>
        <v>4.0154090775004689E-3</v>
      </c>
      <c r="X50" s="5"/>
      <c r="Y50" s="81"/>
      <c r="Z50" s="102" t="s">
        <v>139</v>
      </c>
      <c r="AA50" s="83"/>
      <c r="AB50" s="90">
        <v>11.5244819125696</v>
      </c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8.75" x14ac:dyDescent="0.3">
      <c r="B51">
        <v>3689</v>
      </c>
      <c r="C51">
        <v>2.4376200000000002E-14</v>
      </c>
      <c r="D51">
        <v>2.0380100000000002E-14</v>
      </c>
      <c r="E51">
        <v>3.9961000000000004E-15</v>
      </c>
      <c r="F51" s="1">
        <v>4.9834000000000003E-16</v>
      </c>
      <c r="G51" s="1">
        <v>2.3067000000000001E-19</v>
      </c>
      <c r="H51" s="1">
        <v>2.1384999999999999E-11</v>
      </c>
      <c r="I51" s="1">
        <v>7.6490999999999995E-11</v>
      </c>
      <c r="J51" s="1">
        <v>3.0991000000000003E-11</v>
      </c>
      <c r="N51" s="7"/>
      <c r="O51">
        <f t="shared" si="8"/>
        <v>61.483333333333334</v>
      </c>
      <c r="P51" s="6">
        <f t="shared" si="9"/>
        <v>101.2032858760661</v>
      </c>
      <c r="Q51" s="6">
        <f t="shared" si="10"/>
        <v>16.791459554420651</v>
      </c>
      <c r="R51" s="6">
        <f t="shared" si="11"/>
        <v>60.059181985397494</v>
      </c>
      <c r="S51" s="57">
        <f t="shared" si="12"/>
        <v>24.333504638407717</v>
      </c>
      <c r="T51" s="6">
        <f t="shared" si="13"/>
        <v>1.913969784023601E-2</v>
      </c>
      <c r="U51" s="6">
        <f t="shared" si="14"/>
        <v>1.6002041169410897E-2</v>
      </c>
      <c r="V51" s="6">
        <f t="shared" si="15"/>
        <v>3.1376566708251124E-3</v>
      </c>
      <c r="X51" s="5"/>
      <c r="Y51" s="81"/>
      <c r="Z51" s="102" t="s">
        <v>140</v>
      </c>
      <c r="AA51" s="83"/>
      <c r="AB51" s="90">
        <v>0.13858094050171199</v>
      </c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8.75" x14ac:dyDescent="0.3">
      <c r="B52">
        <v>3795.2</v>
      </c>
      <c r="C52">
        <v>1.9048199999999997E-14</v>
      </c>
      <c r="D52">
        <v>1.5925599999999998E-14</v>
      </c>
      <c r="E52">
        <v>3.1225999999999999E-15</v>
      </c>
      <c r="F52" s="1">
        <v>3.8941E-16</v>
      </c>
      <c r="G52" s="1">
        <v>1.8366999999999999E-19</v>
      </c>
      <c r="H52" s="1">
        <v>2.1386000000000001E-11</v>
      </c>
      <c r="I52" s="1">
        <v>7.6495000000000003E-11</v>
      </c>
      <c r="J52" s="1">
        <v>3.0991999999999999E-11</v>
      </c>
      <c r="N52" s="7"/>
      <c r="O52">
        <f t="shared" si="8"/>
        <v>63.25333333333333</v>
      </c>
      <c r="P52" s="6">
        <f t="shared" si="9"/>
        <v>101.20372795030643</v>
      </c>
      <c r="Q52" s="6">
        <f t="shared" si="10"/>
        <v>16.792159204511911</v>
      </c>
      <c r="R52" s="6">
        <f t="shared" si="11"/>
        <v>60.062322667365777</v>
      </c>
      <c r="S52" s="57">
        <f t="shared" si="12"/>
        <v>24.334289818125644</v>
      </c>
      <c r="T52" s="6">
        <f t="shared" si="13"/>
        <v>1.4956260303098247E-2</v>
      </c>
      <c r="U52" s="6">
        <f t="shared" si="14"/>
        <v>1.250445811588609E-2</v>
      </c>
      <c r="V52" s="6">
        <f t="shared" si="15"/>
        <v>2.4518021872121558E-3</v>
      </c>
      <c r="X52" s="5"/>
      <c r="Y52" s="81"/>
      <c r="Z52" s="103" t="s">
        <v>151</v>
      </c>
      <c r="AA52" s="86"/>
      <c r="AB52" s="91">
        <v>-8.1986977841146302</v>
      </c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8.75" x14ac:dyDescent="0.3">
      <c r="B53">
        <v>3901.3</v>
      </c>
      <c r="C53">
        <v>1.488497E-14</v>
      </c>
      <c r="D53">
        <v>1.2444869999999999E-14</v>
      </c>
      <c r="E53">
        <v>2.4401E-15</v>
      </c>
      <c r="F53" s="1">
        <v>3.0429000000000001E-16</v>
      </c>
      <c r="G53" s="1">
        <v>1.4673E-19</v>
      </c>
      <c r="H53" s="1">
        <v>2.1387E-11</v>
      </c>
      <c r="I53" s="1">
        <v>7.6496999999999994E-11</v>
      </c>
      <c r="J53" s="1">
        <v>3.0993000000000001E-11</v>
      </c>
      <c r="N53" s="7"/>
      <c r="O53">
        <f t="shared" si="8"/>
        <v>65.021666666666675</v>
      </c>
      <c r="P53" s="6">
        <f t="shared" si="9"/>
        <v>101.20353292191892</v>
      </c>
      <c r="Q53" s="6">
        <f t="shared" si="10"/>
        <v>16.792877549732253</v>
      </c>
      <c r="R53" s="6">
        <f t="shared" si="11"/>
        <v>60.063892997797097</v>
      </c>
      <c r="S53" s="57">
        <f t="shared" si="12"/>
        <v>24.335074997843577</v>
      </c>
      <c r="T53" s="6">
        <f t="shared" si="13"/>
        <v>1.1687376546015284E-2</v>
      </c>
      <c r="U53" s="6">
        <f t="shared" si="14"/>
        <v>9.7714595162912126E-3</v>
      </c>
      <c r="V53" s="6">
        <f t="shared" si="15"/>
        <v>1.9159170297240703E-3</v>
      </c>
      <c r="X53" s="5"/>
      <c r="Y53" s="81"/>
      <c r="Z53" s="103" t="s">
        <v>152</v>
      </c>
      <c r="AA53" s="86"/>
      <c r="AB53" s="91">
        <v>-11.5244819125696</v>
      </c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8.75" x14ac:dyDescent="0.3">
      <c r="B54">
        <v>4007.5</v>
      </c>
      <c r="C54">
        <v>1.163112E-14</v>
      </c>
      <c r="D54">
        <v>9.7244199999999996E-15</v>
      </c>
      <c r="E54">
        <v>1.9067E-15</v>
      </c>
      <c r="F54" s="1">
        <v>2.3777999999999999E-16</v>
      </c>
      <c r="G54" s="1">
        <v>1.1751000000000001E-19</v>
      </c>
      <c r="H54" s="1">
        <v>2.1387E-11</v>
      </c>
      <c r="I54" s="1">
        <v>7.6498999999999999E-11</v>
      </c>
      <c r="J54" s="1">
        <v>3.0994000000000003E-11</v>
      </c>
      <c r="N54" s="7"/>
      <c r="O54">
        <f t="shared" si="8"/>
        <v>66.791666666666671</v>
      </c>
      <c r="P54" s="6">
        <f t="shared" si="9"/>
        <v>101.20328135880155</v>
      </c>
      <c r="Q54" s="6">
        <f t="shared" si="10"/>
        <v>16.79282532742921</v>
      </c>
      <c r="R54" s="6">
        <f t="shared" si="11"/>
        <v>60.065463334290015</v>
      </c>
      <c r="S54" s="57">
        <f t="shared" si="12"/>
        <v>24.335860177561507</v>
      </c>
      <c r="T54" s="6">
        <f t="shared" si="13"/>
        <v>9.1325195208246494E-3</v>
      </c>
      <c r="U54" s="6">
        <f t="shared" si="14"/>
        <v>7.6354173526451139E-3</v>
      </c>
      <c r="V54" s="6">
        <f t="shared" si="15"/>
        <v>1.4971021681795356E-3</v>
      </c>
      <c r="X54" s="5"/>
      <c r="Y54" s="81"/>
      <c r="Z54" s="103" t="s">
        <v>153</v>
      </c>
      <c r="AA54" s="86"/>
      <c r="AB54" s="91">
        <v>8.42504328595418</v>
      </c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8.75" x14ac:dyDescent="0.3">
      <c r="B55">
        <v>4113.7</v>
      </c>
      <c r="C55">
        <v>9.088920000000001E-15</v>
      </c>
      <c r="D55">
        <v>7.5989200000000008E-15</v>
      </c>
      <c r="E55">
        <v>1.49E-15</v>
      </c>
      <c r="F55" s="1">
        <v>1.8581000000000001E-16</v>
      </c>
      <c r="G55" s="1">
        <v>9.4445000000000003E-20</v>
      </c>
      <c r="H55" s="1">
        <v>2.1387999999999999E-11</v>
      </c>
      <c r="I55" s="1">
        <v>7.6501000000000003E-11</v>
      </c>
      <c r="J55" s="1">
        <v>3.0994999999999999E-11</v>
      </c>
      <c r="N55" s="7"/>
      <c r="O55">
        <f t="shared" si="8"/>
        <v>68.561666666666667</v>
      </c>
      <c r="P55" s="6">
        <f t="shared" si="9"/>
        <v>101.20438516989422</v>
      </c>
      <c r="Q55" s="6">
        <f t="shared" si="10"/>
        <v>16.7935697013572</v>
      </c>
      <c r="R55" s="6">
        <f t="shared" si="11"/>
        <v>60.067033675615711</v>
      </c>
      <c r="S55" s="57">
        <f t="shared" si="12"/>
        <v>24.336645357279437</v>
      </c>
      <c r="T55" s="6">
        <f t="shared" si="13"/>
        <v>7.1364356418997981E-3</v>
      </c>
      <c r="U55" s="6">
        <f t="shared" si="14"/>
        <v>5.966517862182219E-3</v>
      </c>
      <c r="V55" s="6">
        <f t="shared" si="15"/>
        <v>1.169917779717579E-3</v>
      </c>
      <c r="X55" s="5"/>
      <c r="Y55" s="84"/>
      <c r="Z55" s="104" t="s">
        <v>154</v>
      </c>
      <c r="AA55" s="87"/>
      <c r="AB55" s="92">
        <v>-0.13858094050171199</v>
      </c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B56">
        <v>4219.8</v>
      </c>
      <c r="C56">
        <v>7.1023500000000007E-15</v>
      </c>
      <c r="D56">
        <v>5.9380500000000003E-15</v>
      </c>
      <c r="E56">
        <v>1.1643E-15</v>
      </c>
      <c r="F56" s="1">
        <v>1.4519E-16</v>
      </c>
      <c r="G56" s="1">
        <v>7.6065999999999998E-20</v>
      </c>
      <c r="H56" s="1">
        <v>2.1387999999999999E-11</v>
      </c>
      <c r="I56" s="1">
        <v>7.6501999999999999E-11</v>
      </c>
      <c r="J56" s="1">
        <v>3.0994999999999999E-11</v>
      </c>
      <c r="N56" s="7"/>
      <c r="O56">
        <f t="shared" si="8"/>
        <v>70.33</v>
      </c>
      <c r="P56" s="6">
        <f t="shared" si="9"/>
        <v>101.20357862670895</v>
      </c>
      <c r="Q56" s="6">
        <f t="shared" si="10"/>
        <v>16.793537807357058</v>
      </c>
      <c r="R56" s="6">
        <f t="shared" si="11"/>
        <v>60.067818840902817</v>
      </c>
      <c r="S56" s="57">
        <f t="shared" si="12"/>
        <v>24.336645357279437</v>
      </c>
      <c r="T56" s="6">
        <f t="shared" si="13"/>
        <v>5.5766211696490929E-3</v>
      </c>
      <c r="U56" s="6">
        <f t="shared" si="14"/>
        <v>4.6624364240617257E-3</v>
      </c>
      <c r="V56" s="6">
        <f t="shared" si="15"/>
        <v>9.141847455873672E-4</v>
      </c>
      <c r="X56" s="5"/>
      <c r="Y56" s="5"/>
      <c r="Z56" s="5"/>
      <c r="AA56" s="5"/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B57">
        <v>4320</v>
      </c>
      <c r="C57">
        <v>5.6264199999999996E-15</v>
      </c>
      <c r="D57">
        <v>4.7040699999999999E-15</v>
      </c>
      <c r="E57">
        <v>9.2235000000000009E-16</v>
      </c>
      <c r="F57" s="1">
        <v>1.1501999999999999E-16</v>
      </c>
      <c r="G57" s="1">
        <v>6.2170000000000003E-20</v>
      </c>
      <c r="H57" s="1">
        <v>2.1387999999999999E-11</v>
      </c>
      <c r="I57" s="1">
        <v>7.6502999999999994E-11</v>
      </c>
      <c r="J57" s="1">
        <v>3.0994999999999999E-11</v>
      </c>
      <c r="N57" s="7"/>
      <c r="O57" s="51">
        <f t="shared" si="8"/>
        <v>72</v>
      </c>
      <c r="P57" s="52">
        <f t="shared" si="9"/>
        <v>101.20318123634287</v>
      </c>
      <c r="Q57" s="52">
        <f t="shared" si="10"/>
        <v>16.793514118484971</v>
      </c>
      <c r="R57" s="52">
        <f t="shared" si="11"/>
        <v>60.068604009709894</v>
      </c>
      <c r="S57" s="55">
        <f t="shared" si="12"/>
        <v>24.336645357279437</v>
      </c>
      <c r="T57" s="52">
        <f t="shared" si="13"/>
        <v>4.4177508685628057E-3</v>
      </c>
      <c r="U57" s="52">
        <f t="shared" si="14"/>
        <v>3.6935403557289072E-3</v>
      </c>
      <c r="V57" s="52">
        <f t="shared" si="15"/>
        <v>7.242105128338987E-4</v>
      </c>
      <c r="X57" s="5"/>
      <c r="Y57" s="5"/>
      <c r="Z57" s="67" t="s">
        <v>148</v>
      </c>
      <c r="AA57" s="95">
        <v>8973.7743828574494</v>
      </c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N58" s="7"/>
      <c r="P58" s="6"/>
      <c r="Q58" s="6"/>
      <c r="R58" s="6"/>
      <c r="S58" s="56"/>
      <c r="T58" s="6"/>
      <c r="U58" s="1"/>
      <c r="V58" s="1"/>
      <c r="X58" s="5"/>
      <c r="Y58" s="5"/>
      <c r="Z58" s="67" t="s">
        <v>149</v>
      </c>
      <c r="AA58" s="95">
        <v>6869.0504470205897</v>
      </c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9.5" thickBot="1" x14ac:dyDescent="0.35">
      <c r="N59" s="7"/>
      <c r="O59" s="1"/>
      <c r="P59" s="6"/>
      <c r="Q59" s="6"/>
      <c r="R59" s="6"/>
      <c r="S59" s="5"/>
      <c r="T59" s="6"/>
      <c r="U59" s="1"/>
      <c r="V59" s="1"/>
      <c r="X59" s="5"/>
      <c r="Y59" s="5"/>
      <c r="Z59" s="66" t="s">
        <v>150</v>
      </c>
      <c r="AA59" s="96">
        <f>AA58/AA57*100</f>
        <v>76.545834048853493</v>
      </c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/>
      <c r="B60" s="8" t="s">
        <v>18</v>
      </c>
      <c r="C60" s="8" t="s">
        <v>18</v>
      </c>
      <c r="D60" s="8" t="s">
        <v>18</v>
      </c>
      <c r="E60" s="1" t="s">
        <v>74</v>
      </c>
      <c r="F60" s="40"/>
      <c r="G60" s="41" t="s">
        <v>75</v>
      </c>
      <c r="H60" s="41" t="s">
        <v>75</v>
      </c>
      <c r="I60" s="42" t="s">
        <v>75</v>
      </c>
      <c r="N60" s="7"/>
      <c r="O60" s="1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/>
      <c r="B61" s="8" t="s">
        <v>73</v>
      </c>
      <c r="C61" s="8" t="s">
        <v>71</v>
      </c>
      <c r="D61" s="8" t="s">
        <v>72</v>
      </c>
      <c r="E61" s="1" t="s">
        <v>71</v>
      </c>
      <c r="F61" s="43"/>
      <c r="G61" s="8" t="s">
        <v>73</v>
      </c>
      <c r="H61" s="8" t="s">
        <v>71</v>
      </c>
      <c r="I61" s="44" t="s">
        <v>72</v>
      </c>
      <c r="N61" s="7"/>
      <c r="O61" s="1"/>
      <c r="P61" s="6"/>
      <c r="Q61" s="6"/>
      <c r="R61" s="6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 t="s">
        <v>0</v>
      </c>
      <c r="B62" s="8" t="s">
        <v>125</v>
      </c>
      <c r="C62" s="8" t="s">
        <v>126</v>
      </c>
      <c r="D62" s="8" t="s">
        <v>126</v>
      </c>
      <c r="E62" s="1" t="s">
        <v>126</v>
      </c>
      <c r="F62" s="45" t="str">
        <f>A62</f>
        <v>Time (min)</v>
      </c>
      <c r="G62" s="8" t="str">
        <f>B62</f>
        <v>MW=5.8, sigma_ve=0.1, sigma_le=0, p_ve=1E-8, p_le=7.2E-8, D_gel=9.4E-11, kf_m=1.45, kr_m=6.82, k_decay=1E-5, cA+cMA (mol)</v>
      </c>
      <c r="H62" s="8" t="str">
        <f>C62</f>
        <v>MW=5.8, sigma_ve=0.1, sigma_le=0, p_ve=1E-8, p_le=7.2E-8, D_gel=9.4E-11, kf_m=1.45, kr_m=6.82, k_decay=1E-5, Concentration (mol)</v>
      </c>
      <c r="I62" s="44" t="str">
        <f>D62</f>
        <v>MW=5.8, sigma_ve=0.1, sigma_le=0, p_ve=1E-8, p_le=7.2E-8, D_gel=9.4E-11, kf_m=1.45, kr_m=6.82, k_decay=1E-5, Concentration (mol)</v>
      </c>
      <c r="N62" s="7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0</v>
      </c>
      <c r="B63" s="8">
        <v>1.2102999999999999E-10</v>
      </c>
      <c r="C63" s="8">
        <v>1.2101E-10</v>
      </c>
      <c r="D63" s="8">
        <v>1.9887000000000001E-14</v>
      </c>
      <c r="E63" s="1">
        <v>6.0723000000000003E-12</v>
      </c>
      <c r="F63" s="45">
        <f t="shared" ref="F63:F105" si="16">A63</f>
        <v>0</v>
      </c>
      <c r="G63" s="8">
        <f>H63+I63</f>
        <v>1.2710218700000001E-10</v>
      </c>
      <c r="H63" s="1">
        <f t="shared" ref="H63:H105" si="17">C63+E63</f>
        <v>1.270823E-10</v>
      </c>
      <c r="I63" s="46">
        <f t="shared" ref="I63:I105" si="18">D63</f>
        <v>1.9887000000000001E-14</v>
      </c>
      <c r="N63" s="7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2.2759999999999998</v>
      </c>
      <c r="B64" s="8">
        <v>1.1871E-10</v>
      </c>
      <c r="C64" s="8">
        <v>9.7900000000000006E-11</v>
      </c>
      <c r="D64" s="8">
        <v>2.0815000000000001E-11</v>
      </c>
      <c r="E64" s="1">
        <v>6.5258000000000003E-12</v>
      </c>
      <c r="F64" s="45">
        <f t="shared" si="16"/>
        <v>2.2759999999999998</v>
      </c>
      <c r="G64" s="8">
        <f t="shared" ref="G64:G105" si="19">H64+I64</f>
        <v>1.252408E-10</v>
      </c>
      <c r="H64" s="1">
        <f t="shared" si="17"/>
        <v>1.044258E-10</v>
      </c>
      <c r="I64" s="46">
        <f t="shared" si="18"/>
        <v>2.0815000000000001E-11</v>
      </c>
      <c r="N64" s="7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4.3239999999999998</v>
      </c>
      <c r="B65" s="8">
        <v>1.1738000000000001E-10</v>
      </c>
      <c r="C65" s="8">
        <v>9.6798999999999996E-11</v>
      </c>
      <c r="D65" s="8">
        <v>2.0581E-11</v>
      </c>
      <c r="E65" s="1">
        <v>7.1907999999999996E-12</v>
      </c>
      <c r="F65" s="45">
        <f t="shared" si="16"/>
        <v>4.3239999999999998</v>
      </c>
      <c r="G65" s="8">
        <f t="shared" si="19"/>
        <v>1.2457079999999999E-10</v>
      </c>
      <c r="H65" s="1">
        <f t="shared" si="17"/>
        <v>1.039898E-10</v>
      </c>
      <c r="I65" s="46">
        <f t="shared" si="18"/>
        <v>2.0581E-11</v>
      </c>
      <c r="N65" s="7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7.3959999999999999</v>
      </c>
      <c r="B66" s="8">
        <v>1.1594E-10</v>
      </c>
      <c r="C66" s="8">
        <v>9.5613000000000006E-11</v>
      </c>
      <c r="D66" s="8">
        <v>2.0328000000000001E-11</v>
      </c>
      <c r="E66" s="1">
        <v>7.6898000000000006E-12</v>
      </c>
      <c r="F66" s="45">
        <f t="shared" si="16"/>
        <v>7.3959999999999999</v>
      </c>
      <c r="G66" s="8">
        <f t="shared" si="19"/>
        <v>1.2363080000000001E-10</v>
      </c>
      <c r="H66" s="1">
        <f t="shared" si="17"/>
        <v>1.0330280000000001E-10</v>
      </c>
      <c r="I66" s="46">
        <f t="shared" si="18"/>
        <v>2.0328000000000001E-11</v>
      </c>
      <c r="N66" s="7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9.2392000000000003</v>
      </c>
      <c r="B67" s="8">
        <v>1.1528E-10</v>
      </c>
      <c r="C67" s="8">
        <v>9.5064000000000001E-11</v>
      </c>
      <c r="D67" s="8">
        <v>2.0212000000000002E-11</v>
      </c>
      <c r="E67" s="1">
        <v>7.8122999999999997E-12</v>
      </c>
      <c r="F67" s="45">
        <f t="shared" si="16"/>
        <v>9.2392000000000003</v>
      </c>
      <c r="G67" s="8">
        <f t="shared" si="19"/>
        <v>1.2308829999999999E-10</v>
      </c>
      <c r="H67" s="1">
        <f t="shared" si="17"/>
        <v>1.0287629999999999E-10</v>
      </c>
      <c r="I67" s="46">
        <f t="shared" si="18"/>
        <v>2.0212000000000002E-11</v>
      </c>
      <c r="N67" s="7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11.082000000000001</v>
      </c>
      <c r="B68" s="8">
        <v>1.1468999999999999E-10</v>
      </c>
      <c r="C68" s="8">
        <v>9.4580999999999994E-11</v>
      </c>
      <c r="D68" s="8">
        <v>2.0109E-11</v>
      </c>
      <c r="E68" s="1">
        <v>7.8639E-12</v>
      </c>
      <c r="F68" s="45">
        <f t="shared" si="16"/>
        <v>11.082000000000001</v>
      </c>
      <c r="G68" s="8">
        <f t="shared" si="19"/>
        <v>1.2255390000000001E-10</v>
      </c>
      <c r="H68" s="1">
        <f t="shared" si="17"/>
        <v>1.024449E-10</v>
      </c>
      <c r="I68" s="46">
        <f t="shared" si="18"/>
        <v>2.0109E-11</v>
      </c>
      <c r="N68" s="7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12.926</v>
      </c>
      <c r="B69" s="8">
        <v>1.1415E-10</v>
      </c>
      <c r="C69" s="8">
        <v>9.4138000000000006E-11</v>
      </c>
      <c r="D69" s="8">
        <v>2.0015000000000001E-11</v>
      </c>
      <c r="E69" s="1">
        <v>7.8761999999999999E-12</v>
      </c>
      <c r="F69" s="45">
        <f t="shared" si="16"/>
        <v>12.926</v>
      </c>
      <c r="G69" s="8">
        <f t="shared" si="19"/>
        <v>1.2202920000000002E-10</v>
      </c>
      <c r="H69" s="1">
        <f t="shared" si="17"/>
        <v>1.0201420000000001E-10</v>
      </c>
      <c r="I69" s="46">
        <f t="shared" si="18"/>
        <v>2.0015000000000001E-11</v>
      </c>
      <c r="N69" s="7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14.769</v>
      </c>
      <c r="B70" s="8">
        <v>1.1363999999999999E-10</v>
      </c>
      <c r="C70" s="8">
        <v>9.3717999999999996E-11</v>
      </c>
      <c r="D70" s="8">
        <v>1.9924999999999998E-11</v>
      </c>
      <c r="E70" s="1">
        <v>7.8672999999999998E-12</v>
      </c>
      <c r="F70" s="45">
        <f t="shared" si="16"/>
        <v>14.769</v>
      </c>
      <c r="G70" s="8">
        <f t="shared" si="19"/>
        <v>1.2151029999999999E-10</v>
      </c>
      <c r="H70" s="1">
        <f t="shared" si="17"/>
        <v>1.015853E-10</v>
      </c>
      <c r="I70" s="46">
        <f t="shared" si="18"/>
        <v>1.9924999999999998E-11</v>
      </c>
      <c r="N70" s="7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16.611999999999998</v>
      </c>
      <c r="B71" s="8">
        <v>1.1315E-10</v>
      </c>
      <c r="C71" s="8">
        <v>9.3310999999999994E-11</v>
      </c>
      <c r="D71" s="8">
        <v>1.9839000000000001E-11</v>
      </c>
      <c r="E71" s="1">
        <v>7.8472999999999995E-12</v>
      </c>
      <c r="F71" s="45">
        <f t="shared" si="16"/>
        <v>16.611999999999998</v>
      </c>
      <c r="G71" s="8">
        <f t="shared" si="19"/>
        <v>1.2099729999999999E-10</v>
      </c>
      <c r="H71" s="1">
        <f t="shared" si="17"/>
        <v>1.0115829999999999E-10</v>
      </c>
      <c r="I71" s="46">
        <f t="shared" si="18"/>
        <v>1.9839000000000001E-11</v>
      </c>
      <c r="N71" s="7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20.297999999999998</v>
      </c>
      <c r="B72" s="8">
        <v>1.1219E-10</v>
      </c>
      <c r="C72" s="8">
        <v>9.2515999999999999E-11</v>
      </c>
      <c r="D72" s="8">
        <v>1.9670000000000002E-11</v>
      </c>
      <c r="E72" s="1">
        <v>7.7955000000000001E-12</v>
      </c>
      <c r="F72" s="45">
        <f t="shared" si="16"/>
        <v>20.297999999999998</v>
      </c>
      <c r="G72" s="8">
        <f t="shared" si="19"/>
        <v>1.199815E-10</v>
      </c>
      <c r="H72" s="1">
        <f t="shared" si="17"/>
        <v>1.003115E-10</v>
      </c>
      <c r="I72" s="46">
        <f t="shared" si="18"/>
        <v>1.9670000000000002E-11</v>
      </c>
      <c r="N72" s="7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27.670999999999999</v>
      </c>
      <c r="B73" s="8">
        <v>1.1033E-10</v>
      </c>
      <c r="C73" s="8">
        <v>9.0989000000000005E-11</v>
      </c>
      <c r="D73" s="8">
        <v>1.9344999999999999E-11</v>
      </c>
      <c r="E73" s="1">
        <v>7.6699999999999994E-12</v>
      </c>
      <c r="F73" s="45">
        <f t="shared" si="16"/>
        <v>27.670999999999999</v>
      </c>
      <c r="G73" s="8">
        <f t="shared" si="19"/>
        <v>1.1800399999999999E-10</v>
      </c>
      <c r="H73" s="1">
        <f t="shared" si="17"/>
        <v>9.8659000000000003E-11</v>
      </c>
      <c r="I73" s="46">
        <f t="shared" si="18"/>
        <v>1.9344999999999999E-11</v>
      </c>
      <c r="N73" s="7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35.043999999999997</v>
      </c>
      <c r="B74" s="8">
        <v>1.0852E-10</v>
      </c>
      <c r="C74" s="8">
        <v>8.9490000000000006E-11</v>
      </c>
      <c r="D74" s="8">
        <v>1.9025999999999999E-11</v>
      </c>
      <c r="E74" s="1">
        <v>7.5450999999999994E-12</v>
      </c>
      <c r="F74" s="45">
        <f t="shared" si="16"/>
        <v>35.043999999999997</v>
      </c>
      <c r="G74" s="8">
        <f t="shared" si="19"/>
        <v>1.1606110000000001E-10</v>
      </c>
      <c r="H74" s="1">
        <f t="shared" si="17"/>
        <v>9.703510000000001E-11</v>
      </c>
      <c r="I74" s="46">
        <f t="shared" si="18"/>
        <v>1.9025999999999999E-11</v>
      </c>
      <c r="N74" s="7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49.79</v>
      </c>
      <c r="B75" s="8">
        <v>1.05E-10</v>
      </c>
      <c r="C75" s="8">
        <v>8.6588999999999999E-11</v>
      </c>
      <c r="D75" s="8">
        <v>1.8410000000000001E-11</v>
      </c>
      <c r="E75" s="1">
        <v>7.3015999999999995E-12</v>
      </c>
      <c r="F75" s="45">
        <f t="shared" si="16"/>
        <v>49.79</v>
      </c>
      <c r="G75" s="8">
        <f t="shared" si="19"/>
        <v>1.123006E-10</v>
      </c>
      <c r="H75" s="1">
        <f t="shared" si="17"/>
        <v>9.3890599999999996E-11</v>
      </c>
      <c r="I75" s="46">
        <f t="shared" si="18"/>
        <v>1.8410000000000001E-11</v>
      </c>
      <c r="N75" s="7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79.281000000000006</v>
      </c>
      <c r="B76" s="8">
        <v>9.8406999999999999E-11</v>
      </c>
      <c r="C76" s="8">
        <v>8.1152999999999999E-11</v>
      </c>
      <c r="D76" s="8">
        <v>1.7254000000000001E-11</v>
      </c>
      <c r="E76" s="1">
        <v>6.8435999999999996E-12</v>
      </c>
      <c r="F76" s="45">
        <f t="shared" si="16"/>
        <v>79.281000000000006</v>
      </c>
      <c r="G76" s="8">
        <f t="shared" si="19"/>
        <v>1.052506E-10</v>
      </c>
      <c r="H76" s="1">
        <f t="shared" si="17"/>
        <v>8.7996599999999995E-11</v>
      </c>
      <c r="I76" s="46">
        <f t="shared" si="18"/>
        <v>1.7254000000000001E-11</v>
      </c>
      <c r="N76" s="7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108.77</v>
      </c>
      <c r="B77" s="8">
        <v>9.2227999999999997E-11</v>
      </c>
      <c r="C77" s="8">
        <v>7.6056999999999994E-11</v>
      </c>
      <c r="D77" s="8">
        <v>1.6171E-11</v>
      </c>
      <c r="E77" s="1">
        <v>6.4139999999999999E-12</v>
      </c>
      <c r="F77" s="45">
        <f t="shared" si="16"/>
        <v>108.77</v>
      </c>
      <c r="G77" s="8">
        <f t="shared" si="19"/>
        <v>9.8641999999999999E-11</v>
      </c>
      <c r="H77" s="1">
        <f t="shared" si="17"/>
        <v>8.2470999999999996E-11</v>
      </c>
      <c r="I77" s="46">
        <f t="shared" si="18"/>
        <v>1.6171E-11</v>
      </c>
      <c r="N77" s="7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138.26</v>
      </c>
      <c r="B78" s="8">
        <v>8.6437999999999997E-11</v>
      </c>
      <c r="C78" s="8">
        <v>7.1282000000000003E-11</v>
      </c>
      <c r="D78" s="8">
        <v>1.5155000000000002E-11</v>
      </c>
      <c r="E78" s="1">
        <v>6.0112999999999996E-12</v>
      </c>
      <c r="F78" s="45">
        <f t="shared" si="16"/>
        <v>138.26</v>
      </c>
      <c r="G78" s="8">
        <f t="shared" si="19"/>
        <v>9.2448300000000002E-11</v>
      </c>
      <c r="H78" s="1">
        <f t="shared" si="17"/>
        <v>7.7293300000000004E-11</v>
      </c>
      <c r="I78" s="46">
        <f t="shared" si="18"/>
        <v>1.5155000000000002E-11</v>
      </c>
      <c r="N78" s="7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197.25</v>
      </c>
      <c r="B79" s="8">
        <v>7.5695000000000003E-11</v>
      </c>
      <c r="C79" s="8">
        <v>6.2423000000000003E-11</v>
      </c>
      <c r="D79" s="8">
        <v>1.3272000000000001E-11</v>
      </c>
      <c r="E79" s="1">
        <v>5.2642000000000001E-12</v>
      </c>
      <c r="F79" s="45">
        <f t="shared" si="16"/>
        <v>197.25</v>
      </c>
      <c r="G79" s="8">
        <f t="shared" si="19"/>
        <v>8.0959200000000001E-11</v>
      </c>
      <c r="H79" s="1">
        <f t="shared" si="17"/>
        <v>6.76872E-11</v>
      </c>
      <c r="I79" s="46">
        <f t="shared" si="18"/>
        <v>1.3272000000000001E-11</v>
      </c>
      <c r="N79" s="7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256.23</v>
      </c>
      <c r="B80" s="8">
        <v>6.6203000000000001E-11</v>
      </c>
      <c r="C80" s="8">
        <v>5.4596000000000002E-11</v>
      </c>
      <c r="D80" s="8">
        <v>1.1608E-11</v>
      </c>
      <c r="E80" s="1">
        <v>4.6040999999999997E-12</v>
      </c>
      <c r="F80" s="45">
        <f t="shared" si="16"/>
        <v>256.23</v>
      </c>
      <c r="G80" s="8">
        <f t="shared" si="19"/>
        <v>7.0808100000000001E-11</v>
      </c>
      <c r="H80" s="1">
        <f t="shared" si="17"/>
        <v>5.9200100000000006E-11</v>
      </c>
      <c r="I80" s="46">
        <f t="shared" si="18"/>
        <v>1.1608E-11</v>
      </c>
      <c r="N80" s="7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374.19</v>
      </c>
      <c r="B81" s="8">
        <v>5.0457E-11</v>
      </c>
      <c r="C81" s="8">
        <v>4.1609999999999999E-11</v>
      </c>
      <c r="D81" s="8">
        <v>8.8467999999999998E-12</v>
      </c>
      <c r="E81" s="1">
        <v>3.5090000000000001E-12</v>
      </c>
      <c r="F81" s="45">
        <f t="shared" si="16"/>
        <v>374.19</v>
      </c>
      <c r="G81" s="8">
        <f t="shared" si="19"/>
        <v>5.3965800000000001E-11</v>
      </c>
      <c r="H81" s="1">
        <f t="shared" si="17"/>
        <v>4.5118999999999999E-11</v>
      </c>
      <c r="I81" s="46">
        <f t="shared" si="18"/>
        <v>8.8467999999999998E-12</v>
      </c>
      <c r="N81" s="7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492.16</v>
      </c>
      <c r="B82" s="8">
        <v>3.8366999999999999E-11</v>
      </c>
      <c r="C82" s="8">
        <v>3.164E-11</v>
      </c>
      <c r="D82" s="8">
        <v>6.7269999999999999E-12</v>
      </c>
      <c r="E82" s="1">
        <v>2.6681999999999999E-12</v>
      </c>
      <c r="F82" s="45">
        <f t="shared" si="16"/>
        <v>492.16</v>
      </c>
      <c r="G82" s="8">
        <f t="shared" si="19"/>
        <v>4.1035199999999996E-11</v>
      </c>
      <c r="H82" s="1">
        <f t="shared" si="17"/>
        <v>3.4308199999999997E-11</v>
      </c>
      <c r="I82" s="46">
        <f t="shared" si="18"/>
        <v>6.7269999999999999E-12</v>
      </c>
      <c r="N82" s="7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610.12</v>
      </c>
      <c r="B83" s="8">
        <v>2.9143999999999998E-11</v>
      </c>
      <c r="C83" s="8">
        <v>2.4033999999999999E-11</v>
      </c>
      <c r="D83" s="8">
        <v>5.1097999999999999E-12</v>
      </c>
      <c r="E83" s="1">
        <v>2.0267999999999998E-12</v>
      </c>
      <c r="F83" s="45">
        <f t="shared" si="16"/>
        <v>610.12</v>
      </c>
      <c r="G83" s="8">
        <f t="shared" si="19"/>
        <v>3.1170599999999998E-11</v>
      </c>
      <c r="H83" s="1">
        <f t="shared" si="17"/>
        <v>2.6060799999999998E-11</v>
      </c>
      <c r="I83" s="46">
        <f t="shared" si="18"/>
        <v>5.1097999999999999E-12</v>
      </c>
      <c r="N83" s="7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716.29</v>
      </c>
      <c r="B84" s="8">
        <v>2.2768000000000002E-11</v>
      </c>
      <c r="C84" s="8">
        <v>1.8776E-11</v>
      </c>
      <c r="D84" s="8">
        <v>3.9919000000000004E-12</v>
      </c>
      <c r="E84" s="1">
        <v>1.5834000000000001E-12</v>
      </c>
      <c r="F84" s="45">
        <f t="shared" si="16"/>
        <v>716.29</v>
      </c>
      <c r="G84" s="8">
        <f t="shared" si="19"/>
        <v>2.4351299999999999E-11</v>
      </c>
      <c r="H84" s="1">
        <f t="shared" si="17"/>
        <v>2.0359400000000001E-11</v>
      </c>
      <c r="I84" s="46">
        <f t="shared" si="18"/>
        <v>3.9919000000000004E-12</v>
      </c>
      <c r="N84" s="7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822.46</v>
      </c>
      <c r="B85" s="8">
        <v>1.7788999999999999E-11</v>
      </c>
      <c r="C85" s="8">
        <v>1.4669999999999999E-11</v>
      </c>
      <c r="D85" s="8">
        <v>3.1189999999999999E-12</v>
      </c>
      <c r="E85" s="1">
        <v>1.2371000000000001E-12</v>
      </c>
      <c r="F85" s="45">
        <f t="shared" si="16"/>
        <v>822.46</v>
      </c>
      <c r="G85" s="8">
        <f t="shared" si="19"/>
        <v>1.9026099999999999E-11</v>
      </c>
      <c r="H85" s="1">
        <f t="shared" si="17"/>
        <v>1.59071E-11</v>
      </c>
      <c r="I85" s="46">
        <f t="shared" si="18"/>
        <v>3.1189999999999999E-12</v>
      </c>
      <c r="N85" s="7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928.63</v>
      </c>
      <c r="B86" s="8">
        <v>1.39E-11</v>
      </c>
      <c r="C86" s="8">
        <v>1.1463E-11</v>
      </c>
      <c r="D86" s="8">
        <v>2.4371000000000002E-12</v>
      </c>
      <c r="E86" s="1">
        <v>9.6666000000000004E-13</v>
      </c>
      <c r="F86" s="45">
        <f t="shared" si="16"/>
        <v>928.63</v>
      </c>
      <c r="G86" s="8">
        <f t="shared" si="19"/>
        <v>1.486676E-11</v>
      </c>
      <c r="H86" s="1">
        <f t="shared" si="17"/>
        <v>1.242966E-11</v>
      </c>
      <c r="I86" s="46">
        <f t="shared" si="18"/>
        <v>2.4371000000000002E-12</v>
      </c>
      <c r="N86" s="7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1034.8</v>
      </c>
      <c r="B87" s="8">
        <v>1.0861000000000001E-11</v>
      </c>
      <c r="C87" s="8">
        <v>8.9570000000000007E-12</v>
      </c>
      <c r="D87" s="8">
        <v>1.9042999999999999E-12</v>
      </c>
      <c r="E87" s="1">
        <v>7.5533999999999999E-13</v>
      </c>
      <c r="F87" s="45">
        <f t="shared" si="16"/>
        <v>1034.8</v>
      </c>
      <c r="G87" s="8">
        <f t="shared" si="19"/>
        <v>1.1616640000000002E-11</v>
      </c>
      <c r="H87" s="1">
        <f t="shared" si="17"/>
        <v>9.7123400000000014E-12</v>
      </c>
      <c r="I87" s="46">
        <f t="shared" si="18"/>
        <v>1.9042999999999999E-12</v>
      </c>
      <c r="N87" s="7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1141</v>
      </c>
      <c r="B88" s="8">
        <v>8.4869999999999997E-12</v>
      </c>
      <c r="C88" s="8">
        <v>6.9989E-12</v>
      </c>
      <c r="D88" s="8">
        <v>1.4881000000000001E-12</v>
      </c>
      <c r="E88" s="1">
        <v>5.9021999999999998E-13</v>
      </c>
      <c r="F88" s="45">
        <f t="shared" si="16"/>
        <v>1141</v>
      </c>
      <c r="G88" s="8">
        <f t="shared" si="19"/>
        <v>9.0772200000000004E-12</v>
      </c>
      <c r="H88" s="1">
        <f t="shared" si="17"/>
        <v>7.5891200000000007E-12</v>
      </c>
      <c r="I88" s="46">
        <f t="shared" si="18"/>
        <v>1.4881000000000001E-12</v>
      </c>
      <c r="N88" s="7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1247.0999999999999</v>
      </c>
      <c r="B89" s="8">
        <v>6.6316999999999997E-12</v>
      </c>
      <c r="C89" s="8">
        <v>5.4690000000000002E-12</v>
      </c>
      <c r="D89" s="8">
        <v>1.1628000000000001E-12</v>
      </c>
      <c r="E89" s="1">
        <v>4.6119999999999999E-13</v>
      </c>
      <c r="F89" s="45">
        <f t="shared" si="16"/>
        <v>1247.0999999999999</v>
      </c>
      <c r="G89" s="8">
        <f t="shared" si="19"/>
        <v>7.0929999999999998E-12</v>
      </c>
      <c r="H89" s="1">
        <f t="shared" si="17"/>
        <v>5.9301999999999999E-12</v>
      </c>
      <c r="I89" s="46">
        <f t="shared" si="18"/>
        <v>1.1628000000000001E-12</v>
      </c>
      <c r="N89" s="7"/>
      <c r="O89" s="1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1353.3</v>
      </c>
      <c r="B90" s="8">
        <v>5.1820999999999999E-12</v>
      </c>
      <c r="C90" s="8">
        <v>4.2735000000000003E-12</v>
      </c>
      <c r="D90" s="8">
        <v>9.0858999999999997E-13</v>
      </c>
      <c r="E90" s="1">
        <v>3.6037999999999997E-13</v>
      </c>
      <c r="F90" s="45">
        <f t="shared" si="16"/>
        <v>1353.3</v>
      </c>
      <c r="G90" s="8">
        <f t="shared" si="19"/>
        <v>5.5424700000000003E-12</v>
      </c>
      <c r="H90" s="1">
        <f t="shared" si="17"/>
        <v>4.63388E-12</v>
      </c>
      <c r="I90" s="46">
        <f t="shared" si="18"/>
        <v>9.0858999999999997E-13</v>
      </c>
      <c r="N90" s="7"/>
      <c r="O90" s="1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1459.5</v>
      </c>
      <c r="B91" s="8">
        <v>4.0492999999999997E-12</v>
      </c>
      <c r="C91" s="8">
        <v>3.3393000000000001E-12</v>
      </c>
      <c r="D91" s="8">
        <v>7.0996999999999995E-13</v>
      </c>
      <c r="E91" s="1">
        <v>2.8159999999999998E-13</v>
      </c>
      <c r="F91" s="45">
        <f t="shared" si="16"/>
        <v>1459.5</v>
      </c>
      <c r="G91" s="8">
        <f t="shared" si="19"/>
        <v>4.3308700000000001E-12</v>
      </c>
      <c r="H91" s="1">
        <f t="shared" si="17"/>
        <v>3.6209000000000001E-12</v>
      </c>
      <c r="I91" s="46">
        <f t="shared" si="18"/>
        <v>7.0996999999999995E-13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1565.6</v>
      </c>
      <c r="B92" s="8">
        <v>3.1640999999999998E-12</v>
      </c>
      <c r="C92" s="8">
        <v>2.6093000000000002E-12</v>
      </c>
      <c r="D92" s="8">
        <v>5.5477999999999998E-13</v>
      </c>
      <c r="E92" s="1">
        <v>2.2005000000000001E-13</v>
      </c>
      <c r="F92" s="45">
        <f t="shared" si="16"/>
        <v>1565.6</v>
      </c>
      <c r="G92" s="8">
        <f t="shared" si="19"/>
        <v>3.38413E-12</v>
      </c>
      <c r="H92" s="1">
        <f t="shared" si="17"/>
        <v>2.8293500000000003E-12</v>
      </c>
      <c r="I92" s="46">
        <f t="shared" si="18"/>
        <v>5.5477999999999998E-13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1671.8</v>
      </c>
      <c r="B93" s="8">
        <v>2.4724999999999998E-12</v>
      </c>
      <c r="C93" s="8">
        <v>2.0390000000000001E-12</v>
      </c>
      <c r="D93" s="8">
        <v>4.3350000000000002E-13</v>
      </c>
      <c r="E93" s="1">
        <v>1.7194E-13</v>
      </c>
      <c r="F93" s="45">
        <f t="shared" si="16"/>
        <v>1671.8</v>
      </c>
      <c r="G93" s="8">
        <f t="shared" si="19"/>
        <v>2.6444400000000004E-12</v>
      </c>
      <c r="H93" s="1">
        <f t="shared" si="17"/>
        <v>2.2109400000000003E-12</v>
      </c>
      <c r="I93" s="46">
        <f t="shared" si="18"/>
        <v>4.3350000000000002E-13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1778</v>
      </c>
      <c r="B94" s="8">
        <v>1.9319999999999998E-12</v>
      </c>
      <c r="C94" s="8">
        <v>1.5931999999999999E-12</v>
      </c>
      <c r="D94" s="8">
        <v>3.3873999999999998E-13</v>
      </c>
      <c r="E94" s="1">
        <v>1.3435999999999999E-13</v>
      </c>
      <c r="F94" s="45">
        <f t="shared" si="16"/>
        <v>1778</v>
      </c>
      <c r="G94" s="8">
        <f t="shared" si="19"/>
        <v>2.0662999999999998E-12</v>
      </c>
      <c r="H94" s="1">
        <f t="shared" si="17"/>
        <v>1.72756E-12</v>
      </c>
      <c r="I94" s="46">
        <f t="shared" si="18"/>
        <v>3.3873999999999998E-13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1884.1</v>
      </c>
      <c r="B95" s="8">
        <v>1.5096999999999999E-12</v>
      </c>
      <c r="C95" s="8">
        <v>1.245E-12</v>
      </c>
      <c r="D95" s="8">
        <v>2.6469000000000001E-13</v>
      </c>
      <c r="E95" s="1">
        <v>1.0499E-13</v>
      </c>
      <c r="F95" s="45">
        <f t="shared" si="16"/>
        <v>1884.1</v>
      </c>
      <c r="G95" s="8">
        <f t="shared" si="19"/>
        <v>1.6146799999999999E-12</v>
      </c>
      <c r="H95" s="1">
        <f t="shared" si="17"/>
        <v>1.34999E-12</v>
      </c>
      <c r="I95" s="46">
        <f t="shared" si="18"/>
        <v>2.6469000000000001E-13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1990.3</v>
      </c>
      <c r="B96" s="8">
        <v>1.1796999999999999E-12</v>
      </c>
      <c r="C96" s="8">
        <v>9.7282000000000009E-13</v>
      </c>
      <c r="D96" s="8">
        <v>2.0682999999999999E-13</v>
      </c>
      <c r="E96" s="1">
        <v>8.2038000000000003E-14</v>
      </c>
      <c r="F96" s="45">
        <f t="shared" si="16"/>
        <v>1990.3</v>
      </c>
      <c r="G96" s="8">
        <f t="shared" si="19"/>
        <v>1.2616880000000001E-12</v>
      </c>
      <c r="H96" s="1">
        <f t="shared" si="17"/>
        <v>1.0548580000000001E-12</v>
      </c>
      <c r="I96" s="46">
        <f t="shared" si="18"/>
        <v>2.0682999999999999E-13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2096.5</v>
      </c>
      <c r="B97" s="8">
        <v>9.2179000000000005E-13</v>
      </c>
      <c r="C97" s="8">
        <v>7.6016999999999998E-13</v>
      </c>
      <c r="D97" s="8">
        <v>1.6162E-13</v>
      </c>
      <c r="E97" s="1">
        <v>6.4104999999999995E-14</v>
      </c>
      <c r="F97" s="45">
        <f t="shared" si="16"/>
        <v>2096.5</v>
      </c>
      <c r="G97" s="8">
        <f t="shared" si="19"/>
        <v>9.8589500000000001E-13</v>
      </c>
      <c r="H97" s="1">
        <f t="shared" si="17"/>
        <v>8.2427499999999994E-13</v>
      </c>
      <c r="I97" s="46">
        <f t="shared" si="18"/>
        <v>1.6162E-13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2202.6</v>
      </c>
      <c r="B98" s="8">
        <v>7.2028999999999995E-13</v>
      </c>
      <c r="C98" s="8">
        <v>5.9399999999999999E-13</v>
      </c>
      <c r="D98" s="8">
        <v>1.2629000000000001E-13</v>
      </c>
      <c r="E98" s="1">
        <v>5.0091999999999997E-14</v>
      </c>
      <c r="F98" s="45">
        <f t="shared" si="16"/>
        <v>2202.6</v>
      </c>
      <c r="G98" s="8">
        <f t="shared" si="19"/>
        <v>7.7038199999999994E-13</v>
      </c>
      <c r="H98" s="1">
        <f t="shared" si="17"/>
        <v>6.4409199999999998E-13</v>
      </c>
      <c r="I98" s="46">
        <f t="shared" si="18"/>
        <v>1.2629000000000001E-13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2308.8000000000002</v>
      </c>
      <c r="B99" s="8">
        <v>5.6283999999999995E-13</v>
      </c>
      <c r="C99" s="8">
        <v>4.6415E-13</v>
      </c>
      <c r="D99" s="8">
        <v>9.8684000000000001E-14</v>
      </c>
      <c r="E99" s="1">
        <v>3.9141999999999997E-14</v>
      </c>
      <c r="F99" s="45">
        <f t="shared" si="16"/>
        <v>2308.8000000000002</v>
      </c>
      <c r="G99" s="8">
        <f t="shared" si="19"/>
        <v>6.0197600000000004E-13</v>
      </c>
      <c r="H99" s="1">
        <f t="shared" si="17"/>
        <v>5.0329200000000001E-13</v>
      </c>
      <c r="I99" s="46">
        <f t="shared" si="18"/>
        <v>9.8684000000000001E-14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2415</v>
      </c>
      <c r="B100" s="8">
        <v>4.398E-13</v>
      </c>
      <c r="C100" s="8">
        <v>3.6268999999999999E-13</v>
      </c>
      <c r="D100" s="8">
        <v>7.7112000000000005E-14</v>
      </c>
      <c r="E100" s="1">
        <v>3.0586E-14</v>
      </c>
      <c r="F100" s="45">
        <f t="shared" si="16"/>
        <v>2415</v>
      </c>
      <c r="G100" s="8">
        <f t="shared" si="19"/>
        <v>4.7038800000000003E-13</v>
      </c>
      <c r="H100" s="1">
        <f t="shared" si="17"/>
        <v>3.9327599999999998E-13</v>
      </c>
      <c r="I100" s="46">
        <f t="shared" si="18"/>
        <v>7.7112000000000005E-14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2521.1999999999998</v>
      </c>
      <c r="B101" s="8">
        <v>3.4366000000000002E-13</v>
      </c>
      <c r="C101" s="8">
        <v>2.8341E-13</v>
      </c>
      <c r="D101" s="8">
        <v>6.0255000000000004E-14</v>
      </c>
      <c r="E101" s="1">
        <v>2.3900000000000001E-14</v>
      </c>
      <c r="F101" s="45">
        <f t="shared" si="16"/>
        <v>2521.1999999999998</v>
      </c>
      <c r="G101" s="8">
        <f t="shared" si="19"/>
        <v>3.6756499999999996E-13</v>
      </c>
      <c r="H101" s="1">
        <f t="shared" si="17"/>
        <v>3.0730999999999998E-13</v>
      </c>
      <c r="I101" s="46">
        <f t="shared" si="18"/>
        <v>6.0255000000000004E-14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2627.3</v>
      </c>
      <c r="B102" s="8">
        <v>2.6853999999999998E-13</v>
      </c>
      <c r="C102" s="8">
        <v>2.2146E-13</v>
      </c>
      <c r="D102" s="8">
        <v>4.7083999999999999E-14</v>
      </c>
      <c r="E102" s="1">
        <v>1.8675E-14</v>
      </c>
      <c r="F102" s="45">
        <f t="shared" si="16"/>
        <v>2627.3</v>
      </c>
      <c r="G102" s="8">
        <f t="shared" si="19"/>
        <v>2.8721899999999999E-13</v>
      </c>
      <c r="H102" s="1">
        <f t="shared" si="17"/>
        <v>2.4013500000000002E-13</v>
      </c>
      <c r="I102" s="46">
        <f t="shared" si="18"/>
        <v>4.7083999999999999E-14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2733.5</v>
      </c>
      <c r="B103" s="8">
        <v>2.0983999999999999E-13</v>
      </c>
      <c r="C103" s="8">
        <v>1.7305E-13</v>
      </c>
      <c r="D103" s="8">
        <v>3.6792E-14</v>
      </c>
      <c r="E103" s="1">
        <v>1.4593E-14</v>
      </c>
      <c r="F103" s="45">
        <f t="shared" si="16"/>
        <v>2733.5</v>
      </c>
      <c r="G103" s="8">
        <f t="shared" si="19"/>
        <v>2.2443500000000002E-13</v>
      </c>
      <c r="H103" s="1">
        <f t="shared" si="17"/>
        <v>1.8764300000000001E-13</v>
      </c>
      <c r="I103" s="46">
        <f t="shared" si="18"/>
        <v>3.6792E-14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2839.7</v>
      </c>
      <c r="B104" s="8">
        <v>1.6397000000000001E-13</v>
      </c>
      <c r="C104" s="8">
        <v>1.3522E-13</v>
      </c>
      <c r="D104" s="8">
        <v>2.8749000000000001E-14</v>
      </c>
      <c r="E104" s="1">
        <v>1.1403E-14</v>
      </c>
      <c r="F104" s="45">
        <f t="shared" si="16"/>
        <v>2839.7</v>
      </c>
      <c r="G104" s="8">
        <f t="shared" si="19"/>
        <v>1.7537200000000001E-13</v>
      </c>
      <c r="H104" s="1">
        <f t="shared" si="17"/>
        <v>1.46623E-13</v>
      </c>
      <c r="I104" s="46">
        <f t="shared" si="18"/>
        <v>2.8749000000000001E-14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7.25" thickBot="1" x14ac:dyDescent="0.35">
      <c r="A105" s="7">
        <v>2945.8</v>
      </c>
      <c r="B105" s="8">
        <v>1.2813000000000001E-13</v>
      </c>
      <c r="C105" s="8">
        <v>1.0566E-13</v>
      </c>
      <c r="D105" s="8">
        <v>2.2464999999999999E-14</v>
      </c>
      <c r="E105" s="1">
        <v>8.9104000000000006E-15</v>
      </c>
      <c r="F105" s="47">
        <f t="shared" si="16"/>
        <v>2945.8</v>
      </c>
      <c r="G105" s="48">
        <f t="shared" si="19"/>
        <v>1.3703540000000001E-13</v>
      </c>
      <c r="H105" s="49">
        <f t="shared" si="17"/>
        <v>1.1457040000000001E-13</v>
      </c>
      <c r="I105" s="50">
        <f t="shared" si="18"/>
        <v>2.2464999999999999E-14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7.25" thickBot="1" x14ac:dyDescent="0.35">
      <c r="A106">
        <v>3052</v>
      </c>
      <c r="B106" s="8">
        <v>1.0011999999999999E-13</v>
      </c>
      <c r="C106" s="8">
        <v>8.2564000000000003E-14</v>
      </c>
      <c r="D106" s="8">
        <v>1.7554000000000001E-14</v>
      </c>
      <c r="E106" s="8">
        <v>6.9626E-15</v>
      </c>
      <c r="F106" s="47">
        <f t="shared" ref="F106:F118" si="20">A106</f>
        <v>3052</v>
      </c>
      <c r="G106" s="48">
        <f t="shared" ref="G106:G118" si="21">H106+I106</f>
        <v>1.070806E-13</v>
      </c>
      <c r="H106" s="49">
        <f t="shared" ref="H106:H118" si="22">C106+E106</f>
        <v>8.9526600000000004E-14</v>
      </c>
      <c r="I106" s="50">
        <f t="shared" ref="I106:I118" si="23">D106</f>
        <v>1.7554000000000001E-14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7.25" thickBot="1" x14ac:dyDescent="0.35">
      <c r="A107">
        <v>3158.2</v>
      </c>
      <c r="B107" s="8">
        <v>7.8232000000000004E-14</v>
      </c>
      <c r="C107" s="8">
        <v>6.4516E-14</v>
      </c>
      <c r="D107" s="8">
        <v>1.3716999999999999E-14</v>
      </c>
      <c r="E107" s="8">
        <v>5.4406000000000001E-15</v>
      </c>
      <c r="F107" s="47">
        <f t="shared" si="20"/>
        <v>3158.2</v>
      </c>
      <c r="G107" s="48">
        <f t="shared" si="21"/>
        <v>8.3673600000000007E-14</v>
      </c>
      <c r="H107" s="49">
        <f t="shared" si="22"/>
        <v>6.9956600000000006E-14</v>
      </c>
      <c r="I107" s="50">
        <f t="shared" si="23"/>
        <v>1.3716999999999999E-14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7.25" thickBot="1" x14ac:dyDescent="0.35">
      <c r="A108">
        <v>3264.3</v>
      </c>
      <c r="B108" s="8">
        <v>6.1130999999999997E-14</v>
      </c>
      <c r="C108" s="8">
        <v>5.0412999999999999E-14</v>
      </c>
      <c r="D108" s="8">
        <v>1.0717999999999999E-14</v>
      </c>
      <c r="E108" s="8">
        <v>4.2513000000000003E-15</v>
      </c>
      <c r="F108" s="47">
        <f t="shared" si="20"/>
        <v>3264.3</v>
      </c>
      <c r="G108" s="48">
        <f t="shared" si="21"/>
        <v>6.5382299999999997E-14</v>
      </c>
      <c r="H108" s="49">
        <f t="shared" si="22"/>
        <v>5.46643E-14</v>
      </c>
      <c r="I108" s="50">
        <f t="shared" si="23"/>
        <v>1.0717999999999999E-14</v>
      </c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7.25" thickBot="1" x14ac:dyDescent="0.35">
      <c r="A109">
        <v>3370.5</v>
      </c>
      <c r="B109" s="8">
        <v>4.7768000000000002E-14</v>
      </c>
      <c r="C109" s="8">
        <v>3.9392999999999999E-14</v>
      </c>
      <c r="D109" s="8">
        <v>8.3753999999999996E-15</v>
      </c>
      <c r="E109" s="8">
        <v>3.3219999999999999E-15</v>
      </c>
      <c r="F109" s="47">
        <f t="shared" si="20"/>
        <v>3370.5</v>
      </c>
      <c r="G109" s="48">
        <f t="shared" si="21"/>
        <v>5.1090399999999997E-14</v>
      </c>
      <c r="H109" s="49">
        <f t="shared" si="22"/>
        <v>4.2714999999999998E-14</v>
      </c>
      <c r="I109" s="50">
        <f t="shared" si="23"/>
        <v>8.3753999999999996E-15</v>
      </c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7.25" thickBot="1" x14ac:dyDescent="0.35">
      <c r="A110">
        <v>3476.7</v>
      </c>
      <c r="B110" s="8">
        <v>3.7327000000000001E-14</v>
      </c>
      <c r="C110" s="8">
        <v>3.0782000000000002E-14</v>
      </c>
      <c r="D110" s="8">
        <v>6.5445999999999999E-15</v>
      </c>
      <c r="E110" s="8">
        <v>2.5958999999999998E-15</v>
      </c>
      <c r="F110" s="47">
        <f t="shared" si="20"/>
        <v>3476.7</v>
      </c>
      <c r="G110" s="48">
        <f t="shared" si="21"/>
        <v>3.9922500000000006E-14</v>
      </c>
      <c r="H110" s="49">
        <f t="shared" si="22"/>
        <v>3.3377900000000005E-14</v>
      </c>
      <c r="I110" s="50">
        <f t="shared" si="23"/>
        <v>6.5445999999999999E-15</v>
      </c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7.25" thickBot="1" x14ac:dyDescent="0.35">
      <c r="A111">
        <v>3582.8</v>
      </c>
      <c r="B111" s="8">
        <v>2.9167000000000001E-14</v>
      </c>
      <c r="C111" s="8">
        <v>2.4052999999999999E-14</v>
      </c>
      <c r="D111" s="8">
        <v>5.1139999999999999E-15</v>
      </c>
      <c r="E111" s="8">
        <v>2.0284E-15</v>
      </c>
      <c r="F111" s="47">
        <f t="shared" si="20"/>
        <v>3582.8</v>
      </c>
      <c r="G111" s="48">
        <f t="shared" si="21"/>
        <v>3.1195399999999997E-14</v>
      </c>
      <c r="H111" s="49">
        <f t="shared" si="22"/>
        <v>2.6081399999999998E-14</v>
      </c>
      <c r="I111" s="50">
        <f t="shared" si="23"/>
        <v>5.1139999999999999E-15</v>
      </c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7.25" thickBot="1" x14ac:dyDescent="0.35">
      <c r="A112">
        <v>3689</v>
      </c>
      <c r="B112" s="8">
        <v>2.2792E-14</v>
      </c>
      <c r="C112" s="8">
        <v>1.8795E-14</v>
      </c>
      <c r="D112" s="8">
        <v>3.9961000000000004E-15</v>
      </c>
      <c r="E112" s="8">
        <v>1.5851000000000001E-15</v>
      </c>
      <c r="F112" s="47">
        <f t="shared" si="20"/>
        <v>3689</v>
      </c>
      <c r="G112" s="48">
        <f t="shared" si="21"/>
        <v>2.4376200000000002E-14</v>
      </c>
      <c r="H112" s="49">
        <f t="shared" si="22"/>
        <v>2.0380100000000002E-14</v>
      </c>
      <c r="I112" s="50">
        <f t="shared" si="23"/>
        <v>3.9961000000000004E-15</v>
      </c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7.25" thickBot="1" x14ac:dyDescent="0.35">
      <c r="A113">
        <v>3795.2</v>
      </c>
      <c r="B113" s="8">
        <v>1.7809999999999999E-14</v>
      </c>
      <c r="C113" s="8">
        <v>1.4686999999999999E-14</v>
      </c>
      <c r="D113" s="8">
        <v>3.1225999999999999E-15</v>
      </c>
      <c r="E113" s="8">
        <v>1.2386E-15</v>
      </c>
      <c r="F113" s="47">
        <f t="shared" si="20"/>
        <v>3795.2</v>
      </c>
      <c r="G113" s="48">
        <f t="shared" si="21"/>
        <v>1.9048199999999997E-14</v>
      </c>
      <c r="H113" s="49">
        <f t="shared" si="22"/>
        <v>1.5925599999999998E-14</v>
      </c>
      <c r="I113" s="50">
        <f t="shared" si="23"/>
        <v>3.1225999999999999E-15</v>
      </c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7.25" thickBot="1" x14ac:dyDescent="0.35">
      <c r="A114">
        <v>3901.3</v>
      </c>
      <c r="B114" s="8">
        <v>1.3917E-14</v>
      </c>
      <c r="C114" s="8">
        <v>1.1476999999999999E-14</v>
      </c>
      <c r="D114" s="8">
        <v>2.4401E-15</v>
      </c>
      <c r="E114" s="8">
        <v>9.6787000000000009E-16</v>
      </c>
      <c r="F114" s="47">
        <f t="shared" si="20"/>
        <v>3901.3</v>
      </c>
      <c r="G114" s="48">
        <f t="shared" si="21"/>
        <v>1.488497E-14</v>
      </c>
      <c r="H114" s="49">
        <f t="shared" si="22"/>
        <v>1.2444869999999999E-14</v>
      </c>
      <c r="I114" s="50">
        <f t="shared" si="23"/>
        <v>2.4401E-15</v>
      </c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7.25" thickBot="1" x14ac:dyDescent="0.35">
      <c r="A115">
        <v>4007.5</v>
      </c>
      <c r="B115" s="8">
        <v>1.0874999999999999E-14</v>
      </c>
      <c r="C115" s="8">
        <v>8.9680999999999999E-15</v>
      </c>
      <c r="D115" s="8">
        <v>1.9067E-15</v>
      </c>
      <c r="E115" s="8">
        <v>7.5632000000000003E-16</v>
      </c>
      <c r="F115" s="47">
        <f t="shared" si="20"/>
        <v>4007.5</v>
      </c>
      <c r="G115" s="48">
        <f t="shared" si="21"/>
        <v>1.163112E-14</v>
      </c>
      <c r="H115" s="49">
        <f t="shared" si="22"/>
        <v>9.7244199999999996E-15</v>
      </c>
      <c r="I115" s="50">
        <f t="shared" si="23"/>
        <v>1.9067E-15</v>
      </c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7.25" thickBot="1" x14ac:dyDescent="0.35">
      <c r="A116">
        <v>4113.7</v>
      </c>
      <c r="B116" s="8">
        <v>8.4978999999999995E-15</v>
      </c>
      <c r="C116" s="8">
        <v>7.0079000000000001E-15</v>
      </c>
      <c r="D116" s="8">
        <v>1.49E-15</v>
      </c>
      <c r="E116" s="8">
        <v>5.9101999999999999E-16</v>
      </c>
      <c r="F116" s="47">
        <f t="shared" si="20"/>
        <v>4113.7</v>
      </c>
      <c r="G116" s="48">
        <f t="shared" si="21"/>
        <v>9.088920000000001E-15</v>
      </c>
      <c r="H116" s="49">
        <f t="shared" si="22"/>
        <v>7.5989200000000008E-15</v>
      </c>
      <c r="I116" s="50">
        <f t="shared" si="23"/>
        <v>1.49E-15</v>
      </c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7.25" thickBot="1" x14ac:dyDescent="0.35">
      <c r="A117">
        <v>4219.8</v>
      </c>
      <c r="B117" s="8">
        <v>6.6404999999999997E-15</v>
      </c>
      <c r="C117" s="8">
        <v>5.4762000000000001E-15</v>
      </c>
      <c r="D117" s="8">
        <v>1.1643E-15</v>
      </c>
      <c r="E117" s="8">
        <v>4.6185E-16</v>
      </c>
      <c r="F117" s="47">
        <f t="shared" si="20"/>
        <v>4219.8</v>
      </c>
      <c r="G117" s="48">
        <f t="shared" si="21"/>
        <v>7.1023500000000007E-15</v>
      </c>
      <c r="H117" s="49">
        <f t="shared" si="22"/>
        <v>5.9380500000000003E-15</v>
      </c>
      <c r="I117" s="50">
        <f t="shared" si="23"/>
        <v>1.1643E-15</v>
      </c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7.25" thickBot="1" x14ac:dyDescent="0.35">
      <c r="A118">
        <v>4320</v>
      </c>
      <c r="B118" s="8">
        <v>5.2605000000000002E-15</v>
      </c>
      <c r="C118" s="8">
        <v>4.3382000000000002E-15</v>
      </c>
      <c r="D118" s="8">
        <v>9.2235000000000009E-16</v>
      </c>
      <c r="E118" s="8">
        <v>3.6587000000000002E-16</v>
      </c>
      <c r="F118" s="47">
        <f t="shared" si="20"/>
        <v>4320</v>
      </c>
      <c r="G118" s="48">
        <f t="shared" si="21"/>
        <v>5.6264199999999996E-15</v>
      </c>
      <c r="H118" s="49">
        <f t="shared" si="22"/>
        <v>4.7040699999999999E-15</v>
      </c>
      <c r="I118" s="50">
        <f t="shared" si="23"/>
        <v>9.2235000000000009E-16</v>
      </c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FAD1-E7A0-4D9E-B23A-9A68E25358EA}">
  <dimension ref="A1:BM602"/>
  <sheetViews>
    <sheetView tabSelected="1" topLeftCell="G1" zoomScale="55" zoomScaleNormal="55" workbookViewId="0">
      <selection activeCell="AH41" sqref="AH41"/>
    </sheetView>
  </sheetViews>
  <sheetFormatPr defaultRowHeight="16.5" x14ac:dyDescent="0.3"/>
  <cols>
    <col min="10" max="10" width="10" bestFit="1" customWidth="1"/>
    <col min="11" max="11" width="9.25" bestFit="1" customWidth="1"/>
    <col min="13" max="13" width="13.125" bestFit="1" customWidth="1"/>
    <col min="16" max="16" width="13.5" customWidth="1"/>
    <col min="17" max="17" width="9.875" bestFit="1" customWidth="1"/>
    <col min="18" max="18" width="9.5" bestFit="1" customWidth="1"/>
    <col min="20" max="20" width="11" bestFit="1" customWidth="1"/>
    <col min="21" max="21" width="9.5" bestFit="1" customWidth="1"/>
    <col min="22" max="22" width="13.375" bestFit="1" customWidth="1"/>
    <col min="28" max="28" width="15.125" bestFit="1" customWidth="1"/>
    <col min="29" max="29" width="9.5" bestFit="1" customWidth="1"/>
    <col min="32" max="32" width="13.75" customWidth="1"/>
    <col min="33" max="33" width="18.5" customWidth="1"/>
    <col min="34" max="34" width="9.25" bestFit="1" customWidth="1"/>
    <col min="35" max="35" width="9.125" customWidth="1"/>
    <col min="46" max="46" width="7.5" customWidth="1"/>
    <col min="47" max="47" width="15" customWidth="1"/>
    <col min="48" max="48" width="11" bestFit="1" customWidth="1"/>
    <col min="49" max="49" width="9.25" bestFit="1" customWidth="1"/>
    <col min="51" max="56" width="9.25" bestFit="1" customWidth="1"/>
  </cols>
  <sheetData>
    <row r="1" spans="1:65" x14ac:dyDescent="0.3">
      <c r="A1" s="1">
        <f>SUM(C2,F2,G2)</f>
        <v>1.2736176240811999E-10</v>
      </c>
      <c r="B1" s="7" t="s">
        <v>0</v>
      </c>
      <c r="C1" s="8" t="s">
        <v>130</v>
      </c>
      <c r="D1" s="8" t="s">
        <v>131</v>
      </c>
      <c r="E1" s="8" t="s">
        <v>131</v>
      </c>
      <c r="F1" t="s">
        <v>131</v>
      </c>
      <c r="G1" t="s">
        <v>131</v>
      </c>
      <c r="H1" t="s">
        <v>132</v>
      </c>
      <c r="I1" t="s">
        <v>133</v>
      </c>
      <c r="J1" t="s">
        <v>134</v>
      </c>
      <c r="N1" s="7"/>
      <c r="O1" t="s">
        <v>20</v>
      </c>
      <c r="P1" t="s">
        <v>3</v>
      </c>
      <c r="Q1" t="s">
        <v>16</v>
      </c>
      <c r="R1" t="s">
        <v>23</v>
      </c>
      <c r="S1" s="3" t="s">
        <v>4</v>
      </c>
      <c r="T1" t="s">
        <v>18</v>
      </c>
      <c r="U1" t="s">
        <v>1</v>
      </c>
      <c r="V1" s="4" t="s">
        <v>2</v>
      </c>
      <c r="X1" s="3"/>
      <c r="Y1" s="3" t="s">
        <v>5</v>
      </c>
      <c r="Z1" s="3" t="s">
        <v>21</v>
      </c>
      <c r="AA1" s="3" t="s">
        <v>22</v>
      </c>
      <c r="AB1" s="3" t="s">
        <v>24</v>
      </c>
      <c r="AC1" s="3" t="s">
        <v>6</v>
      </c>
      <c r="AF1" s="35" t="s">
        <v>70</v>
      </c>
      <c r="AJ1" s="7"/>
      <c r="AK1" s="7"/>
    </row>
    <row r="2" spans="1:65" x14ac:dyDescent="0.3">
      <c r="A2" s="1"/>
      <c r="B2" s="7">
        <v>0</v>
      </c>
      <c r="C2" s="8">
        <v>1.2710463219999998E-10</v>
      </c>
      <c r="D2" s="1">
        <v>1.2710229999999999E-10</v>
      </c>
      <c r="E2" s="1">
        <v>2.3321999999999999E-15</v>
      </c>
      <c r="F2" s="1">
        <v>2.5712999999999999E-13</v>
      </c>
      <c r="G2" s="1">
        <v>2.0812000000000001E-19</v>
      </c>
      <c r="H2" s="1">
        <v>0</v>
      </c>
      <c r="I2" s="1">
        <v>0</v>
      </c>
      <c r="J2">
        <v>0</v>
      </c>
      <c r="L2" s="1"/>
      <c r="N2" s="7"/>
      <c r="O2">
        <f>B2/60</f>
        <v>0</v>
      </c>
      <c r="P2" s="6">
        <f>(SUM(F2:J2)+C2)/$A$1*100</f>
        <v>100</v>
      </c>
      <c r="Q2" s="6">
        <f t="shared" ref="Q2:Q46" si="0">(H2+F2)/$A$1*100</f>
        <v>0.20188948012202332</v>
      </c>
      <c r="R2" s="6">
        <f t="shared" ref="R2:R46" si="1">(G2+I2)/$A$1*100</f>
        <v>1.634085427721211E-7</v>
      </c>
      <c r="S2" s="10">
        <f t="shared" ref="S2:S46" si="2">J2/$A$1*100</f>
        <v>0</v>
      </c>
      <c r="T2" s="6">
        <f t="shared" ref="T2:V17" si="3">C2/$A$1*100</f>
        <v>99.798110356469422</v>
      </c>
      <c r="U2" s="6">
        <f t="shared" si="3"/>
        <v>99.796279194623125</v>
      </c>
      <c r="V2" s="6">
        <f t="shared" si="3"/>
        <v>1.8311618463056928E-3</v>
      </c>
      <c r="X2" s="9" t="s">
        <v>12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F2" s="38" t="s">
        <v>69</v>
      </c>
      <c r="AG2" s="39" t="s">
        <v>66</v>
      </c>
      <c r="AH2" s="7" t="s">
        <v>67</v>
      </c>
      <c r="AI2" s="7" t="s">
        <v>68</v>
      </c>
      <c r="AJ2" s="8"/>
      <c r="AK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5" x14ac:dyDescent="0.3">
      <c r="B3" s="7">
        <v>2.7240000000000002</v>
      </c>
      <c r="C3" s="8">
        <v>1.2589329999999998E-10</v>
      </c>
      <c r="D3" s="1">
        <v>1.2178459999999998E-10</v>
      </c>
      <c r="E3" s="1">
        <v>4.1087000000000001E-12</v>
      </c>
      <c r="F3" s="1">
        <v>1.2131999999999999E-12</v>
      </c>
      <c r="G3" s="1">
        <v>9.3621000000000004E-18</v>
      </c>
      <c r="H3" s="1">
        <v>2.9560999999999999E-14</v>
      </c>
      <c r="I3" s="1">
        <v>1.9743000000000002E-15</v>
      </c>
      <c r="J3" s="1">
        <v>1.9646999999999999E-13</v>
      </c>
      <c r="K3" s="1"/>
      <c r="L3" s="1"/>
      <c r="N3" s="7"/>
      <c r="O3">
        <f t="shared" ref="O3:O46" si="4">B3/60</f>
        <v>4.5400000000000003E-2</v>
      </c>
      <c r="P3" s="6">
        <f t="shared" ref="P3:P46" si="5">(SUM(F3:J3)+C3)/$A$1*100</f>
        <v>99.978606023107091</v>
      </c>
      <c r="Q3" s="6">
        <f t="shared" si="0"/>
        <v>0.97577245831262738</v>
      </c>
      <c r="R3" s="6">
        <f t="shared" si="1"/>
        <v>1.5575020810747913E-3</v>
      </c>
      <c r="S3" s="10">
        <f t="shared" si="2"/>
        <v>0.15426137035574972</v>
      </c>
      <c r="T3" s="6">
        <f t="shared" si="3"/>
        <v>98.847014692357632</v>
      </c>
      <c r="U3" s="6">
        <f t="shared" si="3"/>
        <v>95.621007198182085</v>
      </c>
      <c r="V3" s="6">
        <f t="shared" si="3"/>
        <v>3.2260074941755432</v>
      </c>
      <c r="X3" s="9"/>
      <c r="Y3" s="2"/>
      <c r="Z3" s="2"/>
      <c r="AA3" s="2"/>
      <c r="AB3" s="2"/>
      <c r="AC3" s="2"/>
      <c r="AD3" s="1"/>
      <c r="AE3" s="1"/>
      <c r="AF3" s="36" t="s">
        <v>25</v>
      </c>
      <c r="AG3" s="36" t="s">
        <v>26</v>
      </c>
      <c r="AH3" s="7" t="s">
        <v>27</v>
      </c>
      <c r="AI3" s="7"/>
      <c r="AJ3" s="1"/>
      <c r="AK3" s="1"/>
      <c r="AL3" s="1"/>
      <c r="AW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B4" s="7">
        <v>4.7720000000000002</v>
      </c>
      <c r="C4" s="8">
        <v>1.2544659999999999E-10</v>
      </c>
      <c r="D4" s="1">
        <v>1.213543E-10</v>
      </c>
      <c r="E4" s="1">
        <v>4.0923000000000002E-12</v>
      </c>
      <c r="F4" s="1">
        <v>1.4469E-12</v>
      </c>
      <c r="G4" s="1">
        <v>1.111E-17</v>
      </c>
      <c r="H4" s="1">
        <v>7.8281000000000005E-14</v>
      </c>
      <c r="I4" s="1">
        <v>5.1711E-15</v>
      </c>
      <c r="J4" s="1">
        <v>3.4289000000000002E-13</v>
      </c>
      <c r="K4" s="1"/>
      <c r="L4" s="1"/>
      <c r="N4" s="7"/>
      <c r="O4">
        <f t="shared" si="4"/>
        <v>7.9533333333333331E-2</v>
      </c>
      <c r="P4" s="6">
        <f t="shared" si="5"/>
        <v>99.967094363859616</v>
      </c>
      <c r="Q4" s="6">
        <f t="shared" si="0"/>
        <v>1.1975187616458121</v>
      </c>
      <c r="R4" s="6">
        <f t="shared" si="1"/>
        <v>4.0688899886561301E-3</v>
      </c>
      <c r="S4" s="10">
        <f t="shared" si="2"/>
        <v>0.26922523174674517</v>
      </c>
      <c r="T4" s="6">
        <f t="shared" si="3"/>
        <v>98.496281480478402</v>
      </c>
      <c r="U4" s="6">
        <f t="shared" si="3"/>
        <v>95.283150692537063</v>
      </c>
      <c r="V4" s="6">
        <f t="shared" si="3"/>
        <v>3.213130787941338</v>
      </c>
      <c r="X4" s="9" t="s">
        <v>13</v>
      </c>
      <c r="Y4" s="2">
        <v>7072</v>
      </c>
      <c r="Z4" s="2">
        <v>3495</v>
      </c>
      <c r="AA4" s="2">
        <v>1344</v>
      </c>
      <c r="AB4" s="2">
        <v>0</v>
      </c>
      <c r="AC4" s="2">
        <v>2233</v>
      </c>
      <c r="AD4" s="1"/>
      <c r="AE4" s="1"/>
      <c r="AF4" s="36" t="s">
        <v>28</v>
      </c>
      <c r="AG4" s="36" t="s">
        <v>29</v>
      </c>
      <c r="AH4" s="1" t="s">
        <v>30</v>
      </c>
      <c r="AI4" s="1" t="s">
        <v>31</v>
      </c>
      <c r="AJ4" s="1"/>
      <c r="AK4" s="1"/>
      <c r="AL4" s="1"/>
      <c r="AW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3">
      <c r="B5" s="7">
        <v>6.82</v>
      </c>
      <c r="C5" s="8">
        <v>1.250809E-10</v>
      </c>
      <c r="D5" s="1">
        <v>1.2100530000000001E-10</v>
      </c>
      <c r="E5" s="1">
        <v>4.0756000000000001E-12</v>
      </c>
      <c r="F5" s="1">
        <v>1.6081E-12</v>
      </c>
      <c r="G5" s="1">
        <v>1.3273E-17</v>
      </c>
      <c r="H5" s="1">
        <v>1.3460999999999999E-13</v>
      </c>
      <c r="I5" s="1">
        <v>8.9325000000000007E-15</v>
      </c>
      <c r="J5" s="1">
        <v>4.8871999999999996E-13</v>
      </c>
      <c r="K5" s="1"/>
      <c r="L5" s="1"/>
      <c r="N5" s="7"/>
      <c r="O5">
        <f t="shared" si="4"/>
        <v>0.11366666666666667</v>
      </c>
      <c r="P5" s="6">
        <f t="shared" si="5"/>
        <v>99.968211310557834</v>
      </c>
      <c r="Q5" s="6">
        <f t="shared" si="0"/>
        <v>1.3683149220373014</v>
      </c>
      <c r="R5" s="6">
        <f t="shared" si="1"/>
        <v>7.0239079852978384E-3</v>
      </c>
      <c r="S5" s="10">
        <f t="shared" si="2"/>
        <v>0.3837258457793149</v>
      </c>
      <c r="T5" s="6">
        <f t="shared" si="3"/>
        <v>98.209146634755911</v>
      </c>
      <c r="U5" s="6">
        <f t="shared" si="3"/>
        <v>95.009128102553078</v>
      </c>
      <c r="V5" s="6">
        <f t="shared" si="3"/>
        <v>3.200018532202848</v>
      </c>
      <c r="X5" s="9" t="s">
        <v>14</v>
      </c>
      <c r="Y5" s="2">
        <v>7072</v>
      </c>
      <c r="Z5" s="2">
        <v>3495</v>
      </c>
      <c r="AA5" s="2">
        <v>1344</v>
      </c>
      <c r="AB5" s="2">
        <v>0</v>
      </c>
      <c r="AC5" s="2">
        <v>2233</v>
      </c>
      <c r="AD5" s="1"/>
      <c r="AE5" s="1"/>
      <c r="AF5" s="37" t="s">
        <v>45</v>
      </c>
      <c r="AG5" s="37" t="s">
        <v>46</v>
      </c>
      <c r="AH5" s="1" t="s">
        <v>47</v>
      </c>
      <c r="AI5" s="1"/>
      <c r="AJ5" s="1"/>
      <c r="AK5" s="1"/>
      <c r="AL5" s="1"/>
      <c r="AW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3">
      <c r="B6" s="7">
        <v>8.8680000000000003</v>
      </c>
      <c r="C6" s="8">
        <v>1.247258E-10</v>
      </c>
      <c r="D6" s="1">
        <v>1.2066669999999999E-10</v>
      </c>
      <c r="E6" s="1">
        <v>4.0590999999999999E-12</v>
      </c>
      <c r="F6" s="1">
        <v>1.7377E-12</v>
      </c>
      <c r="G6" s="1">
        <v>1.5639000000000001E-17</v>
      </c>
      <c r="H6" s="1">
        <v>1.9653999999999999E-13</v>
      </c>
      <c r="I6" s="1">
        <v>1.3406000000000001E-14</v>
      </c>
      <c r="J6" s="1">
        <v>6.3395000000000004E-13</v>
      </c>
      <c r="K6" s="1"/>
      <c r="L6" s="1"/>
      <c r="N6" s="7"/>
      <c r="O6">
        <f t="shared" si="4"/>
        <v>0.14780000000000001</v>
      </c>
      <c r="P6" s="6">
        <f t="shared" si="5"/>
        <v>99.957325677587733</v>
      </c>
      <c r="Q6" s="6">
        <f t="shared" si="0"/>
        <v>1.518697577222504</v>
      </c>
      <c r="R6" s="6">
        <f t="shared" si="1"/>
        <v>1.0538201377106808E-2</v>
      </c>
      <c r="S6" s="10">
        <f t="shared" si="2"/>
        <v>0.49775536080331623</v>
      </c>
      <c r="T6" s="6">
        <f t="shared" si="3"/>
        <v>97.930334538184809</v>
      </c>
      <c r="U6" s="6">
        <f t="shared" si="3"/>
        <v>94.743271228717589</v>
      </c>
      <c r="V6" s="6">
        <f t="shared" si="3"/>
        <v>3.1870633094672147</v>
      </c>
      <c r="X6" s="9" t="s">
        <v>15</v>
      </c>
      <c r="Y6" s="2">
        <v>1</v>
      </c>
      <c r="Z6" s="2">
        <v>1</v>
      </c>
      <c r="AA6" s="2">
        <v>1</v>
      </c>
      <c r="AB6" s="2">
        <v>21</v>
      </c>
      <c r="AC6" s="2">
        <v>1</v>
      </c>
      <c r="AD6" s="1"/>
      <c r="AE6" s="1"/>
      <c r="AF6" s="36" t="s">
        <v>7</v>
      </c>
      <c r="AG6" s="36">
        <v>0.7</v>
      </c>
      <c r="AH6" s="36">
        <v>0.7</v>
      </c>
      <c r="AI6" s="1" t="s">
        <v>32</v>
      </c>
      <c r="AJ6" s="1"/>
      <c r="AK6" s="1"/>
      <c r="AL6" s="1"/>
      <c r="AW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3">
      <c r="B7" s="7">
        <v>10.916</v>
      </c>
      <c r="C7" s="8">
        <v>1.2439620000000001E-10</v>
      </c>
      <c r="D7" s="1">
        <v>1.2035310000000001E-10</v>
      </c>
      <c r="E7" s="1">
        <v>4.0431E-12</v>
      </c>
      <c r="F7" s="1">
        <v>1.8464999999999999E-12</v>
      </c>
      <c r="G7" s="1">
        <v>1.8180999999999999E-17</v>
      </c>
      <c r="H7" s="1">
        <v>2.6310999999999998E-13</v>
      </c>
      <c r="I7" s="1">
        <v>1.8656E-14</v>
      </c>
      <c r="J7" s="1">
        <v>7.7860999999999995E-13</v>
      </c>
      <c r="K7" s="1"/>
      <c r="L7" s="1"/>
      <c r="N7" s="7"/>
      <c r="O7">
        <f t="shared" si="4"/>
        <v>0.18193333333333334</v>
      </c>
      <c r="P7" s="6">
        <f t="shared" si="5"/>
        <v>99.953935760615494</v>
      </c>
      <c r="Q7" s="6">
        <f t="shared" si="0"/>
        <v>1.6563919657769286</v>
      </c>
      <c r="R7" s="6">
        <f t="shared" si="1"/>
        <v>1.4662313591547335E-2</v>
      </c>
      <c r="S7" s="10">
        <f t="shared" si="2"/>
        <v>0.61133733176917737</v>
      </c>
      <c r="T7" s="6">
        <f t="shared" si="3"/>
        <v>97.671544149477867</v>
      </c>
      <c r="U7" s="6">
        <f t="shared" si="3"/>
        <v>94.497043480239142</v>
      </c>
      <c r="V7" s="6">
        <f t="shared" si="3"/>
        <v>3.1745006692387214</v>
      </c>
      <c r="X7" s="9"/>
      <c r="Y7" s="2"/>
      <c r="Z7" s="2"/>
      <c r="AA7" s="2"/>
      <c r="AB7" s="2"/>
      <c r="AC7" s="2"/>
      <c r="AD7" s="1"/>
      <c r="AE7" s="1"/>
      <c r="AF7" s="36" t="s">
        <v>33</v>
      </c>
      <c r="AG7" s="36" t="s">
        <v>161</v>
      </c>
      <c r="AH7" s="1" t="s">
        <v>162</v>
      </c>
      <c r="AI7" s="1"/>
      <c r="AJ7" s="1"/>
      <c r="AK7" s="1"/>
      <c r="AL7" s="1"/>
      <c r="AW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3">
      <c r="B8" s="7">
        <v>12.964</v>
      </c>
      <c r="C8" s="8">
        <v>1.240839E-10</v>
      </c>
      <c r="D8" s="1">
        <v>1.2005640000000001E-10</v>
      </c>
      <c r="E8" s="1">
        <v>4.0275E-12</v>
      </c>
      <c r="F8" s="1">
        <v>1.9404000000000001E-12</v>
      </c>
      <c r="G8" s="1">
        <v>2.0891000000000001E-17</v>
      </c>
      <c r="H8" s="1">
        <v>3.3366999999999998E-13</v>
      </c>
      <c r="I8" s="1">
        <v>2.4738000000000001E-14</v>
      </c>
      <c r="J8" s="1">
        <v>9.2268999999999998E-13</v>
      </c>
      <c r="K8" s="1"/>
      <c r="L8" s="1"/>
      <c r="M8" s="4"/>
      <c r="N8" s="7"/>
      <c r="O8">
        <f t="shared" si="4"/>
        <v>0.21606666666666668</v>
      </c>
      <c r="P8" s="6">
        <f t="shared" si="5"/>
        <v>99.955761041575855</v>
      </c>
      <c r="Q8" s="6">
        <f t="shared" si="0"/>
        <v>1.78552020402555</v>
      </c>
      <c r="R8" s="6">
        <f t="shared" si="1"/>
        <v>1.9439815005591891E-2</v>
      </c>
      <c r="S8" s="10">
        <f t="shared" si="2"/>
        <v>0.72446390702675578</v>
      </c>
      <c r="T8" s="6">
        <f t="shared" si="3"/>
        <v>97.426337115517953</v>
      </c>
      <c r="U8" s="6">
        <f t="shared" si="3"/>
        <v>94.264085020502023</v>
      </c>
      <c r="V8" s="6">
        <f t="shared" si="3"/>
        <v>3.162252095015941</v>
      </c>
      <c r="X8" s="9"/>
      <c r="Y8" s="2">
        <f>Y4/$Y$4*100</f>
        <v>100</v>
      </c>
      <c r="Z8" s="10">
        <f>Z4/$Y$4*100</f>
        <v>49.42024886877828</v>
      </c>
      <c r="AA8" s="10">
        <f>AA4/$Y$4*100</f>
        <v>19.004524886877828</v>
      </c>
      <c r="AB8" s="10">
        <f>AB4/$Y$4*100</f>
        <v>0</v>
      </c>
      <c r="AC8" s="10">
        <f>AC4/$Y$4*100</f>
        <v>31.575226244343892</v>
      </c>
      <c r="AD8" s="1"/>
      <c r="AE8" s="1"/>
      <c r="AF8" s="37" t="s">
        <v>9</v>
      </c>
      <c r="AG8" s="37">
        <v>0.17</v>
      </c>
      <c r="AH8" s="37">
        <v>0.17</v>
      </c>
      <c r="AI8" s="1" t="s">
        <v>34</v>
      </c>
      <c r="AJ8" s="1"/>
      <c r="AK8" s="1"/>
      <c r="AL8" s="1"/>
      <c r="AW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3">
      <c r="B9" s="7">
        <v>17.059999999999999</v>
      </c>
      <c r="C9" s="8">
        <v>1.234531E-10</v>
      </c>
      <c r="D9" s="1">
        <v>1.1945569999999999E-10</v>
      </c>
      <c r="E9" s="1">
        <v>3.9973999999999999E-12</v>
      </c>
      <c r="F9" s="1">
        <v>2.1035000000000001E-12</v>
      </c>
      <c r="G9" s="1">
        <v>2.6600999999999999E-17</v>
      </c>
      <c r="H9" s="1">
        <v>4.8511000000000004E-13</v>
      </c>
      <c r="I9" s="1">
        <v>3.9587999999999999E-14</v>
      </c>
      <c r="J9" s="1">
        <v>1.2091999999999999E-12</v>
      </c>
      <c r="K9" s="1"/>
      <c r="L9" s="1"/>
      <c r="N9" s="7"/>
      <c r="O9">
        <f t="shared" si="4"/>
        <v>0.28433333333333333</v>
      </c>
      <c r="P9" s="6">
        <f t="shared" si="5"/>
        <v>99.944066566155314</v>
      </c>
      <c r="Q9" s="6">
        <f t="shared" si="0"/>
        <v>2.0324860076174343</v>
      </c>
      <c r="R9" s="6">
        <f t="shared" si="1"/>
        <v>3.1103998759893382E-2</v>
      </c>
      <c r="S9" s="10">
        <f t="shared" si="2"/>
        <v>0.94942153526834916</v>
      </c>
      <c r="T9" s="6">
        <f t="shared" si="3"/>
        <v>96.931055024509632</v>
      </c>
      <c r="U9" s="6">
        <f t="shared" si="3"/>
        <v>93.792436396423525</v>
      </c>
      <c r="V9" s="6">
        <f t="shared" si="3"/>
        <v>3.1386186280860895</v>
      </c>
      <c r="X9" s="9"/>
      <c r="Y9" s="2"/>
      <c r="Z9" s="2"/>
      <c r="AA9" s="2"/>
      <c r="AB9" s="2"/>
      <c r="AC9" s="2"/>
      <c r="AD9" s="1"/>
      <c r="AE9" s="1"/>
      <c r="AF9" s="37" t="s">
        <v>10</v>
      </c>
      <c r="AG9" s="37">
        <v>4.7699999999999996</v>
      </c>
      <c r="AH9" s="37">
        <v>4.7699999999999996</v>
      </c>
      <c r="AI9" s="1" t="s">
        <v>35</v>
      </c>
      <c r="AJ9" s="1"/>
      <c r="AK9" s="1"/>
      <c r="AL9" s="1"/>
      <c r="AW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ht="17.25" thickBot="1" x14ac:dyDescent="0.35">
      <c r="B10" s="7">
        <v>21.155999999999999</v>
      </c>
      <c r="C10" s="8">
        <v>1.2285199999999999E-10</v>
      </c>
      <c r="D10" s="1">
        <v>1.188828E-10</v>
      </c>
      <c r="E10" s="1">
        <v>3.9691999999999997E-12</v>
      </c>
      <c r="F10" s="1">
        <v>2.2343999999999998E-12</v>
      </c>
      <c r="G10" s="1">
        <v>3.2637000000000003E-17</v>
      </c>
      <c r="H10" s="1">
        <v>6.4853999999999998E-13</v>
      </c>
      <c r="I10" s="1">
        <v>5.8186000000000003E-14</v>
      </c>
      <c r="J10" s="1">
        <v>1.4937E-12</v>
      </c>
      <c r="K10" s="1"/>
      <c r="L10" s="1"/>
      <c r="N10" s="7"/>
      <c r="O10">
        <f t="shared" si="4"/>
        <v>0.35259999999999997</v>
      </c>
      <c r="P10" s="6">
        <f t="shared" si="5"/>
        <v>99.941188179478885</v>
      </c>
      <c r="Q10" s="6">
        <f t="shared" si="0"/>
        <v>2.2635836262707034</v>
      </c>
      <c r="R10" s="6">
        <f t="shared" si="1"/>
        <v>4.5711236951513995E-2</v>
      </c>
      <c r="S10" s="10">
        <f t="shared" si="2"/>
        <v>1.1728009818312382</v>
      </c>
      <c r="T10" s="6">
        <f t="shared" si="3"/>
        <v>96.459092334425421</v>
      </c>
      <c r="U10" s="6">
        <f t="shared" si="3"/>
        <v>93.342615359742055</v>
      </c>
      <c r="V10" s="6">
        <f t="shared" si="3"/>
        <v>3.11647697468337</v>
      </c>
      <c r="X10" s="9"/>
      <c r="Y10" s="2"/>
      <c r="Z10" s="2"/>
      <c r="AA10" s="2"/>
      <c r="AB10" s="2"/>
      <c r="AC10" s="2"/>
      <c r="AD10" s="1"/>
      <c r="AE10" s="1"/>
      <c r="AF10" s="37" t="s">
        <v>11</v>
      </c>
      <c r="AG10" s="37">
        <v>1.5E-5</v>
      </c>
      <c r="AH10" s="37">
        <v>1.5E-5</v>
      </c>
      <c r="AI10" s="1"/>
      <c r="AJ10" s="1"/>
      <c r="AK10" s="1"/>
      <c r="AL10" s="1"/>
      <c r="AW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3">
      <c r="B11" s="7">
        <v>29.347999999999999</v>
      </c>
      <c r="C11" s="8">
        <v>1.2168569999999999E-10</v>
      </c>
      <c r="D11" s="1">
        <v>1.177683E-10</v>
      </c>
      <c r="E11" s="1">
        <v>3.9174000000000003E-12</v>
      </c>
      <c r="F11" s="1">
        <v>2.4298E-12</v>
      </c>
      <c r="G11" s="1">
        <v>4.4689999999999999E-17</v>
      </c>
      <c r="H11" s="1">
        <v>1.0027999999999999E-12</v>
      </c>
      <c r="I11" s="1">
        <v>1.0703E-13</v>
      </c>
      <c r="J11" s="1">
        <v>2.0568999999999998E-12</v>
      </c>
      <c r="K11" s="1"/>
      <c r="L11" s="1"/>
      <c r="N11" s="7"/>
      <c r="O11">
        <f t="shared" si="4"/>
        <v>0.48913333333333331</v>
      </c>
      <c r="P11" s="6">
        <f t="shared" si="5"/>
        <v>99.937589024667176</v>
      </c>
      <c r="Q11" s="6">
        <f t="shared" si="0"/>
        <v>2.6951574280202903</v>
      </c>
      <c r="R11" s="6">
        <f t="shared" si="1"/>
        <v>8.4071300502962742E-2</v>
      </c>
      <c r="S11" s="10">
        <f t="shared" si="2"/>
        <v>1.6150059178741873</v>
      </c>
      <c r="T11" s="6">
        <f t="shared" si="3"/>
        <v>95.543354378269726</v>
      </c>
      <c r="U11" s="6">
        <f t="shared" si="3"/>
        <v>92.467548951326108</v>
      </c>
      <c r="V11" s="6">
        <f t="shared" si="3"/>
        <v>3.0758054269436252</v>
      </c>
      <c r="X11" s="9"/>
      <c r="Y11" s="2"/>
      <c r="Z11" s="2"/>
      <c r="AA11" s="16"/>
      <c r="AB11" s="11" t="s">
        <v>19</v>
      </c>
      <c r="AC11" s="2"/>
      <c r="AD11" s="1"/>
      <c r="AE11" s="1"/>
      <c r="AF11" s="36"/>
      <c r="AG11" s="36"/>
      <c r="AI11" s="1"/>
      <c r="AJ11" s="1"/>
      <c r="AK11" s="1"/>
      <c r="AL11" s="1"/>
      <c r="AW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3">
      <c r="B12" s="7">
        <v>37.54</v>
      </c>
      <c r="C12" s="8">
        <v>1.2054409999999999E-10</v>
      </c>
      <c r="D12" s="1">
        <v>1.166735E-10</v>
      </c>
      <c r="E12" s="1">
        <v>3.8706000000000001E-12</v>
      </c>
      <c r="F12" s="1">
        <v>2.5564999999999999E-12</v>
      </c>
      <c r="G12" s="1">
        <v>5.5823999999999995E-17</v>
      </c>
      <c r="H12" s="1">
        <v>1.3847999999999999E-12</v>
      </c>
      <c r="I12" s="1">
        <v>1.7084000000000001E-13</v>
      </c>
      <c r="J12" s="1">
        <v>2.6130999999999998E-12</v>
      </c>
      <c r="K12" s="1"/>
      <c r="L12" s="1"/>
      <c r="N12" s="7"/>
      <c r="O12">
        <f t="shared" si="4"/>
        <v>0.6256666666666667</v>
      </c>
      <c r="P12" s="6">
        <f t="shared" si="5"/>
        <v>99.927476989660349</v>
      </c>
      <c r="Q12" s="6">
        <f t="shared" si="0"/>
        <v>3.0945708707849358</v>
      </c>
      <c r="R12" s="6">
        <f t="shared" si="1"/>
        <v>0.13418142209148989</v>
      </c>
      <c r="S12" s="10">
        <f t="shared" si="2"/>
        <v>2.0517146988171708</v>
      </c>
      <c r="T12" s="6">
        <f t="shared" si="3"/>
        <v>94.647009997966762</v>
      </c>
      <c r="U12" s="6">
        <f t="shared" si="3"/>
        <v>91.607950293691474</v>
      </c>
      <c r="V12" s="6">
        <f t="shared" si="3"/>
        <v>3.0390597042752829</v>
      </c>
      <c r="X12" s="9"/>
      <c r="Y12" s="2"/>
      <c r="Z12" s="2"/>
      <c r="AA12" s="12" t="s">
        <v>18</v>
      </c>
      <c r="AB12" s="17">
        <f>AC8</f>
        <v>31.575226244343892</v>
      </c>
      <c r="AC12" s="2"/>
      <c r="AD12" s="1"/>
      <c r="AE12" s="1"/>
      <c r="AF12" s="37" t="s">
        <v>36</v>
      </c>
      <c r="AG12" s="37" t="s">
        <v>37</v>
      </c>
      <c r="AH12" s="1" t="s">
        <v>38</v>
      </c>
      <c r="AI12" s="1"/>
      <c r="AJ12" s="1"/>
      <c r="AK12" s="1"/>
      <c r="AL12" s="1"/>
      <c r="AW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3">
      <c r="B13" s="7">
        <v>45.731999999999999</v>
      </c>
      <c r="C13" s="8">
        <v>1.194331E-10</v>
      </c>
      <c r="D13" s="1">
        <v>1.1560560000000001E-10</v>
      </c>
      <c r="E13" s="1">
        <v>3.8275E-12</v>
      </c>
      <c r="F13" s="1">
        <v>2.6351999999999999E-12</v>
      </c>
      <c r="G13" s="1">
        <v>6.5121000000000003E-17</v>
      </c>
      <c r="H13" s="1">
        <v>1.7850999999999999E-12</v>
      </c>
      <c r="I13" s="1">
        <v>2.4777000000000001E-13</v>
      </c>
      <c r="J13" s="1">
        <v>3.1629000000000002E-12</v>
      </c>
      <c r="K13" s="1"/>
      <c r="L13" s="1"/>
      <c r="N13" s="7"/>
      <c r="O13">
        <f t="shared" si="4"/>
        <v>0.76219999999999999</v>
      </c>
      <c r="P13" s="6">
        <f t="shared" si="5"/>
        <v>99.923346469714232</v>
      </c>
      <c r="Q13" s="6">
        <f t="shared" si="0"/>
        <v>3.4706649126254407</v>
      </c>
      <c r="R13" s="6">
        <f t="shared" si="1"/>
        <v>0.19459146631925001</v>
      </c>
      <c r="S13" s="10">
        <f t="shared" si="2"/>
        <v>2.4833984236687576</v>
      </c>
      <c r="T13" s="6">
        <f t="shared" si="3"/>
        <v>93.774691667100782</v>
      </c>
      <c r="U13" s="6">
        <f t="shared" si="3"/>
        <v>90.769472574941005</v>
      </c>
      <c r="V13" s="6">
        <f t="shared" si="3"/>
        <v>3.0052190921597806</v>
      </c>
      <c r="X13" s="9"/>
      <c r="Y13" s="2"/>
      <c r="Z13" s="2"/>
      <c r="AA13" s="13" t="s">
        <v>17</v>
      </c>
      <c r="AB13" s="18">
        <f>AA8</f>
        <v>19.004524886877828</v>
      </c>
      <c r="AC13" s="2"/>
      <c r="AD13" s="1"/>
      <c r="AE13" s="1"/>
      <c r="AF13" s="37" t="s">
        <v>39</v>
      </c>
      <c r="AG13" s="37" t="s">
        <v>40</v>
      </c>
      <c r="AH13" s="1" t="s">
        <v>41</v>
      </c>
      <c r="AI13" s="1"/>
      <c r="AJ13" s="1"/>
      <c r="AK13" s="1"/>
      <c r="AL13" s="1"/>
      <c r="AW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3">
      <c r="B14" s="7">
        <v>53.923999999999999</v>
      </c>
      <c r="C14" s="8">
        <v>1.1834459999999999E-10</v>
      </c>
      <c r="D14" s="1">
        <v>1.145576E-10</v>
      </c>
      <c r="E14" s="1">
        <v>3.7869999999999999E-12</v>
      </c>
      <c r="F14" s="1">
        <v>2.6806000000000001E-12</v>
      </c>
      <c r="G14" s="1">
        <v>7.2232000000000002E-17</v>
      </c>
      <c r="H14" s="1">
        <v>2.197E-12</v>
      </c>
      <c r="I14" s="1">
        <v>3.3531999999999998E-13</v>
      </c>
      <c r="J14" s="1">
        <v>3.7066999999999999E-12</v>
      </c>
      <c r="K14" s="1"/>
      <c r="L14" s="1"/>
      <c r="N14" s="7"/>
      <c r="O14">
        <f t="shared" si="4"/>
        <v>0.89873333333333327</v>
      </c>
      <c r="P14" s="6">
        <f t="shared" si="5"/>
        <v>99.923469827774795</v>
      </c>
      <c r="Q14" s="6">
        <f t="shared" si="0"/>
        <v>3.8297208736560533</v>
      </c>
      <c r="R14" s="6">
        <f t="shared" si="1"/>
        <v>0.26333824662795097</v>
      </c>
      <c r="S14" s="10">
        <f t="shared" si="2"/>
        <v>2.9103711584346592</v>
      </c>
      <c r="T14" s="6">
        <f t="shared" si="3"/>
        <v>92.920039549056128</v>
      </c>
      <c r="U14" s="6">
        <f t="shared" si="3"/>
        <v>89.946619639974728</v>
      </c>
      <c r="V14" s="6">
        <f t="shared" si="3"/>
        <v>2.9734199090814077</v>
      </c>
      <c r="X14" s="9"/>
      <c r="Y14" s="2"/>
      <c r="Z14" s="2"/>
      <c r="AA14" s="14" t="s">
        <v>16</v>
      </c>
      <c r="AB14" s="19">
        <f>Z8</f>
        <v>49.42024886877828</v>
      </c>
      <c r="AC14" s="2"/>
      <c r="AD14" s="1"/>
      <c r="AE14" s="1"/>
      <c r="AF14" s="37" t="s">
        <v>42</v>
      </c>
      <c r="AG14" s="37" t="s">
        <v>43</v>
      </c>
      <c r="AH14" s="1" t="s">
        <v>44</v>
      </c>
      <c r="AI14" s="1"/>
      <c r="AJ14" s="1"/>
      <c r="AK14" s="1"/>
      <c r="AL14" s="1"/>
      <c r="AW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7.25" thickBot="1" x14ac:dyDescent="0.35">
      <c r="B15" s="7">
        <v>62.116</v>
      </c>
      <c r="C15" s="8">
        <v>1.1726510000000001E-10</v>
      </c>
      <c r="D15" s="1">
        <v>1.1351650000000001E-10</v>
      </c>
      <c r="E15" s="1">
        <v>3.7485999999999996E-12</v>
      </c>
      <c r="F15" s="1">
        <v>2.7030000000000001E-12</v>
      </c>
      <c r="G15" s="1">
        <v>7.7511000000000006E-17</v>
      </c>
      <c r="H15" s="1">
        <v>2.6155999999999999E-12</v>
      </c>
      <c r="I15" s="1">
        <v>4.3096000000000001E-13</v>
      </c>
      <c r="J15" s="1">
        <v>4.2447999999999998E-12</v>
      </c>
      <c r="K15" s="1"/>
      <c r="L15" s="1"/>
      <c r="N15" s="7"/>
      <c r="O15">
        <f t="shared" si="4"/>
        <v>1.0352666666666666</v>
      </c>
      <c r="P15" s="6">
        <f t="shared" si="5"/>
        <v>99.919736587192943</v>
      </c>
      <c r="Q15" s="6">
        <f t="shared" si="0"/>
        <v>4.1759786449538883</v>
      </c>
      <c r="R15" s="6">
        <f t="shared" si="1"/>
        <v>0.33843557347987763</v>
      </c>
      <c r="S15" s="10">
        <f t="shared" si="2"/>
        <v>3.3328684526191603</v>
      </c>
      <c r="T15" s="6">
        <f t="shared" si="3"/>
        <v>92.07245391614002</v>
      </c>
      <c r="U15" s="6">
        <f t="shared" si="3"/>
        <v>89.12918434360698</v>
      </c>
      <c r="V15" s="6">
        <f t="shared" si="3"/>
        <v>2.9432695725330245</v>
      </c>
      <c r="X15" s="1"/>
      <c r="Y15" s="5"/>
      <c r="Z15" s="1"/>
      <c r="AA15" s="15" t="s">
        <v>4</v>
      </c>
      <c r="AB15" s="20">
        <f>AB8</f>
        <v>0</v>
      </c>
      <c r="AC15" s="1"/>
      <c r="AD15" s="1"/>
      <c r="AE15" s="1"/>
      <c r="AF15" s="37" t="s">
        <v>8</v>
      </c>
      <c r="AG15" s="37">
        <v>0.05</v>
      </c>
      <c r="AH15" s="37">
        <v>0.05</v>
      </c>
      <c r="AI15" s="1" t="s">
        <v>32</v>
      </c>
      <c r="AJ15" s="1"/>
      <c r="AK15" s="1"/>
      <c r="AL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3">
      <c r="B16" s="7">
        <v>70.308000000000007</v>
      </c>
      <c r="C16" s="8">
        <v>1.161953E-10</v>
      </c>
      <c r="D16" s="1">
        <v>1.124837E-10</v>
      </c>
      <c r="E16" s="1">
        <v>3.7115999999999997E-12</v>
      </c>
      <c r="F16" s="1">
        <v>2.7098E-12</v>
      </c>
      <c r="G16" s="1">
        <v>8.1197000000000003E-17</v>
      </c>
      <c r="H16" s="1">
        <v>3.0374999999999999E-12</v>
      </c>
      <c r="I16" s="1">
        <v>5.3253999999999997E-13</v>
      </c>
      <c r="J16" s="1">
        <v>4.7776000000000002E-12</v>
      </c>
      <c r="K16" s="1"/>
      <c r="L16" s="1"/>
      <c r="N16" s="7"/>
      <c r="O16">
        <f t="shared" si="4"/>
        <v>1.1718000000000002</v>
      </c>
      <c r="P16" s="6">
        <f t="shared" si="5"/>
        <v>99.914463172415196</v>
      </c>
      <c r="Q16" s="6">
        <f t="shared" si="0"/>
        <v>4.512578886576069</v>
      </c>
      <c r="R16" s="6">
        <f t="shared" si="1"/>
        <v>0.41819552974876434</v>
      </c>
      <c r="S16" s="10">
        <f t="shared" si="2"/>
        <v>3.7512043722279733</v>
      </c>
      <c r="T16" s="6">
        <f t="shared" si="3"/>
        <v>91.232484383862399</v>
      </c>
      <c r="U16" s="6">
        <f t="shared" si="3"/>
        <v>88.318265916857769</v>
      </c>
      <c r="V16" s="6">
        <f t="shared" si="3"/>
        <v>2.9142184670046349</v>
      </c>
      <c r="X16" s="1"/>
      <c r="AD16" s="1"/>
      <c r="AE16" s="1"/>
      <c r="AF16" s="37" t="s">
        <v>48</v>
      </c>
      <c r="AG16" s="37" t="s">
        <v>49</v>
      </c>
      <c r="AH16" s="1" t="s">
        <v>50</v>
      </c>
      <c r="AI16" s="1" t="s">
        <v>51</v>
      </c>
      <c r="AJ16" s="1"/>
      <c r="AK16" s="1"/>
      <c r="AL16" s="1"/>
      <c r="AW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2:65" x14ac:dyDescent="0.3">
      <c r="B17" s="7">
        <v>86.691999999999993</v>
      </c>
      <c r="C17" s="8">
        <v>1.140932E-10</v>
      </c>
      <c r="D17" s="1">
        <v>1.1045260000000001E-10</v>
      </c>
      <c r="E17" s="1">
        <v>3.6405999999999997E-12</v>
      </c>
      <c r="F17" s="1">
        <v>2.6978000000000001E-12</v>
      </c>
      <c r="G17" s="1">
        <v>8.4591999999999995E-17</v>
      </c>
      <c r="H17" s="1">
        <v>3.8823000000000001E-12</v>
      </c>
      <c r="I17" s="1">
        <v>7.4695999999999998E-13</v>
      </c>
      <c r="J17" s="1">
        <v>5.8277000000000003E-12</v>
      </c>
      <c r="K17" s="1"/>
      <c r="L17" s="1"/>
      <c r="N17" s="7"/>
      <c r="O17">
        <f t="shared" si="4"/>
        <v>1.4448666666666665</v>
      </c>
      <c r="P17" s="6">
        <f t="shared" si="5"/>
        <v>99.910712749282183</v>
      </c>
      <c r="Q17" s="6">
        <f t="shared" si="0"/>
        <v>5.1664643104691237</v>
      </c>
      <c r="R17" s="6">
        <f t="shared" si="1"/>
        <v>0.58655327774607802</v>
      </c>
      <c r="S17" s="10">
        <f t="shared" si="2"/>
        <v>4.5757061537242469</v>
      </c>
      <c r="T17" s="6">
        <f t="shared" si="3"/>
        <v>89.581989007342727</v>
      </c>
      <c r="U17" s="6">
        <f t="shared" si="3"/>
        <v>86.723517256352025</v>
      </c>
      <c r="V17" s="6">
        <f t="shared" si="3"/>
        <v>2.8584717509906978</v>
      </c>
      <c r="X17" s="5"/>
      <c r="Y17" s="5"/>
      <c r="Z17" s="5"/>
      <c r="AA17" s="5"/>
      <c r="AB17" s="5"/>
      <c r="AC17" s="1"/>
      <c r="AD17" s="5"/>
      <c r="AE17" s="5"/>
      <c r="AF17" s="37" t="s">
        <v>52</v>
      </c>
      <c r="AG17" s="37">
        <v>0.7</v>
      </c>
      <c r="AH17" s="1">
        <v>0.7</v>
      </c>
      <c r="AI17" s="1" t="s">
        <v>53</v>
      </c>
      <c r="AJ17" s="1"/>
      <c r="AK17" s="1"/>
      <c r="AL17" s="1"/>
      <c r="AM17" s="1"/>
      <c r="AN17" s="5"/>
      <c r="AO17" s="1"/>
      <c r="AP17" s="1"/>
      <c r="AQ17" s="1"/>
      <c r="AR17" s="1"/>
      <c r="AS17" s="1"/>
      <c r="AT17" s="1"/>
      <c r="AU17" s="1"/>
      <c r="AV17" s="1"/>
      <c r="AW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2:65" x14ac:dyDescent="0.3">
      <c r="B18" s="7">
        <v>103.08</v>
      </c>
      <c r="C18" s="8">
        <v>1.1202489999999999E-10</v>
      </c>
      <c r="D18" s="1">
        <v>1.0845229999999999E-10</v>
      </c>
      <c r="E18" s="1">
        <v>3.5725999999999999E-12</v>
      </c>
      <c r="F18" s="1">
        <v>2.6643999999999998E-12</v>
      </c>
      <c r="G18" s="1">
        <v>8.6397999999999999E-17</v>
      </c>
      <c r="H18" s="1">
        <v>4.7215E-12</v>
      </c>
      <c r="I18" s="1">
        <v>9.7034000000000008E-13</v>
      </c>
      <c r="J18" s="1">
        <v>6.8578999999999997E-12</v>
      </c>
      <c r="K18" s="1"/>
      <c r="L18" s="1"/>
      <c r="N18" s="7"/>
      <c r="O18">
        <f t="shared" si="4"/>
        <v>1.718</v>
      </c>
      <c r="P18" s="6">
        <f t="shared" si="5"/>
        <v>99.903710495362787</v>
      </c>
      <c r="Q18" s="6">
        <f t="shared" si="0"/>
        <v>5.7991502789765965</v>
      </c>
      <c r="R18" s="6">
        <f t="shared" si="1"/>
        <v>0.76194485664414002</v>
      </c>
      <c r="S18" s="10">
        <f t="shared" si="2"/>
        <v>5.3845831514363311</v>
      </c>
      <c r="T18" s="6">
        <f t="shared" ref="T18:V43" si="6">C18/$A$1*100</f>
        <v>87.958032208305724</v>
      </c>
      <c r="U18" s="6">
        <f t="shared" si="6"/>
        <v>85.152951678286129</v>
      </c>
      <c r="V18" s="6">
        <f t="shared" si="6"/>
        <v>2.8050805300196031</v>
      </c>
      <c r="X18" s="5"/>
      <c r="Y18" s="5"/>
      <c r="Z18" s="5"/>
      <c r="AA18" s="5"/>
      <c r="AB18" s="5"/>
      <c r="AC18" s="1"/>
      <c r="AD18" s="5"/>
      <c r="AE18" s="5"/>
      <c r="AF18" s="36" t="s">
        <v>54</v>
      </c>
      <c r="AG18" s="37" t="s">
        <v>55</v>
      </c>
      <c r="AH18" s="1" t="s">
        <v>56</v>
      </c>
      <c r="AI18" s="1"/>
      <c r="AJ18" s="1"/>
      <c r="AK18" s="1"/>
      <c r="AL18" s="1"/>
      <c r="AM18" s="1"/>
      <c r="AN18" s="5"/>
      <c r="AO18" s="1"/>
      <c r="AP18" s="1"/>
      <c r="AQ18" s="1"/>
      <c r="AR18" s="1"/>
      <c r="AS18" s="1"/>
      <c r="AT18" s="1"/>
      <c r="AU18" s="27"/>
      <c r="AV18" s="27"/>
      <c r="AW18" s="27"/>
      <c r="AX18" s="27"/>
      <c r="AY18" s="27"/>
      <c r="AZ18" s="27"/>
      <c r="BA18" s="27"/>
      <c r="BB18" s="27"/>
      <c r="BC18" s="27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2:65" x14ac:dyDescent="0.3">
      <c r="B19" s="7">
        <v>119.46</v>
      </c>
      <c r="C19" s="8">
        <v>1.099975E-10</v>
      </c>
      <c r="D19" s="1">
        <v>1.064907E-10</v>
      </c>
      <c r="E19" s="1">
        <v>3.5068E-12</v>
      </c>
      <c r="F19" s="1">
        <v>2.6219E-12</v>
      </c>
      <c r="G19" s="1">
        <v>8.7873000000000001E-17</v>
      </c>
      <c r="H19" s="1">
        <v>5.5495000000000001E-12</v>
      </c>
      <c r="I19" s="1">
        <v>1.1971E-12</v>
      </c>
      <c r="J19" s="1">
        <v>7.8691000000000001E-12</v>
      </c>
      <c r="K19" s="1"/>
      <c r="L19" s="1"/>
      <c r="N19" s="7"/>
      <c r="O19">
        <f t="shared" si="4"/>
        <v>1.9909999999999999</v>
      </c>
      <c r="P19" s="6">
        <f t="shared" si="5"/>
        <v>99.900618103324916</v>
      </c>
      <c r="Q19" s="6">
        <f t="shared" si="0"/>
        <v>6.4158973976941684</v>
      </c>
      <c r="R19" s="6">
        <f t="shared" si="1"/>
        <v>0.9399900334008513</v>
      </c>
      <c r="S19" s="10">
        <f t="shared" si="2"/>
        <v>6.1785420138770819</v>
      </c>
      <c r="T19" s="6">
        <f t="shared" si="6"/>
        <v>86.366188658352826</v>
      </c>
      <c r="U19" s="6">
        <f t="shared" si="6"/>
        <v>83.612771986272904</v>
      </c>
      <c r="V19" s="6">
        <f t="shared" si="6"/>
        <v>2.7534166720799265</v>
      </c>
      <c r="X19" s="5"/>
      <c r="Y19" s="5"/>
      <c r="Z19" s="5"/>
      <c r="AA19" s="5"/>
      <c r="AB19" s="5"/>
      <c r="AC19" s="1"/>
      <c r="AD19" s="5"/>
      <c r="AE19" s="5"/>
      <c r="AF19" s="36" t="s">
        <v>57</v>
      </c>
      <c r="AG19" s="37" t="s">
        <v>58</v>
      </c>
      <c r="AH19" s="1" t="s">
        <v>59</v>
      </c>
      <c r="AI19" s="1" t="s">
        <v>60</v>
      </c>
      <c r="AJ19" s="1"/>
      <c r="AK19" s="1"/>
      <c r="AL19" s="1"/>
      <c r="AM19" s="1"/>
      <c r="AN19" s="5"/>
      <c r="AO19" s="1"/>
      <c r="AP19" s="1"/>
      <c r="AQ19" s="1"/>
      <c r="AR19" s="1"/>
      <c r="AS19" s="1"/>
      <c r="AT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2:65" x14ac:dyDescent="0.3">
      <c r="B20" s="7">
        <v>135.84</v>
      </c>
      <c r="C20" s="8">
        <v>1.080021E-10</v>
      </c>
      <c r="D20" s="1">
        <v>1.0455949999999999E-10</v>
      </c>
      <c r="E20" s="1">
        <v>3.4425999999999999E-12</v>
      </c>
      <c r="F20" s="1">
        <v>2.5761999999999999E-12</v>
      </c>
      <c r="G20" s="1">
        <v>8.7713999999999994E-17</v>
      </c>
      <c r="H20" s="1">
        <v>6.3638E-12</v>
      </c>
      <c r="I20" s="1">
        <v>1.4239E-12</v>
      </c>
      <c r="J20" s="1">
        <v>8.8616999999999997E-12</v>
      </c>
      <c r="K20" s="1"/>
      <c r="L20" s="1"/>
      <c r="N20" s="7"/>
      <c r="O20">
        <f t="shared" si="4"/>
        <v>2.2640000000000002</v>
      </c>
      <c r="P20" s="6">
        <f t="shared" si="5"/>
        <v>99.894807757378018</v>
      </c>
      <c r="Q20" s="6">
        <f t="shared" si="0"/>
        <v>7.0193752276703947</v>
      </c>
      <c r="R20" s="6">
        <f t="shared" si="1"/>
        <v>1.1180653337985007</v>
      </c>
      <c r="S20" s="10">
        <f t="shared" si="2"/>
        <v>6.957896807052208</v>
      </c>
      <c r="T20" s="6">
        <f t="shared" si="6"/>
        <v>84.799470388856918</v>
      </c>
      <c r="U20" s="6">
        <f t="shared" si="6"/>
        <v>82.096461310693797</v>
      </c>
      <c r="V20" s="6">
        <f t="shared" si="6"/>
        <v>2.7030090781630984</v>
      </c>
      <c r="X20" s="5"/>
      <c r="Y20" s="5"/>
      <c r="Z20" s="5"/>
      <c r="AA20" s="5"/>
      <c r="AB20" s="5"/>
      <c r="AC20" s="1"/>
      <c r="AD20" s="5"/>
      <c r="AE20" s="5"/>
      <c r="AF20" s="36" t="s">
        <v>61</v>
      </c>
      <c r="AG20" s="37" t="s">
        <v>62</v>
      </c>
      <c r="AH20" s="1" t="s">
        <v>63</v>
      </c>
      <c r="AI20" s="1" t="s">
        <v>64</v>
      </c>
      <c r="AJ20" s="1"/>
      <c r="AK20" s="1"/>
      <c r="AL20" s="1"/>
      <c r="AM20" s="1"/>
      <c r="AN20" s="5"/>
      <c r="AO20" s="1"/>
      <c r="AP20" s="1"/>
      <c r="AQ20" s="1"/>
      <c r="AR20" s="1"/>
      <c r="AS20" s="1"/>
      <c r="AT20" s="1"/>
      <c r="AU20" s="1"/>
      <c r="AV20" s="1"/>
      <c r="AW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2:65" x14ac:dyDescent="0.3">
      <c r="B21" s="7">
        <v>152.22999999999999</v>
      </c>
      <c r="C21" s="8">
        <v>1.0604060000000001E-10</v>
      </c>
      <c r="D21" s="1">
        <v>1.0266080000000001E-10</v>
      </c>
      <c r="E21" s="1">
        <v>3.3798000000000002E-12</v>
      </c>
      <c r="F21" s="1">
        <v>2.5298E-12</v>
      </c>
      <c r="G21" s="1">
        <v>8.6371999999999996E-17</v>
      </c>
      <c r="H21" s="1">
        <v>7.1637999999999998E-12</v>
      </c>
      <c r="I21" s="1">
        <v>1.6489E-12</v>
      </c>
      <c r="J21" s="1">
        <v>9.8360999999999993E-12</v>
      </c>
      <c r="K21" s="1"/>
      <c r="L21" s="1"/>
      <c r="N21" s="7"/>
      <c r="O21">
        <f t="shared" si="4"/>
        <v>2.5371666666666663</v>
      </c>
      <c r="P21" s="6">
        <f t="shared" si="5"/>
        <v>99.888132801065183</v>
      </c>
      <c r="Q21" s="6">
        <f t="shared" si="0"/>
        <v>7.6110755824324094</v>
      </c>
      <c r="R21" s="6">
        <f t="shared" si="1"/>
        <v>1.2947264083202326</v>
      </c>
      <c r="S21" s="10">
        <f t="shared" si="2"/>
        <v>7.7229615969674228</v>
      </c>
      <c r="T21" s="6">
        <f t="shared" si="6"/>
        <v>83.259369213345124</v>
      </c>
      <c r="U21" s="6">
        <f t="shared" si="6"/>
        <v>80.605668498078856</v>
      </c>
      <c r="V21" s="6">
        <f t="shared" si="6"/>
        <v>2.6537007152662642</v>
      </c>
      <c r="X21" s="5"/>
      <c r="Y21" s="5"/>
      <c r="Z21" s="5"/>
      <c r="AA21" s="5"/>
      <c r="AB21" s="5"/>
      <c r="AC21" s="1"/>
      <c r="AD21" s="5"/>
      <c r="AE21" s="5"/>
      <c r="AF21" s="36" t="s">
        <v>65</v>
      </c>
      <c r="AG21" s="37">
        <v>0.1</v>
      </c>
      <c r="AH21" s="1">
        <v>0.1</v>
      </c>
      <c r="AI21" s="1"/>
      <c r="AJ21" s="1"/>
      <c r="AK21" s="1"/>
      <c r="AL21" s="1"/>
      <c r="AM21" s="1"/>
      <c r="AN21" s="5"/>
      <c r="AO21" s="1"/>
      <c r="AP21" s="1"/>
      <c r="AQ21" s="1"/>
      <c r="AR21" s="1"/>
      <c r="AS21" s="1"/>
      <c r="AT21" s="1"/>
      <c r="AU21" s="28"/>
      <c r="AV21" s="113"/>
      <c r="AW21" s="113"/>
      <c r="AX21" s="113"/>
      <c r="AY21" s="113"/>
      <c r="AZ21" s="113"/>
      <c r="BA21" s="113"/>
      <c r="BB21" s="113"/>
      <c r="BC21" s="113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2:65" x14ac:dyDescent="0.3">
      <c r="B22" s="7">
        <v>185</v>
      </c>
      <c r="C22" s="8">
        <v>1.022226E-10</v>
      </c>
      <c r="D22" s="1">
        <v>9.8964699999999999E-11</v>
      </c>
      <c r="E22" s="1">
        <v>3.2579000000000001E-12</v>
      </c>
      <c r="F22" s="1">
        <v>2.4387000000000001E-12</v>
      </c>
      <c r="G22" s="1">
        <v>8.1995000000000002E-17</v>
      </c>
      <c r="H22" s="1">
        <v>8.7206000000000006E-12</v>
      </c>
      <c r="I22" s="1">
        <v>2.0894999999999999E-12</v>
      </c>
      <c r="J22" s="1">
        <v>1.1732E-11</v>
      </c>
      <c r="K22" s="1"/>
      <c r="L22" s="1"/>
      <c r="N22" s="7"/>
      <c r="O22">
        <f t="shared" si="4"/>
        <v>3.0833333333333335</v>
      </c>
      <c r="P22" s="6">
        <f t="shared" si="5"/>
        <v>99.875723757172267</v>
      </c>
      <c r="Q22" s="6">
        <f t="shared" si="0"/>
        <v>8.7618919438637857</v>
      </c>
      <c r="R22" s="6">
        <f t="shared" si="1"/>
        <v>1.6406666769450875</v>
      </c>
      <c r="S22" s="10">
        <f t="shared" si="2"/>
        <v>9.2115559475424025</v>
      </c>
      <c r="T22" s="6">
        <f t="shared" si="6"/>
        <v>80.261609188820998</v>
      </c>
      <c r="U22" s="6">
        <f t="shared" si="6"/>
        <v>77.70362008879556</v>
      </c>
      <c r="V22" s="6">
        <f t="shared" si="6"/>
        <v>2.5579891000254342</v>
      </c>
      <c r="X22" s="5"/>
      <c r="Y22" s="5"/>
      <c r="Z22" s="5"/>
      <c r="AA22" s="5"/>
      <c r="AB22" s="5"/>
      <c r="AC22" s="1"/>
      <c r="AD22" s="5"/>
      <c r="AE22" s="5"/>
      <c r="AF22" s="36" t="s">
        <v>163</v>
      </c>
      <c r="AG22" s="1" t="s">
        <v>166</v>
      </c>
      <c r="AH22" s="1" t="s">
        <v>167</v>
      </c>
      <c r="AI22" s="1"/>
      <c r="AJ22" s="1"/>
      <c r="AK22" s="1"/>
      <c r="AL22" s="1"/>
      <c r="AM22" s="1"/>
      <c r="AN22" s="5"/>
      <c r="AO22" s="1"/>
      <c r="AP22" s="1"/>
      <c r="AQ22" s="1"/>
      <c r="AR22" s="1"/>
      <c r="AS22" s="1"/>
      <c r="AT22" s="1"/>
      <c r="AU22" s="27"/>
      <c r="AV22" s="27"/>
      <c r="AW22" s="27"/>
      <c r="AX22" s="27"/>
      <c r="AY22" s="27"/>
      <c r="AZ22" s="27"/>
      <c r="BA22" s="27"/>
      <c r="BB22" s="27"/>
      <c r="BC22" s="27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2:65" x14ac:dyDescent="0.3">
      <c r="B23" s="7">
        <v>250.53</v>
      </c>
      <c r="C23" s="8">
        <v>9.5227200000000003E-11</v>
      </c>
      <c r="D23" s="1">
        <v>9.2192300000000003E-11</v>
      </c>
      <c r="E23" s="1">
        <v>3.0348999999999999E-12</v>
      </c>
      <c r="F23" s="1">
        <v>2.2714000000000002E-12</v>
      </c>
      <c r="G23" s="1">
        <v>7.6674000000000004E-17</v>
      </c>
      <c r="H23" s="1">
        <v>1.1672E-11</v>
      </c>
      <c r="I23" s="1">
        <v>2.9281E-12</v>
      </c>
      <c r="J23" s="1">
        <v>1.5327E-11</v>
      </c>
      <c r="K23" s="1"/>
      <c r="L23" s="1"/>
      <c r="N23" s="7"/>
      <c r="O23">
        <f t="shared" si="4"/>
        <v>4.1755000000000004</v>
      </c>
      <c r="P23" s="6">
        <f t="shared" si="5"/>
        <v>100.05026176198386</v>
      </c>
      <c r="Q23" s="6">
        <f t="shared" si="0"/>
        <v>10.947869860122974</v>
      </c>
      <c r="R23" s="6">
        <f t="shared" si="1"/>
        <v>2.2991018800579295</v>
      </c>
      <c r="S23" s="10">
        <f t="shared" si="2"/>
        <v>12.034224173881896</v>
      </c>
      <c r="T23" s="6">
        <f t="shared" si="6"/>
        <v>74.769065847921055</v>
      </c>
      <c r="U23" s="6">
        <f t="shared" si="6"/>
        <v>72.386168546080242</v>
      </c>
      <c r="V23" s="6">
        <f t="shared" si="6"/>
        <v>2.3828973018408144</v>
      </c>
      <c r="X23" s="5"/>
      <c r="Y23" s="5"/>
      <c r="Z23" s="5"/>
      <c r="AA23" s="5"/>
      <c r="AB23" s="5"/>
      <c r="AC23" s="1"/>
      <c r="AD23" s="5"/>
      <c r="AE23" s="5"/>
      <c r="AF23" s="36" t="s">
        <v>164</v>
      </c>
      <c r="AG23" s="1" t="s">
        <v>165</v>
      </c>
      <c r="AH23" s="1" t="s">
        <v>171</v>
      </c>
      <c r="AI23" s="1"/>
      <c r="AJ23" s="1"/>
      <c r="AK23" s="1"/>
      <c r="AL23" s="1"/>
      <c r="AM23" s="1"/>
      <c r="AN23" s="5"/>
      <c r="AO23" s="1"/>
      <c r="AP23" s="1"/>
      <c r="AQ23" s="1"/>
      <c r="AR23" s="1"/>
      <c r="AS23" s="1"/>
      <c r="AT23" s="1"/>
      <c r="AU23" s="27"/>
      <c r="AV23" s="27"/>
      <c r="AW23" s="27"/>
      <c r="AX23" s="27"/>
      <c r="AY23" s="27"/>
      <c r="AZ23" s="27"/>
      <c r="BA23" s="27"/>
      <c r="BB23" s="27"/>
      <c r="BC23" s="27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2:65" x14ac:dyDescent="0.3">
      <c r="B24" s="7">
        <v>316.07</v>
      </c>
      <c r="C24" s="8">
        <v>8.8713299999999989E-11</v>
      </c>
      <c r="D24" s="1">
        <v>8.5885999999999992E-11</v>
      </c>
      <c r="E24" s="1">
        <v>2.8272999999999999E-12</v>
      </c>
      <c r="F24" s="1">
        <v>2.1157999999999999E-12</v>
      </c>
      <c r="G24" s="1">
        <v>7.3460999999999995E-17</v>
      </c>
      <c r="H24" s="1">
        <v>1.4420999999999999E-11</v>
      </c>
      <c r="I24" s="1">
        <v>3.7102999999999996E-12</v>
      </c>
      <c r="J24" s="1">
        <v>1.8677E-11</v>
      </c>
      <c r="K24" s="1"/>
      <c r="L24" s="1"/>
      <c r="N24" s="7"/>
      <c r="O24">
        <f t="shared" si="4"/>
        <v>5.2678333333333329</v>
      </c>
      <c r="P24" s="6">
        <f t="shared" si="5"/>
        <v>100.21647867277188</v>
      </c>
      <c r="Q24" s="6">
        <f t="shared" si="0"/>
        <v>12.984116808158813</v>
      </c>
      <c r="R24" s="6">
        <f t="shared" si="1"/>
        <v>2.9132554314931838</v>
      </c>
      <c r="S24" s="10">
        <f t="shared" si="2"/>
        <v>14.664526971722591</v>
      </c>
      <c r="T24" s="6">
        <f t="shared" si="6"/>
        <v>69.654579461397319</v>
      </c>
      <c r="U24" s="6">
        <f t="shared" si="6"/>
        <v>67.434682416521198</v>
      </c>
      <c r="V24" s="6">
        <f t="shared" si="6"/>
        <v>2.2198970448761193</v>
      </c>
      <c r="X24" s="5"/>
      <c r="Y24" s="5"/>
      <c r="Z24" s="5"/>
      <c r="AA24" s="5"/>
      <c r="AB24" s="5"/>
      <c r="AC24" s="1"/>
      <c r="AD24" s="5"/>
      <c r="AE24" s="5"/>
      <c r="AG24" s="1"/>
      <c r="AH24" s="1"/>
      <c r="AI24" s="1"/>
      <c r="AJ24" s="1"/>
      <c r="AK24" s="1"/>
      <c r="AL24" s="1"/>
      <c r="AM24" s="1"/>
      <c r="AN24" s="5"/>
      <c r="AO24" s="1"/>
      <c r="AP24" s="1"/>
      <c r="AQ24" s="1"/>
      <c r="AR24" s="1"/>
      <c r="AS24" s="1"/>
      <c r="AT24" s="1"/>
      <c r="AU24" s="27"/>
      <c r="AV24" s="27"/>
      <c r="AW24" s="27"/>
      <c r="AX24" s="27"/>
      <c r="AY24" s="27"/>
      <c r="AZ24" s="27"/>
      <c r="BA24" s="27"/>
      <c r="BB24" s="27"/>
      <c r="BC24" s="27"/>
      <c r="BD24" s="21"/>
      <c r="BE24" s="1"/>
      <c r="BF24" s="1"/>
      <c r="BG24" s="1"/>
      <c r="BH24" s="1"/>
      <c r="BI24" s="1"/>
      <c r="BJ24" s="1"/>
      <c r="BK24" s="1"/>
      <c r="BL24" s="1"/>
      <c r="BM24" s="1"/>
    </row>
    <row r="25" spans="2:65" x14ac:dyDescent="0.3">
      <c r="B25" s="7">
        <v>381.6</v>
      </c>
      <c r="C25" s="8">
        <v>8.264349999999999E-11</v>
      </c>
      <c r="D25" s="1">
        <v>8.0009599999999992E-11</v>
      </c>
      <c r="E25" s="1">
        <v>2.6338999999999999E-12</v>
      </c>
      <c r="F25" s="1">
        <v>1.9711E-12</v>
      </c>
      <c r="G25" s="1">
        <v>6.8485999999999998E-17</v>
      </c>
      <c r="H25" s="1">
        <v>1.6982E-11</v>
      </c>
      <c r="I25" s="1">
        <v>4.4395999999999998E-12</v>
      </c>
      <c r="J25" s="1">
        <v>2.1796999999999999E-11</v>
      </c>
      <c r="K25" s="1"/>
      <c r="L25" s="1"/>
      <c r="N25" s="7"/>
      <c r="O25">
        <f t="shared" si="4"/>
        <v>6.36</v>
      </c>
      <c r="P25" s="6">
        <f t="shared" si="5"/>
        <v>100.37021007637215</v>
      </c>
      <c r="Q25" s="6">
        <f t="shared" si="0"/>
        <v>14.88131103216552</v>
      </c>
      <c r="R25" s="6">
        <f t="shared" si="1"/>
        <v>3.4858723702122285</v>
      </c>
      <c r="S25" s="10">
        <f t="shared" si="2"/>
        <v>17.114241816278703</v>
      </c>
      <c r="T25" s="6">
        <f t="shared" si="6"/>
        <v>64.888784857715692</v>
      </c>
      <c r="U25" s="6">
        <f t="shared" si="6"/>
        <v>62.820738726601476</v>
      </c>
      <c r="V25" s="6">
        <f t="shared" si="6"/>
        <v>2.0680461311142118</v>
      </c>
      <c r="X25" s="5"/>
      <c r="Y25" s="68" t="s">
        <v>135</v>
      </c>
      <c r="Z25" s="69"/>
      <c r="AA25" s="70"/>
      <c r="AB25" s="71"/>
      <c r="AC25" s="1"/>
      <c r="AD25" s="5"/>
      <c r="AE25" s="5"/>
      <c r="AG25" s="1"/>
      <c r="AH25" s="1"/>
      <c r="AI25" s="1"/>
      <c r="AJ25" s="1"/>
      <c r="AK25" s="1"/>
      <c r="AL25" s="1"/>
      <c r="AM25" s="1"/>
      <c r="AN25" s="5"/>
      <c r="AO25" s="1"/>
      <c r="AP25" s="1"/>
      <c r="AQ25" s="1"/>
      <c r="AR25" s="1"/>
      <c r="AS25" s="1"/>
      <c r="AT25" s="1"/>
      <c r="AU25" s="27"/>
      <c r="AV25" s="27"/>
      <c r="AW25" s="27"/>
      <c r="AX25" s="27"/>
      <c r="AY25" s="27"/>
      <c r="AZ25" s="27"/>
      <c r="BA25" s="27"/>
      <c r="BB25" s="27"/>
      <c r="BC25" s="27"/>
      <c r="BD25" s="22"/>
      <c r="BE25" s="1"/>
      <c r="BF25" s="1"/>
      <c r="BG25" s="1"/>
      <c r="BH25" s="1"/>
      <c r="BI25" s="1"/>
      <c r="BJ25" s="1"/>
      <c r="BK25" s="1"/>
      <c r="BL25" s="1"/>
      <c r="BM25" s="1"/>
    </row>
    <row r="26" spans="2:65" x14ac:dyDescent="0.3">
      <c r="B26" s="7">
        <v>512.67999999999995</v>
      </c>
      <c r="C26" s="8">
        <v>7.1460799999999988E-11</v>
      </c>
      <c r="D26" s="1">
        <v>6.9183299999999993E-11</v>
      </c>
      <c r="E26" s="1">
        <v>2.2774999999999999E-12</v>
      </c>
      <c r="F26" s="1">
        <v>1.7044000000000001E-12</v>
      </c>
      <c r="G26" s="1">
        <v>5.7117000000000002E-17</v>
      </c>
      <c r="H26" s="1">
        <v>2.1589000000000001E-11</v>
      </c>
      <c r="I26" s="1">
        <v>5.7506999999999997E-12</v>
      </c>
      <c r="J26" s="1">
        <v>2.7409E-11</v>
      </c>
      <c r="K26" s="1"/>
      <c r="L26" s="1"/>
      <c r="N26" s="7"/>
      <c r="O26">
        <f t="shared" si="4"/>
        <v>8.5446666666666662</v>
      </c>
      <c r="P26" s="6">
        <f t="shared" si="5"/>
        <v>100.43356396648355</v>
      </c>
      <c r="Q26" s="6">
        <f t="shared" si="0"/>
        <v>18.2891627436485</v>
      </c>
      <c r="R26" s="6">
        <f t="shared" si="1"/>
        <v>4.5152932938947448</v>
      </c>
      <c r="S26" s="10">
        <f t="shared" si="2"/>
        <v>21.520587876422578</v>
      </c>
      <c r="T26" s="6">
        <f t="shared" si="6"/>
        <v>56.108520052517733</v>
      </c>
      <c r="U26" s="6">
        <f t="shared" si="6"/>
        <v>54.320306732493194</v>
      </c>
      <c r="V26" s="6">
        <f t="shared" si="6"/>
        <v>1.7882133200245329</v>
      </c>
      <c r="X26" s="5"/>
      <c r="Y26" s="72"/>
      <c r="Z26" s="73"/>
      <c r="AA26" s="74"/>
      <c r="AB26" s="75"/>
      <c r="AC26" s="1"/>
      <c r="AD26" s="5"/>
      <c r="AE26" s="5"/>
      <c r="AG26" s="1"/>
      <c r="AH26" s="1"/>
      <c r="AI26" s="1"/>
      <c r="AJ26" s="1"/>
      <c r="AK26" s="1"/>
      <c r="AL26" s="1"/>
      <c r="AM26" s="1"/>
      <c r="AN26" s="5"/>
      <c r="AO26" s="1"/>
      <c r="AP26" s="1"/>
      <c r="AQ26" s="1"/>
      <c r="AR26" s="1"/>
      <c r="AS26" s="1"/>
      <c r="AT26" s="1"/>
      <c r="AU26" s="29"/>
      <c r="AV26" s="30"/>
      <c r="AW26" s="30"/>
      <c r="AX26" s="30"/>
      <c r="AY26" s="30"/>
      <c r="AZ26" s="30"/>
      <c r="BA26" s="30"/>
      <c r="BB26" s="30"/>
      <c r="BC26" s="30"/>
      <c r="BD26" s="23"/>
      <c r="BE26" s="1"/>
      <c r="BF26" s="1"/>
      <c r="BG26" s="1"/>
      <c r="BH26" s="1"/>
      <c r="BI26" s="1"/>
      <c r="BJ26" s="1"/>
      <c r="BK26" s="1"/>
      <c r="BL26" s="1"/>
      <c r="BM26" s="1"/>
    </row>
    <row r="27" spans="2:65" x14ac:dyDescent="0.3">
      <c r="B27" s="7">
        <v>643.75</v>
      </c>
      <c r="C27" s="8">
        <v>6.1695E-11</v>
      </c>
      <c r="D27" s="1">
        <v>5.9728800000000002E-11</v>
      </c>
      <c r="E27" s="1">
        <v>1.9661999999999998E-12</v>
      </c>
      <c r="F27" s="1">
        <v>1.4714999999999999E-12</v>
      </c>
      <c r="G27" s="1">
        <v>4.8935E-17</v>
      </c>
      <c r="H27" s="1">
        <v>2.5569E-11</v>
      </c>
      <c r="I27" s="1">
        <v>6.8827999999999997E-12</v>
      </c>
      <c r="J27" s="1">
        <v>3.2258000000000002E-11</v>
      </c>
      <c r="K27" s="1"/>
      <c r="L27" s="1"/>
      <c r="N27" s="7"/>
      <c r="O27">
        <f t="shared" si="4"/>
        <v>10.729166666666666</v>
      </c>
      <c r="P27" s="6">
        <f t="shared" si="5"/>
        <v>100.40403533772646</v>
      </c>
      <c r="Q27" s="6">
        <f t="shared" si="0"/>
        <v>21.231254568660102</v>
      </c>
      <c r="R27" s="6">
        <f t="shared" si="1"/>
        <v>5.4041721823418962</v>
      </c>
      <c r="S27" s="10">
        <f t="shared" si="2"/>
        <v>25.327853030670205</v>
      </c>
      <c r="T27" s="6">
        <f t="shared" si="6"/>
        <v>48.440755556054256</v>
      </c>
      <c r="U27" s="6">
        <f t="shared" si="6"/>
        <v>46.896964104975339</v>
      </c>
      <c r="V27" s="6">
        <f t="shared" si="6"/>
        <v>1.5437914510789181</v>
      </c>
      <c r="X27" s="5"/>
      <c r="Y27" s="76" t="s">
        <v>143</v>
      </c>
      <c r="Z27" s="73"/>
      <c r="AA27" s="74"/>
      <c r="AB27" s="75"/>
      <c r="AC27" s="1"/>
      <c r="AD27" s="5"/>
      <c r="AE27" s="5"/>
      <c r="AG27" s="1"/>
      <c r="AH27" s="1"/>
      <c r="AI27" s="1"/>
      <c r="AJ27" s="1"/>
      <c r="AK27" s="1"/>
      <c r="AL27" s="1"/>
      <c r="AM27" s="1"/>
      <c r="AN27" s="5"/>
      <c r="AO27" s="1"/>
      <c r="AP27" s="1"/>
      <c r="AQ27" s="1"/>
      <c r="AR27" s="1"/>
      <c r="AS27" s="1"/>
      <c r="AT27" s="1"/>
      <c r="AU27" s="31"/>
      <c r="AV27" s="25"/>
      <c r="AW27" s="25"/>
      <c r="AX27" s="25"/>
      <c r="AY27" s="25"/>
      <c r="AZ27" s="25"/>
      <c r="BA27" s="25"/>
      <c r="BB27" s="25"/>
      <c r="BC27" s="25"/>
      <c r="BD27" s="24"/>
      <c r="BE27" s="1"/>
      <c r="BF27" s="1"/>
      <c r="BG27" s="1"/>
      <c r="BH27" s="1"/>
      <c r="BI27" s="1"/>
      <c r="BJ27" s="1"/>
      <c r="BK27" s="1"/>
      <c r="BL27" s="1"/>
      <c r="BM27" s="1"/>
    </row>
    <row r="28" spans="2:65" x14ac:dyDescent="0.3">
      <c r="B28" s="7">
        <v>774.82</v>
      </c>
      <c r="C28" s="8">
        <v>5.3233E-11</v>
      </c>
      <c r="D28" s="1">
        <v>5.15365E-11</v>
      </c>
      <c r="E28" s="1">
        <v>1.6965000000000001E-12</v>
      </c>
      <c r="F28" s="1">
        <v>1.2696E-12</v>
      </c>
      <c r="G28" s="1">
        <v>4.3523999999999997E-17</v>
      </c>
      <c r="H28" s="1">
        <v>2.9003999999999999E-11</v>
      </c>
      <c r="I28" s="1">
        <v>7.8604000000000007E-12</v>
      </c>
      <c r="J28" s="1">
        <v>3.6442999999999999E-11</v>
      </c>
      <c r="K28" s="1"/>
      <c r="L28" s="1"/>
      <c r="N28" s="7"/>
      <c r="O28">
        <f t="shared" si="4"/>
        <v>12.913666666666668</v>
      </c>
      <c r="P28" s="6">
        <f t="shared" si="5"/>
        <v>100.35197464875174</v>
      </c>
      <c r="Q28" s="6">
        <f t="shared" si="0"/>
        <v>23.769771576331372</v>
      </c>
      <c r="R28" s="6">
        <f t="shared" si="1"/>
        <v>6.1717452517749205</v>
      </c>
      <c r="S28" s="10">
        <f t="shared" si="2"/>
        <v>28.613768615435369</v>
      </c>
      <c r="T28" s="6">
        <f t="shared" si="6"/>
        <v>41.796689205210079</v>
      </c>
      <c r="U28" s="6">
        <f t="shared" si="6"/>
        <v>40.464656758482697</v>
      </c>
      <c r="V28" s="6">
        <f t="shared" si="6"/>
        <v>1.3320324467273854</v>
      </c>
      <c r="X28" s="5"/>
      <c r="Y28" s="76" t="s">
        <v>144</v>
      </c>
      <c r="Z28" s="73"/>
      <c r="AA28" s="74"/>
      <c r="AB28" s="75"/>
      <c r="AC28" s="1"/>
      <c r="AD28" s="5"/>
      <c r="AE28" s="5"/>
      <c r="AG28" s="1"/>
      <c r="AH28" s="1"/>
      <c r="AI28" s="1"/>
      <c r="AJ28" s="1"/>
      <c r="AK28" s="1"/>
      <c r="AL28" s="1"/>
      <c r="AM28" s="1"/>
      <c r="AN28" s="5"/>
      <c r="AO28" s="1"/>
      <c r="AP28" s="1"/>
      <c r="AQ28" s="1"/>
      <c r="AR28" s="1"/>
      <c r="AS28" s="1"/>
      <c r="AT28" s="1"/>
      <c r="AU28" s="32"/>
      <c r="AV28" s="26"/>
      <c r="AW28" s="26"/>
      <c r="AX28" s="26"/>
      <c r="AY28" s="26"/>
      <c r="AZ28" s="26"/>
      <c r="BA28" s="26"/>
      <c r="BB28" s="26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2:65" x14ac:dyDescent="0.3">
      <c r="B29" s="7">
        <v>1037</v>
      </c>
      <c r="C29" s="8">
        <v>3.9447000000000003E-11</v>
      </c>
      <c r="D29" s="1">
        <v>3.81898E-11</v>
      </c>
      <c r="E29" s="1">
        <v>1.2571999999999999E-12</v>
      </c>
      <c r="F29" s="1">
        <v>9.4084000000000006E-13</v>
      </c>
      <c r="G29" s="1">
        <v>3.2317999999999997E-17</v>
      </c>
      <c r="H29" s="1">
        <v>3.4544E-11</v>
      </c>
      <c r="I29" s="1">
        <v>9.4381000000000003E-12</v>
      </c>
      <c r="J29" s="1">
        <v>4.3193000000000001E-11</v>
      </c>
      <c r="K29" s="1"/>
      <c r="L29" s="1"/>
      <c r="N29" s="7"/>
      <c r="O29">
        <f t="shared" si="4"/>
        <v>17.283333333333335</v>
      </c>
      <c r="P29" s="6">
        <f t="shared" si="5"/>
        <v>100.15798298176438</v>
      </c>
      <c r="Q29" s="6">
        <f t="shared" si="0"/>
        <v>27.861454905352073</v>
      </c>
      <c r="R29" s="6">
        <f t="shared" si="1"/>
        <v>7.4104912962465965</v>
      </c>
      <c r="S29" s="10">
        <f t="shared" si="2"/>
        <v>33.913632461830801</v>
      </c>
      <c r="T29" s="6">
        <f t="shared" si="6"/>
        <v>30.972404318334913</v>
      </c>
      <c r="U29" s="6">
        <f t="shared" si="6"/>
        <v>29.985294862381078</v>
      </c>
      <c r="V29" s="6">
        <f t="shared" si="6"/>
        <v>0.98710945595382771</v>
      </c>
      <c r="X29" s="5"/>
      <c r="Y29" s="76" t="s">
        <v>145</v>
      </c>
      <c r="Z29" s="73"/>
      <c r="AA29" s="74"/>
      <c r="AB29" s="75"/>
      <c r="AC29" s="1"/>
      <c r="AD29" s="5"/>
      <c r="AE29" s="5"/>
      <c r="AG29" s="1"/>
      <c r="AH29" s="1"/>
      <c r="AI29" s="1"/>
      <c r="AJ29" s="1"/>
      <c r="AK29" s="1"/>
      <c r="AL29" s="1"/>
      <c r="AM29" s="1"/>
      <c r="AN29" s="5"/>
      <c r="AO29" s="1"/>
      <c r="AP29" s="1"/>
      <c r="AQ29" s="1"/>
      <c r="AR29" s="1"/>
      <c r="AS29" s="1"/>
      <c r="AT29" s="1"/>
      <c r="AU29" s="33"/>
      <c r="AV29" s="34"/>
      <c r="AW29" s="34"/>
      <c r="AX29" s="34"/>
      <c r="AY29" s="34"/>
      <c r="AZ29" s="34"/>
      <c r="BA29" s="34"/>
      <c r="BB29" s="34"/>
      <c r="BC29" s="34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2:65" x14ac:dyDescent="0.3">
      <c r="B30" s="7">
        <v>1258.9000000000001</v>
      </c>
      <c r="C30" s="8">
        <v>3.0584730000000003E-11</v>
      </c>
      <c r="D30" s="1">
        <v>2.9610000000000002E-11</v>
      </c>
      <c r="E30" s="1">
        <v>9.7473000000000003E-13</v>
      </c>
      <c r="F30" s="1">
        <v>7.2946E-13</v>
      </c>
      <c r="G30" s="1">
        <v>2.4285E-17</v>
      </c>
      <c r="H30" s="1">
        <v>3.8088999999999999E-11</v>
      </c>
      <c r="I30" s="1">
        <v>1.0447E-11</v>
      </c>
      <c r="J30" s="1">
        <v>4.7511000000000001E-11</v>
      </c>
      <c r="K30" s="1"/>
      <c r="L30" s="1"/>
      <c r="N30" s="7"/>
      <c r="O30">
        <f t="shared" si="4"/>
        <v>20.981666666666669</v>
      </c>
      <c r="P30" s="6">
        <f t="shared" si="5"/>
        <v>99.999569632902677</v>
      </c>
      <c r="Q30" s="6">
        <f t="shared" si="0"/>
        <v>30.478896700258851</v>
      </c>
      <c r="R30" s="6">
        <f t="shared" si="1"/>
        <v>8.2026379719239397</v>
      </c>
      <c r="S30" s="10">
        <f t="shared" si="2"/>
        <v>37.303974993495324</v>
      </c>
      <c r="T30" s="6">
        <f t="shared" si="6"/>
        <v>24.014059967224561</v>
      </c>
      <c r="U30" s="6">
        <f t="shared" si="6"/>
        <v>23.24873607285463</v>
      </c>
      <c r="V30" s="6">
        <f t="shared" si="6"/>
        <v>0.76532389436992887</v>
      </c>
      <c r="X30" s="5"/>
      <c r="Y30" s="76" t="s">
        <v>146</v>
      </c>
      <c r="Z30" s="73"/>
      <c r="AA30" s="74"/>
      <c r="AB30" s="75"/>
      <c r="AC30" s="1"/>
      <c r="AD30" s="5"/>
      <c r="AE30" s="5"/>
      <c r="AG30" s="1"/>
      <c r="AH30" s="1"/>
      <c r="AI30" s="1"/>
      <c r="AJ30" s="1"/>
      <c r="AK30" s="1"/>
      <c r="AL30" s="1"/>
      <c r="AM30" s="1"/>
      <c r="AN30" s="5"/>
      <c r="AO30" s="1"/>
      <c r="AP30" s="1"/>
      <c r="AQ30" s="1"/>
      <c r="AR30" s="1"/>
      <c r="AS30" s="1"/>
      <c r="AT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x14ac:dyDescent="0.3">
      <c r="B31" s="7">
        <v>1480.9</v>
      </c>
      <c r="C31" s="8">
        <v>2.3708499999999998E-11</v>
      </c>
      <c r="D31" s="1">
        <v>2.2952899999999999E-11</v>
      </c>
      <c r="E31" s="1">
        <v>7.5560000000000003E-13</v>
      </c>
      <c r="F31" s="1">
        <v>5.6548000000000003E-13</v>
      </c>
      <c r="G31" s="1">
        <v>1.8902E-17</v>
      </c>
      <c r="H31" s="1">
        <v>4.0836999999999998E-11</v>
      </c>
      <c r="I31" s="1">
        <v>1.1229000000000001E-11</v>
      </c>
      <c r="J31" s="1">
        <v>5.0858999999999997E-11</v>
      </c>
      <c r="K31" s="1"/>
      <c r="L31" s="1"/>
      <c r="N31" s="7"/>
      <c r="O31">
        <f t="shared" si="4"/>
        <v>24.681666666666668</v>
      </c>
      <c r="P31" s="6">
        <f t="shared" si="5"/>
        <v>99.872203789392898</v>
      </c>
      <c r="Q31" s="6">
        <f t="shared" si="0"/>
        <v>32.507778800460734</v>
      </c>
      <c r="R31" s="6">
        <f t="shared" si="1"/>
        <v>8.8166327865482579</v>
      </c>
      <c r="S31" s="10">
        <f t="shared" si="2"/>
        <v>39.932707461307452</v>
      </c>
      <c r="T31" s="6">
        <f t="shared" si="6"/>
        <v>18.615084741076458</v>
      </c>
      <c r="U31" s="6">
        <f t="shared" si="6"/>
        <v>18.021814056285884</v>
      </c>
      <c r="V31" s="6">
        <f t="shared" si="6"/>
        <v>0.5932706847905761</v>
      </c>
      <c r="X31" s="5"/>
      <c r="Y31" s="72"/>
      <c r="Z31" s="73"/>
      <c r="AA31" s="74"/>
      <c r="AB31" s="75"/>
      <c r="AC31" s="1"/>
      <c r="AD31" s="5"/>
      <c r="AE31" s="5"/>
      <c r="AG31" s="1"/>
      <c r="AH31" s="1"/>
      <c r="AI31" s="1"/>
      <c r="AJ31" s="1"/>
      <c r="AK31" s="1"/>
      <c r="AL31" s="1"/>
      <c r="AM31" s="1"/>
      <c r="AN31" s="5"/>
      <c r="AO31" s="1"/>
      <c r="AP31" s="1"/>
      <c r="AQ31" s="1"/>
      <c r="AR31" s="1"/>
      <c r="AS31" s="1"/>
      <c r="AT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2:65" x14ac:dyDescent="0.3">
      <c r="B32" s="7">
        <v>1680.6</v>
      </c>
      <c r="C32" s="8">
        <v>1.8866379999999999E-11</v>
      </c>
      <c r="D32" s="1">
        <v>1.8265100000000001E-11</v>
      </c>
      <c r="E32" s="1">
        <v>6.0128000000000004E-13</v>
      </c>
      <c r="F32" s="1">
        <v>4.4998999999999998E-13</v>
      </c>
      <c r="G32" s="1">
        <v>1.5445999999999999E-17</v>
      </c>
      <c r="H32" s="1">
        <v>4.2777E-11</v>
      </c>
      <c r="I32" s="1">
        <v>1.1781000000000001E-11</v>
      </c>
      <c r="J32" s="1">
        <v>5.3222000000000002E-11</v>
      </c>
      <c r="K32" s="1"/>
      <c r="L32" s="1"/>
      <c r="N32" s="7"/>
      <c r="O32">
        <f t="shared" si="4"/>
        <v>28.009999999999998</v>
      </c>
      <c r="P32" s="6">
        <f t="shared" si="5"/>
        <v>99.791635293747262</v>
      </c>
      <c r="Q32" s="6">
        <f t="shared" si="0"/>
        <v>33.940320220666209</v>
      </c>
      <c r="R32" s="6">
        <f t="shared" si="1"/>
        <v>9.2500411609009721</v>
      </c>
      <c r="S32" s="10">
        <f t="shared" si="2"/>
        <v>41.788052390052997</v>
      </c>
      <c r="T32" s="6">
        <f t="shared" si="6"/>
        <v>14.81322152212709</v>
      </c>
      <c r="U32" s="6">
        <f t="shared" si="6"/>
        <v>14.341117502340328</v>
      </c>
      <c r="V32" s="6">
        <f t="shared" si="6"/>
        <v>0.47210401978676236</v>
      </c>
      <c r="X32" s="5"/>
      <c r="Y32" s="72"/>
      <c r="Z32" s="73"/>
      <c r="AA32" s="74"/>
      <c r="AB32" s="75"/>
      <c r="AC32" s="1"/>
      <c r="AD32" s="5"/>
      <c r="AE32" s="5"/>
      <c r="AG32" s="1"/>
      <c r="AH32" s="1"/>
      <c r="AI32" s="1"/>
      <c r="AJ32" s="1"/>
      <c r="AK32" s="1"/>
      <c r="AL32" s="1"/>
      <c r="AM32" s="1"/>
      <c r="AN32" s="5"/>
      <c r="AO32" s="1"/>
      <c r="AP32" s="1"/>
      <c r="AQ32" s="1"/>
      <c r="AR32" s="1"/>
      <c r="AS32" s="1"/>
      <c r="AT32" s="1"/>
      <c r="AU32" s="1"/>
      <c r="AV32" s="25"/>
      <c r="AW32" s="25"/>
      <c r="AX32" s="25"/>
      <c r="AY32" s="25"/>
      <c r="AZ32" s="25"/>
      <c r="BA32" s="25"/>
      <c r="BB32" s="25"/>
      <c r="BC32" s="25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2:65" ht="18.75" x14ac:dyDescent="0.3">
      <c r="B33" s="7">
        <v>1880.4</v>
      </c>
      <c r="C33" s="8">
        <v>1.5016179999999999E-11</v>
      </c>
      <c r="D33" s="1">
        <v>1.45376E-11</v>
      </c>
      <c r="E33" s="1">
        <v>4.7857999999999997E-13</v>
      </c>
      <c r="F33" s="1">
        <v>3.5816000000000001E-13</v>
      </c>
      <c r="G33" s="1">
        <v>1.2259999999999999E-17</v>
      </c>
      <c r="H33" s="1">
        <v>4.4320000000000002E-11</v>
      </c>
      <c r="I33" s="1">
        <v>1.2219999999999999E-11</v>
      </c>
      <c r="J33" s="1">
        <v>5.5103000000000002E-11</v>
      </c>
      <c r="K33" s="1"/>
      <c r="L33" s="1"/>
      <c r="N33" s="7"/>
      <c r="O33">
        <f t="shared" si="4"/>
        <v>31.34</v>
      </c>
      <c r="P33" s="6">
        <f t="shared" si="5"/>
        <v>99.72958120113293</v>
      </c>
      <c r="Q33" s="6">
        <f t="shared" si="0"/>
        <v>35.079728134440082</v>
      </c>
      <c r="R33" s="6">
        <f t="shared" si="1"/>
        <v>9.5947261006345101</v>
      </c>
      <c r="S33" s="10">
        <f t="shared" si="2"/>
        <v>43.264947781915183</v>
      </c>
      <c r="T33" s="6">
        <f t="shared" si="6"/>
        <v>11.790179184143135</v>
      </c>
      <c r="U33" s="6">
        <f t="shared" si="6"/>
        <v>11.414414911608628</v>
      </c>
      <c r="V33" s="6">
        <f t="shared" si="6"/>
        <v>0.37576427253450756</v>
      </c>
      <c r="X33" s="5"/>
      <c r="Y33" s="77" t="s">
        <v>141</v>
      </c>
      <c r="Z33" s="78" t="s">
        <v>136</v>
      </c>
      <c r="AA33" s="79"/>
      <c r="AB33" s="80">
        <v>0.35124252145738799</v>
      </c>
      <c r="AC33" s="1"/>
      <c r="AD33" s="5"/>
      <c r="AE33" s="5"/>
      <c r="AG33" s="1"/>
      <c r="AH33" s="1"/>
      <c r="AI33" s="1"/>
      <c r="AJ33" s="1"/>
      <c r="AK33" s="1"/>
      <c r="AL33" s="1"/>
      <c r="AM33" s="1"/>
      <c r="AN33" s="5"/>
      <c r="AO33" s="1"/>
      <c r="AP33" s="1"/>
      <c r="AQ33" s="1"/>
      <c r="AR33" s="1"/>
      <c r="AS33" s="1"/>
      <c r="AT33" s="1"/>
      <c r="AU33" s="1"/>
      <c r="AV33" s="26"/>
      <c r="AW33" s="26"/>
      <c r="AX33" s="26"/>
      <c r="AY33" s="26"/>
      <c r="AZ33" s="26"/>
      <c r="BA33" s="26"/>
      <c r="BB33" s="26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2:65" ht="18.75" x14ac:dyDescent="0.3">
      <c r="B34" s="7">
        <v>2080.1</v>
      </c>
      <c r="C34" s="8">
        <v>1.19532E-11</v>
      </c>
      <c r="D34" s="1">
        <v>1.157225E-11</v>
      </c>
      <c r="E34" s="1">
        <v>3.8095000000000001E-13</v>
      </c>
      <c r="F34" s="1">
        <v>2.8509E-13</v>
      </c>
      <c r="G34" s="1">
        <v>9.6406999999999999E-18</v>
      </c>
      <c r="H34" s="1">
        <v>4.5548999999999998E-11</v>
      </c>
      <c r="I34" s="1">
        <v>1.257E-11</v>
      </c>
      <c r="J34" s="1">
        <v>5.6599999999999997E-11</v>
      </c>
      <c r="K34" s="1"/>
      <c r="L34" s="1"/>
      <c r="N34" s="7"/>
      <c r="O34">
        <f t="shared" si="4"/>
        <v>34.668333333333329</v>
      </c>
      <c r="P34" s="6">
        <f t="shared" si="5"/>
        <v>99.682429985442639</v>
      </c>
      <c r="Q34" s="6">
        <f t="shared" si="0"/>
        <v>35.987323929397689</v>
      </c>
      <c r="R34" s="6">
        <f t="shared" si="1"/>
        <v>9.8695317990500691</v>
      </c>
      <c r="S34" s="10">
        <f t="shared" si="2"/>
        <v>44.440339808293551</v>
      </c>
      <c r="T34" s="6">
        <f t="shared" si="6"/>
        <v>9.3852344487013166</v>
      </c>
      <c r="U34" s="6">
        <f t="shared" si="6"/>
        <v>9.0861258365110427</v>
      </c>
      <c r="V34" s="6">
        <f t="shared" si="6"/>
        <v>0.29910861219027257</v>
      </c>
      <c r="X34" s="5"/>
      <c r="Y34" s="81"/>
      <c r="Z34" s="82" t="s">
        <v>137</v>
      </c>
      <c r="AA34" s="79"/>
      <c r="AB34" s="80">
        <v>39.544094323204199</v>
      </c>
      <c r="AC34" s="1"/>
      <c r="AD34" s="5"/>
      <c r="AE34" s="5"/>
      <c r="AG34" s="1"/>
      <c r="AH34" s="1"/>
      <c r="AI34" s="1"/>
      <c r="AJ34" s="1"/>
      <c r="AK34" s="1"/>
      <c r="AL34" s="1"/>
      <c r="AM34" s="1"/>
      <c r="AN34" s="5"/>
      <c r="AO34" s="1"/>
      <c r="AP34" s="1"/>
      <c r="AQ34" s="1"/>
      <c r="AR34" s="1"/>
      <c r="AS34" s="1"/>
      <c r="AT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2:65" ht="18.75" x14ac:dyDescent="0.3">
      <c r="B35" s="7">
        <v>2279.9</v>
      </c>
      <c r="C35" s="8">
        <v>9.5149299999999989E-12</v>
      </c>
      <c r="D35" s="1">
        <v>9.2116899999999995E-12</v>
      </c>
      <c r="E35" s="1">
        <v>3.0323999999999998E-13</v>
      </c>
      <c r="F35" s="1">
        <v>2.2693999999999999E-13</v>
      </c>
      <c r="G35" s="1">
        <v>7.6704999999999994E-18</v>
      </c>
      <c r="H35" s="1">
        <v>4.6527E-11</v>
      </c>
      <c r="I35" s="1">
        <v>1.2849000000000001E-11</v>
      </c>
      <c r="J35" s="1">
        <v>5.7790999999999997E-11</v>
      </c>
      <c r="K35" s="1"/>
      <c r="L35" s="1"/>
      <c r="N35" s="7"/>
      <c r="O35">
        <f t="shared" si="4"/>
        <v>37.998333333333335</v>
      </c>
      <c r="P35" s="6">
        <f t="shared" si="5"/>
        <v>99.644410748519036</v>
      </c>
      <c r="Q35" s="6">
        <f t="shared" si="0"/>
        <v>36.709557967783887</v>
      </c>
      <c r="R35" s="6">
        <f t="shared" si="1"/>
        <v>10.088591291102304</v>
      </c>
      <c r="S35" s="10">
        <f t="shared" si="2"/>
        <v>45.375471340301985</v>
      </c>
      <c r="T35" s="6">
        <f t="shared" si="6"/>
        <v>7.4707901493308571</v>
      </c>
      <c r="U35" s="6">
        <f t="shared" si="6"/>
        <v>7.2326967104003463</v>
      </c>
      <c r="V35" s="6">
        <f t="shared" si="6"/>
        <v>0.23809343893051124</v>
      </c>
      <c r="X35" s="5"/>
      <c r="Y35" s="81"/>
      <c r="Z35" s="82" t="s">
        <v>138</v>
      </c>
      <c r="AA35" s="79"/>
      <c r="AB35" s="80">
        <v>3.0429731226961999E-2</v>
      </c>
      <c r="AC35" s="1"/>
      <c r="AD35" s="5"/>
      <c r="AE35" s="5"/>
      <c r="AG35" s="1"/>
      <c r="AH35" s="1"/>
      <c r="AI35" s="1"/>
      <c r="AJ35" s="1"/>
      <c r="AK35" s="1"/>
      <c r="AL35" s="1"/>
      <c r="AM35" s="1"/>
      <c r="AN35" s="5"/>
      <c r="AO35" s="1"/>
      <c r="AP35" s="1"/>
      <c r="AQ35" s="1"/>
      <c r="AR35" s="1"/>
      <c r="AS35" s="1"/>
      <c r="AT35" s="1"/>
      <c r="AU35" s="1"/>
      <c r="AV35" s="1"/>
      <c r="AW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2:65" ht="18.75" x14ac:dyDescent="0.3">
      <c r="B36" s="7">
        <v>2479.6999999999998</v>
      </c>
      <c r="C36" s="8">
        <v>7.5742700000000006E-12</v>
      </c>
      <c r="D36" s="1">
        <v>7.3328800000000006E-12</v>
      </c>
      <c r="E36" s="1">
        <v>2.4138999999999999E-13</v>
      </c>
      <c r="F36" s="1">
        <v>1.8064999999999999E-13</v>
      </c>
      <c r="G36" s="1">
        <v>6.1501000000000001E-18</v>
      </c>
      <c r="H36" s="1">
        <v>4.7304999999999998E-11</v>
      </c>
      <c r="I36" s="1">
        <v>1.307E-11</v>
      </c>
      <c r="J36" s="1">
        <v>5.8739E-11</v>
      </c>
      <c r="K36" s="1"/>
      <c r="L36" s="1"/>
      <c r="N36" s="7"/>
      <c r="O36">
        <f t="shared" si="4"/>
        <v>41.328333333333333</v>
      </c>
      <c r="P36" s="6">
        <f t="shared" si="5"/>
        <v>99.613042212433641</v>
      </c>
      <c r="Q36" s="6">
        <f t="shared" si="0"/>
        <v>37.284071060383297</v>
      </c>
      <c r="R36" s="6">
        <f t="shared" si="1"/>
        <v>10.262111565493473</v>
      </c>
      <c r="S36" s="10">
        <f t="shared" si="2"/>
        <v>46.119807773840193</v>
      </c>
      <c r="T36" s="6">
        <f t="shared" si="6"/>
        <v>5.9470518127166718</v>
      </c>
      <c r="U36" s="6">
        <f t="shared" si="6"/>
        <v>5.7575208299194287</v>
      </c>
      <c r="V36" s="6">
        <f t="shared" si="6"/>
        <v>0.18953098279724348</v>
      </c>
      <c r="X36" s="5"/>
      <c r="Y36" s="81"/>
      <c r="Z36" s="82" t="s">
        <v>139</v>
      </c>
      <c r="AA36" s="79"/>
      <c r="AB36" s="80">
        <v>7.4058341369826097</v>
      </c>
      <c r="AC36" s="1"/>
      <c r="AD36" s="5"/>
      <c r="AE36" s="5"/>
      <c r="AG36" s="1"/>
      <c r="AH36" s="1"/>
      <c r="AI36" s="1"/>
      <c r="AJ36" s="1"/>
      <c r="AK36" s="1"/>
      <c r="AL36" s="1"/>
      <c r="AM36" s="1"/>
      <c r="AN36" s="5"/>
      <c r="AO36" s="1"/>
      <c r="AP36" s="1"/>
      <c r="AQ36" s="1"/>
      <c r="AR36" s="1"/>
      <c r="AS36" s="1"/>
      <c r="AT36" s="1"/>
      <c r="AU36" s="1"/>
      <c r="AV36" s="1"/>
      <c r="AW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2:65" ht="18.75" x14ac:dyDescent="0.3">
      <c r="B37" s="7">
        <v>2679.4</v>
      </c>
      <c r="C37" s="8">
        <v>6.02939E-12</v>
      </c>
      <c r="D37" s="1">
        <v>5.8372299999999998E-12</v>
      </c>
      <c r="E37" s="1">
        <v>1.9216000000000001E-13</v>
      </c>
      <c r="F37" s="1">
        <v>1.4381E-13</v>
      </c>
      <c r="G37" s="1">
        <v>4.8774999999999997E-18</v>
      </c>
      <c r="H37" s="1">
        <v>4.7924999999999999E-11</v>
      </c>
      <c r="I37" s="1">
        <v>1.3247E-11</v>
      </c>
      <c r="J37" s="1">
        <v>5.9494000000000002E-11</v>
      </c>
      <c r="K37" s="1"/>
      <c r="L37" s="1"/>
      <c r="N37" s="7"/>
      <c r="O37">
        <f t="shared" si="4"/>
        <v>44.656666666666666</v>
      </c>
      <c r="P37" s="6">
        <f t="shared" si="5"/>
        <v>99.589706109008219</v>
      </c>
      <c r="Q37" s="6">
        <f t="shared" si="0"/>
        <v>37.741947890111291</v>
      </c>
      <c r="R37" s="6">
        <f t="shared" si="1"/>
        <v>10.401084773820179</v>
      </c>
      <c r="S37" s="10">
        <f t="shared" si="2"/>
        <v>46.712607359622204</v>
      </c>
      <c r="T37" s="6">
        <f t="shared" si="6"/>
        <v>4.7340660854545424</v>
      </c>
      <c r="U37" s="6">
        <f t="shared" si="6"/>
        <v>4.583188776310342</v>
      </c>
      <c r="V37" s="6">
        <f t="shared" si="6"/>
        <v>0.15087730914419945</v>
      </c>
      <c r="X37" s="5"/>
      <c r="Y37" s="81"/>
      <c r="Z37" s="82" t="s">
        <v>140</v>
      </c>
      <c r="AA37" s="79"/>
      <c r="AB37" s="99">
        <v>6.8213815647571494E-2</v>
      </c>
      <c r="AC37" s="1"/>
      <c r="AD37" s="5"/>
      <c r="AE37" s="5"/>
      <c r="AG37" s="1"/>
      <c r="AH37" s="1"/>
      <c r="AI37" s="1"/>
      <c r="AJ37" s="1"/>
      <c r="AK37" s="1"/>
      <c r="AL37" s="1"/>
      <c r="AM37" s="1"/>
      <c r="AN37" s="5"/>
      <c r="AO37" s="1"/>
      <c r="AP37" s="1"/>
      <c r="AQ37" s="1"/>
      <c r="AR37" s="1"/>
      <c r="AS37" s="1"/>
      <c r="AT37" s="1"/>
      <c r="AU37" s="1"/>
      <c r="AV37" s="1"/>
      <c r="AW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2:65" ht="18.75" x14ac:dyDescent="0.3">
      <c r="B38" s="7">
        <v>2879.2</v>
      </c>
      <c r="C38" s="8">
        <v>4.7996300000000002E-12</v>
      </c>
      <c r="D38" s="1">
        <v>4.6466599999999999E-12</v>
      </c>
      <c r="E38" s="1">
        <v>1.5297E-13</v>
      </c>
      <c r="F38" s="1">
        <v>1.1448000000000001E-13</v>
      </c>
      <c r="G38" s="1">
        <v>3.8744E-18</v>
      </c>
      <c r="H38" s="1">
        <v>4.8418000000000001E-11</v>
      </c>
      <c r="I38" s="1">
        <v>1.3387E-11</v>
      </c>
      <c r="J38" s="1">
        <v>6.0095E-11</v>
      </c>
      <c r="K38" s="1"/>
      <c r="L38" s="1"/>
      <c r="N38" s="7"/>
      <c r="O38" s="58">
        <f t="shared" si="4"/>
        <v>47.986666666666665</v>
      </c>
      <c r="P38" s="59">
        <f t="shared" si="5"/>
        <v>99.570005531200906</v>
      </c>
      <c r="Q38" s="59">
        <f t="shared" si="0"/>
        <v>38.106005352282871</v>
      </c>
      <c r="R38" s="59">
        <f t="shared" si="1"/>
        <v>10.511007088220465</v>
      </c>
      <c r="S38" s="10">
        <f t="shared" si="2"/>
        <v>47.184491533204962</v>
      </c>
      <c r="T38" s="59">
        <f t="shared" si="6"/>
        <v>3.7685015574925798</v>
      </c>
      <c r="U38" s="59">
        <f t="shared" si="6"/>
        <v>3.6483948652580445</v>
      </c>
      <c r="V38" s="59">
        <f t="shared" si="6"/>
        <v>0.12010669223453473</v>
      </c>
      <c r="X38" s="5"/>
      <c r="Y38" s="81"/>
      <c r="Z38" s="103" t="s">
        <v>151</v>
      </c>
      <c r="AA38" s="85"/>
      <c r="AB38" s="97">
        <v>8.8324047577635607</v>
      </c>
      <c r="AC38" s="1"/>
      <c r="AD38" s="5"/>
      <c r="AE38" s="5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2:65" ht="18.75" x14ac:dyDescent="0.3">
      <c r="B39" s="7">
        <v>3078.9</v>
      </c>
      <c r="C39" s="8">
        <v>3.8206999999999997E-12</v>
      </c>
      <c r="D39" s="1">
        <v>3.6989299999999995E-12</v>
      </c>
      <c r="E39" s="1">
        <v>1.2177E-13</v>
      </c>
      <c r="F39" s="1">
        <v>9.1128000000000006E-14</v>
      </c>
      <c r="G39" s="1">
        <v>3.0931000000000001E-18</v>
      </c>
      <c r="H39" s="1">
        <v>4.8811E-11</v>
      </c>
      <c r="I39" s="1">
        <v>1.3499E-11</v>
      </c>
      <c r="J39" s="1">
        <v>6.0573999999999999E-11</v>
      </c>
      <c r="K39" s="1"/>
      <c r="L39" s="1"/>
      <c r="N39" s="7"/>
      <c r="O39" s="58">
        <f t="shared" si="4"/>
        <v>51.315000000000005</v>
      </c>
      <c r="P39" s="59">
        <f t="shared" si="5"/>
        <v>99.555650530960378</v>
      </c>
      <c r="Q39" s="59">
        <f t="shared" si="0"/>
        <v>38.396240029481746</v>
      </c>
      <c r="R39" s="59">
        <f t="shared" si="1"/>
        <v>10.59894495637049</v>
      </c>
      <c r="S39" s="10">
        <f t="shared" si="2"/>
        <v>47.560585575045472</v>
      </c>
      <c r="T39" s="59">
        <f t="shared" si="6"/>
        <v>2.9998799700626706</v>
      </c>
      <c r="U39" s="59">
        <f t="shared" si="6"/>
        <v>2.9042704262736971</v>
      </c>
      <c r="V39" s="59">
        <f t="shared" si="6"/>
        <v>9.56095437889736E-2</v>
      </c>
      <c r="X39" s="5"/>
      <c r="Y39" s="81"/>
      <c r="Z39" s="103" t="s">
        <v>152</v>
      </c>
      <c r="AA39" s="85"/>
      <c r="AB39" s="97">
        <v>-7.4058341369826097</v>
      </c>
      <c r="AC39" s="1"/>
      <c r="AD39" s="5"/>
      <c r="AE39" s="5"/>
      <c r="AG39" s="1"/>
      <c r="AH39" s="1"/>
      <c r="AI39" s="1"/>
      <c r="AJ39" s="1"/>
      <c r="AK39" s="1"/>
      <c r="AL39" s="1"/>
      <c r="AM39" s="1"/>
      <c r="AN39" s="5"/>
      <c r="AO39" s="1"/>
      <c r="AP39" s="1"/>
      <c r="AQ39" s="1"/>
      <c r="AR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2:65" ht="18.75" x14ac:dyDescent="0.3">
      <c r="B40" s="7">
        <v>3278.7</v>
      </c>
      <c r="C40" s="8">
        <v>3.0414720000000003E-12</v>
      </c>
      <c r="D40" s="1">
        <v>2.9445400000000003E-12</v>
      </c>
      <c r="E40" s="1">
        <v>9.6932000000000003E-14</v>
      </c>
      <c r="F40" s="1">
        <v>7.2542000000000005E-14</v>
      </c>
      <c r="G40" s="1">
        <v>2.4571999999999999E-18</v>
      </c>
      <c r="H40" s="1">
        <v>4.9124000000000003E-11</v>
      </c>
      <c r="I40" s="1">
        <v>1.3588000000000001E-11</v>
      </c>
      <c r="J40" s="1">
        <v>6.0954999999999998E-11</v>
      </c>
      <c r="K40" s="1"/>
      <c r="L40" s="1"/>
      <c r="N40" s="7"/>
      <c r="O40" s="58">
        <f t="shared" si="4"/>
        <v>54.644999999999996</v>
      </c>
      <c r="P40" s="59">
        <f t="shared" si="5"/>
        <v>99.544018597152402</v>
      </c>
      <c r="Q40" s="59">
        <f t="shared" si="0"/>
        <v>38.627403601996214</v>
      </c>
      <c r="R40" s="59">
        <f t="shared" si="1"/>
        <v>10.668824143355049</v>
      </c>
      <c r="S40" s="10">
        <f t="shared" si="2"/>
        <v>47.859733445486455</v>
      </c>
      <c r="T40" s="59">
        <f t="shared" si="6"/>
        <v>2.388057406314668</v>
      </c>
      <c r="U40" s="59">
        <f t="shared" si="6"/>
        <v>2.3119497911504014</v>
      </c>
      <c r="V40" s="59">
        <f t="shared" si="6"/>
        <v>7.6107615164266978E-2</v>
      </c>
      <c r="X40" s="5"/>
      <c r="Y40" s="81"/>
      <c r="Z40" s="103" t="s">
        <v>153</v>
      </c>
      <c r="AA40" s="85"/>
      <c r="AB40" s="97">
        <v>2.5921402646387999</v>
      </c>
      <c r="AC40" s="1"/>
      <c r="AD40" s="5"/>
      <c r="AE40" s="5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2:65" ht="18.75" x14ac:dyDescent="0.3">
      <c r="B41" s="7">
        <v>3478.4</v>
      </c>
      <c r="C41" s="8">
        <v>2.4211720000000002E-12</v>
      </c>
      <c r="D41" s="1">
        <v>2.3440100000000002E-12</v>
      </c>
      <c r="E41" s="1">
        <v>7.7162000000000002E-14</v>
      </c>
      <c r="F41" s="1">
        <v>5.7745999999999994E-14</v>
      </c>
      <c r="G41" s="1">
        <v>1.9523E-18</v>
      </c>
      <c r="H41" s="1">
        <v>4.9373E-11</v>
      </c>
      <c r="I41" s="1">
        <v>1.3659000000000001E-11</v>
      </c>
      <c r="J41" s="1">
        <v>6.1257999999999999E-11</v>
      </c>
      <c r="K41" s="1"/>
      <c r="L41" s="1"/>
      <c r="N41" s="7"/>
      <c r="O41" s="58">
        <f t="shared" si="4"/>
        <v>57.973333333333336</v>
      </c>
      <c r="P41" s="59">
        <f t="shared" si="5"/>
        <v>99.534520844709846</v>
      </c>
      <c r="Q41" s="59">
        <f t="shared" si="0"/>
        <v>38.811292389000833</v>
      </c>
      <c r="R41" s="59">
        <f t="shared" si="1"/>
        <v>10.72457046293917</v>
      </c>
      <c r="S41" s="10">
        <f t="shared" si="2"/>
        <v>48.097638444813541</v>
      </c>
      <c r="T41" s="59">
        <f t="shared" si="6"/>
        <v>1.9010195479562848</v>
      </c>
      <c r="U41" s="59">
        <f t="shared" si="6"/>
        <v>1.8404346451243496</v>
      </c>
      <c r="V41" s="59">
        <f t="shared" si="6"/>
        <v>6.0584902831935468E-2</v>
      </c>
      <c r="X41" s="5"/>
      <c r="Y41" s="81"/>
      <c r="Z41" s="103" t="s">
        <v>154</v>
      </c>
      <c r="AA41" s="85"/>
      <c r="AB41" s="97">
        <v>-6.8213815647571494E-2</v>
      </c>
      <c r="AC41" s="1"/>
      <c r="AD41" s="5"/>
      <c r="AE41" s="5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2:65" x14ac:dyDescent="0.3">
      <c r="B42" s="7">
        <v>3678.2</v>
      </c>
      <c r="C42" s="8">
        <v>1.927344E-12</v>
      </c>
      <c r="D42" s="1">
        <v>1.8659200000000002E-12</v>
      </c>
      <c r="E42" s="1">
        <v>6.1424000000000004E-14</v>
      </c>
      <c r="F42" s="1">
        <v>4.5969000000000002E-14</v>
      </c>
      <c r="G42" s="1">
        <v>1.562E-18</v>
      </c>
      <c r="H42" s="1">
        <v>4.9570999999999999E-11</v>
      </c>
      <c r="I42" s="1">
        <v>1.3715E-11</v>
      </c>
      <c r="J42" s="1">
        <v>6.1498999999999999E-11</v>
      </c>
      <c r="K42" s="1"/>
      <c r="L42" s="1"/>
      <c r="N42" s="7"/>
      <c r="O42" s="58">
        <f t="shared" si="4"/>
        <v>61.303333333333327</v>
      </c>
      <c r="P42" s="59">
        <f t="shared" si="5"/>
        <v>99.526193863283481</v>
      </c>
      <c r="Q42" s="59">
        <f t="shared" si="0"/>
        <v>38.957508173455253</v>
      </c>
      <c r="R42" s="59">
        <f t="shared" si="1"/>
        <v>10.76853939728899</v>
      </c>
      <c r="S42" s="10">
        <f t="shared" si="2"/>
        <v>48.286863213255216</v>
      </c>
      <c r="T42" s="59">
        <f t="shared" si="6"/>
        <v>1.5132830792840235</v>
      </c>
      <c r="U42" s="59">
        <f t="shared" si="6"/>
        <v>1.4650551034468395</v>
      </c>
      <c r="V42" s="59">
        <f t="shared" si="6"/>
        <v>4.8227975837184155E-2</v>
      </c>
      <c r="X42" s="5"/>
      <c r="Y42" s="81"/>
      <c r="Z42" s="101"/>
      <c r="AA42" s="83"/>
      <c r="AB42" s="98"/>
      <c r="AC42" s="1"/>
      <c r="AD42" s="5"/>
      <c r="AE42" s="5"/>
      <c r="AG42" s="1"/>
      <c r="AH42" s="1"/>
      <c r="AI42" s="1"/>
      <c r="AJ42" s="1"/>
      <c r="AK42" s="1"/>
      <c r="AL42" s="1"/>
      <c r="AM42" s="1"/>
      <c r="AN42" s="5"/>
      <c r="AO42" s="1"/>
      <c r="AP42" s="1"/>
      <c r="AQ42" s="1"/>
      <c r="AR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2:65" ht="18.75" x14ac:dyDescent="0.3">
      <c r="B43" s="7">
        <v>3878</v>
      </c>
      <c r="C43" s="8">
        <v>1.534266E-12</v>
      </c>
      <c r="D43" s="8">
        <v>1.48537E-12</v>
      </c>
      <c r="E43" s="8">
        <v>4.8895999999999999E-14</v>
      </c>
      <c r="F43" s="1">
        <v>3.6593000000000001E-14</v>
      </c>
      <c r="G43" s="1">
        <v>1.2469000000000001E-18</v>
      </c>
      <c r="H43" s="1">
        <v>4.9728000000000001E-11</v>
      </c>
      <c r="I43" s="1">
        <v>1.376E-11</v>
      </c>
      <c r="J43" s="1">
        <v>6.1691000000000004E-11</v>
      </c>
      <c r="K43" s="1"/>
      <c r="L43" s="1"/>
      <c r="N43" s="7"/>
      <c r="O43">
        <f t="shared" si="4"/>
        <v>64.63333333333334</v>
      </c>
      <c r="P43" s="6">
        <f t="shared" si="5"/>
        <v>99.519555830847253</v>
      </c>
      <c r="Q43" s="6">
        <f t="shared" si="0"/>
        <v>39.073417373523441</v>
      </c>
      <c r="R43" s="6">
        <f t="shared" si="1"/>
        <v>10.803871575526129</v>
      </c>
      <c r="S43" s="10">
        <f t="shared" si="2"/>
        <v>48.437614895997136</v>
      </c>
      <c r="T43" s="6">
        <f t="shared" si="6"/>
        <v>1.2046519858005533</v>
      </c>
      <c r="U43" s="6">
        <f t="shared" si="6"/>
        <v>1.1662605572622791</v>
      </c>
      <c r="V43" s="6">
        <f t="shared" si="6"/>
        <v>3.8391428538274229E-2</v>
      </c>
      <c r="X43" s="5"/>
      <c r="Y43" s="77" t="s">
        <v>142</v>
      </c>
      <c r="Z43" s="102" t="s">
        <v>136</v>
      </c>
      <c r="AA43" s="83"/>
      <c r="AB43" s="99">
        <v>7.2807003567063001E-3</v>
      </c>
      <c r="AC43" s="1"/>
      <c r="AD43" s="5"/>
      <c r="AE43" s="5"/>
      <c r="AG43" s="1"/>
      <c r="AH43" s="1"/>
      <c r="AI43" s="1"/>
      <c r="AJ43" s="1"/>
      <c r="AK43" s="1"/>
      <c r="AL43" s="1"/>
      <c r="AM43" s="1"/>
      <c r="AN43" s="5"/>
      <c r="AO43" s="1"/>
      <c r="AP43" s="1"/>
      <c r="AQ43" s="1"/>
      <c r="AR43" s="1"/>
      <c r="AS43" s="1"/>
      <c r="AT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2:65" ht="18.75" x14ac:dyDescent="0.3">
      <c r="B44" s="7">
        <v>4077.7</v>
      </c>
      <c r="C44" s="8">
        <v>1.2212710000000001E-12</v>
      </c>
      <c r="D44" s="8">
        <v>1.182347E-12</v>
      </c>
      <c r="E44" s="8">
        <v>3.8923999999999999E-14</v>
      </c>
      <c r="F44" s="1">
        <v>2.9129999999999998E-14</v>
      </c>
      <c r="G44" s="1">
        <v>9.9004000000000005E-19</v>
      </c>
      <c r="H44" s="1">
        <v>4.9854000000000003E-11</v>
      </c>
      <c r="I44" s="1">
        <v>1.3796E-11</v>
      </c>
      <c r="J44" s="1">
        <v>6.1843999999999999E-11</v>
      </c>
      <c r="K44" s="1"/>
      <c r="L44" s="1"/>
      <c r="N44" s="7"/>
      <c r="O44">
        <f t="shared" si="4"/>
        <v>67.961666666666659</v>
      </c>
      <c r="P44" s="6">
        <f t="shared" si="5"/>
        <v>99.515270198521804</v>
      </c>
      <c r="Q44" s="6">
        <f t="shared" si="0"/>
        <v>39.166488478821243</v>
      </c>
      <c r="R44" s="6">
        <f t="shared" si="1"/>
        <v>10.832137314362754</v>
      </c>
      <c r="S44" s="57">
        <f t="shared" si="2"/>
        <v>48.557745143182089</v>
      </c>
      <c r="T44" s="6">
        <f t="shared" ref="T44:V46" si="7">C44/$A$1*100</f>
        <v>0.95889926215573273</v>
      </c>
      <c r="U44" s="6">
        <f t="shared" si="7"/>
        <v>0.92833749913986663</v>
      </c>
      <c r="V44" s="6">
        <f t="shared" si="7"/>
        <v>3.0561763015866043E-2</v>
      </c>
      <c r="X44" s="5"/>
      <c r="Y44" s="81"/>
      <c r="Z44" s="102" t="s">
        <v>137</v>
      </c>
      <c r="AA44" s="83"/>
      <c r="AB44" s="99">
        <v>10.947255061722</v>
      </c>
      <c r="AC44" s="1"/>
      <c r="AD44" s="5"/>
      <c r="AE44" s="5"/>
      <c r="AG44" s="1"/>
      <c r="AH44" s="1"/>
      <c r="AI44" s="1"/>
      <c r="AJ44" s="1"/>
      <c r="AK44" s="1"/>
      <c r="AL44" s="1"/>
      <c r="AM44" s="1"/>
      <c r="AN44" s="5"/>
      <c r="AO44" s="1"/>
      <c r="AP44" s="1"/>
      <c r="AQ44" s="1"/>
      <c r="AR44" s="1"/>
      <c r="AS44" s="1"/>
      <c r="AT44" s="1"/>
      <c r="AU44" s="1"/>
      <c r="AV44" s="1"/>
      <c r="AW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2:65" ht="18.75" x14ac:dyDescent="0.3">
      <c r="B45" s="7">
        <v>4277.5</v>
      </c>
      <c r="C45" s="8">
        <v>9.722259999999999E-13</v>
      </c>
      <c r="D45" s="8">
        <v>9.4124099999999991E-13</v>
      </c>
      <c r="E45" s="8">
        <v>3.0985E-14</v>
      </c>
      <c r="F45" s="1">
        <v>2.3188000000000001E-14</v>
      </c>
      <c r="G45" s="1">
        <v>7.9062000000000002E-19</v>
      </c>
      <c r="H45" s="1">
        <v>4.9954000000000001E-11</v>
      </c>
      <c r="I45" s="1">
        <v>1.3823999999999999E-11</v>
      </c>
      <c r="J45" s="8">
        <v>6.1965999999999998E-11</v>
      </c>
      <c r="K45" s="1"/>
      <c r="L45" s="1"/>
      <c r="N45" s="7"/>
      <c r="O45" s="58">
        <f t="shared" si="4"/>
        <v>71.291666666666671</v>
      </c>
      <c r="P45" s="59">
        <f t="shared" si="5"/>
        <v>99.511354424017981</v>
      </c>
      <c r="Q45" s="59">
        <f t="shared" si="0"/>
        <v>39.24033952973447</v>
      </c>
      <c r="R45" s="59">
        <f t="shared" si="1"/>
        <v>10.854121778185009</v>
      </c>
      <c r="S45" s="10">
        <f t="shared" si="2"/>
        <v>48.653535274924344</v>
      </c>
      <c r="T45" s="59">
        <f t="shared" si="7"/>
        <v>0.7633578411741696</v>
      </c>
      <c r="U45" s="59">
        <f t="shared" si="7"/>
        <v>0.73902950320667893</v>
      </c>
      <c r="V45" s="59">
        <f t="shared" si="7"/>
        <v>2.4328337967490739E-2</v>
      </c>
      <c r="X45" s="5"/>
      <c r="Y45" s="81"/>
      <c r="Z45" s="102" t="s">
        <v>138</v>
      </c>
      <c r="AA45" s="83"/>
      <c r="AB45" s="99">
        <v>-5.0911424344891702E-2</v>
      </c>
      <c r="AC45" s="1"/>
      <c r="AD45" s="5"/>
      <c r="AE45" s="5"/>
      <c r="AG45" s="1"/>
      <c r="AH45" s="1"/>
      <c r="AI45" s="1"/>
      <c r="AJ45" s="1"/>
      <c r="AK45" s="1"/>
      <c r="AL45" s="1"/>
      <c r="AM45" s="1"/>
      <c r="AN45" s="5"/>
      <c r="AO45" s="1"/>
      <c r="AP45" s="1"/>
      <c r="AQ45" s="1"/>
      <c r="AR45" s="1"/>
      <c r="AS45" s="1"/>
      <c r="AT45" s="1"/>
      <c r="AU45" s="1"/>
      <c r="AV45" s="1"/>
      <c r="AW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2:65" ht="18.75" x14ac:dyDescent="0.3">
      <c r="B46" s="7">
        <v>4320</v>
      </c>
      <c r="C46" s="8">
        <v>9.2574999999999997E-13</v>
      </c>
      <c r="D46" s="8">
        <v>8.9624600000000006E-13</v>
      </c>
      <c r="E46" s="8">
        <v>2.9504E-14</v>
      </c>
      <c r="F46" s="1">
        <v>2.2079999999999999E-14</v>
      </c>
      <c r="G46" s="1">
        <v>7.5365999999999996E-19</v>
      </c>
      <c r="H46" s="1">
        <v>4.9972000000000001E-11</v>
      </c>
      <c r="I46" s="1">
        <v>1.3830000000000001E-11</v>
      </c>
      <c r="J46" s="8">
        <v>6.1988000000000006E-11</v>
      </c>
      <c r="K46" s="1"/>
      <c r="L46" s="1"/>
      <c r="N46" s="7"/>
      <c r="O46" s="51">
        <f t="shared" si="4"/>
        <v>72</v>
      </c>
      <c r="P46" s="52">
        <f t="shared" si="5"/>
        <v>99.510110693615701</v>
      </c>
      <c r="Q46" s="52">
        <f t="shared" si="0"/>
        <v>39.2536025371557</v>
      </c>
      <c r="R46" s="52">
        <f t="shared" si="1"/>
        <v>10.858832739250996</v>
      </c>
      <c r="S46" s="55">
        <f t="shared" si="2"/>
        <v>48.67080890523853</v>
      </c>
      <c r="T46" s="52">
        <f t="shared" si="7"/>
        <v>0.72686651197045504</v>
      </c>
      <c r="U46" s="52">
        <f t="shared" si="7"/>
        <v>0.70370100338911423</v>
      </c>
      <c r="V46" s="52">
        <f t="shared" si="7"/>
        <v>2.3165508581340866E-2</v>
      </c>
      <c r="X46" s="5"/>
      <c r="Y46" s="81"/>
      <c r="Z46" s="102" t="s">
        <v>139</v>
      </c>
      <c r="AA46" s="83"/>
      <c r="AB46" s="99">
        <v>1.57343238577741</v>
      </c>
      <c r="AC46" s="1"/>
      <c r="AD46" s="5"/>
      <c r="AE46" s="5"/>
      <c r="AG46" s="1"/>
      <c r="AH46" s="1"/>
      <c r="AI46" s="1"/>
      <c r="AJ46" s="1"/>
      <c r="AK46" s="1"/>
      <c r="AL46" s="1"/>
      <c r="AM46" s="1"/>
      <c r="AN46" s="5"/>
      <c r="AO46" s="1"/>
      <c r="AP46" s="1"/>
      <c r="AQ46" s="1"/>
      <c r="AR46" s="1"/>
      <c r="AS46" s="1"/>
      <c r="AT46" s="1"/>
      <c r="AU46" s="1"/>
      <c r="AV46" s="1"/>
      <c r="AW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2:65" ht="18.75" x14ac:dyDescent="0.3">
      <c r="B47" s="7">
        <v>3256.3</v>
      </c>
      <c r="C47" s="8">
        <v>7.5930899999999995E-13</v>
      </c>
      <c r="D47" s="8">
        <v>7.2219399999999996E-13</v>
      </c>
      <c r="E47" s="8">
        <v>3.7115000000000001E-14</v>
      </c>
      <c r="F47" s="1">
        <v>1.7611E-14</v>
      </c>
      <c r="G47" s="1">
        <v>2.9097E-18</v>
      </c>
      <c r="H47" s="1">
        <v>3.5418000000000001E-11</v>
      </c>
      <c r="I47" s="1">
        <v>4.8384000000000001E-11</v>
      </c>
      <c r="J47" s="8">
        <v>4.4751000000000003E-11</v>
      </c>
      <c r="K47" s="1"/>
      <c r="L47" s="1"/>
      <c r="N47" s="7"/>
      <c r="P47" s="6"/>
      <c r="Q47" s="6"/>
      <c r="R47" s="6"/>
      <c r="S47" s="57"/>
      <c r="T47" s="6"/>
      <c r="U47" s="6"/>
      <c r="V47" s="6"/>
      <c r="X47" s="5"/>
      <c r="Y47" s="81"/>
      <c r="Z47" s="102" t="s">
        <v>140</v>
      </c>
      <c r="AA47" s="83"/>
      <c r="AB47" s="99">
        <v>6.8162265176665696E-2</v>
      </c>
      <c r="AC47" s="1"/>
      <c r="AD47" s="5"/>
      <c r="AE47" s="5"/>
      <c r="AG47" s="1"/>
      <c r="AH47" s="1"/>
      <c r="AI47" s="1"/>
      <c r="AJ47" s="1"/>
      <c r="AK47" s="1"/>
      <c r="AL47" s="1"/>
      <c r="AM47" s="1"/>
      <c r="AN47" s="5"/>
      <c r="AO47" s="1"/>
      <c r="AP47" s="1"/>
      <c r="AQ47" s="1"/>
      <c r="AR47" s="1"/>
      <c r="AS47" s="1"/>
      <c r="AT47" s="1"/>
      <c r="AU47" s="1"/>
      <c r="AV47" s="1"/>
      <c r="AW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2:65" ht="18.75" x14ac:dyDescent="0.3">
      <c r="B48" s="7">
        <v>3363.8</v>
      </c>
      <c r="C48" s="8">
        <v>6.4107599999999994E-13</v>
      </c>
      <c r="D48" s="8">
        <v>6.0973999999999998E-13</v>
      </c>
      <c r="E48" s="8">
        <v>3.1336000000000003E-14</v>
      </c>
      <c r="F48" s="1">
        <v>1.4869000000000001E-14</v>
      </c>
      <c r="G48" s="1">
        <v>2.4615E-18</v>
      </c>
      <c r="H48" s="1">
        <v>3.5452000000000002E-11</v>
      </c>
      <c r="I48" s="1">
        <v>4.8430000000000001E-11</v>
      </c>
      <c r="J48" s="8">
        <v>4.4793000000000001E-11</v>
      </c>
      <c r="K48" s="1"/>
      <c r="L48" s="1"/>
      <c r="N48" s="7"/>
      <c r="P48" s="6"/>
      <c r="Q48" s="6"/>
      <c r="R48" s="6"/>
      <c r="S48" s="57"/>
      <c r="T48" s="6"/>
      <c r="U48" s="6"/>
      <c r="V48" s="6"/>
      <c r="X48" s="5"/>
      <c r="Y48" s="81"/>
      <c r="Z48" s="103" t="s">
        <v>151</v>
      </c>
      <c r="AA48" s="86"/>
      <c r="AB48" s="97">
        <v>-0.87635412774081201</v>
      </c>
      <c r="AC48" s="1"/>
      <c r="AD48" s="5"/>
      <c r="AE48" s="5"/>
      <c r="AG48" s="1"/>
      <c r="AH48" s="1"/>
      <c r="AI48" s="1"/>
      <c r="AJ48" s="1"/>
      <c r="AK48" s="1"/>
      <c r="AL48" s="1"/>
      <c r="AM48" s="1"/>
      <c r="AN48" s="5"/>
      <c r="AO48" s="1"/>
      <c r="AP48" s="1"/>
      <c r="AQ48" s="1"/>
      <c r="AR48" s="1"/>
      <c r="AS48" s="1"/>
      <c r="AT48" s="1"/>
      <c r="AU48" s="1"/>
      <c r="AV48" s="1"/>
      <c r="AW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8.75" x14ac:dyDescent="0.3">
      <c r="B49">
        <v>3471.3</v>
      </c>
      <c r="C49">
        <v>5.4126399999999994E-13</v>
      </c>
      <c r="D49">
        <v>5.1480699999999999E-13</v>
      </c>
      <c r="E49">
        <v>2.6456999999999999E-14</v>
      </c>
      <c r="F49" s="1">
        <v>1.2554E-14</v>
      </c>
      <c r="G49" s="1">
        <v>2.0727999999999999E-18</v>
      </c>
      <c r="H49" s="1">
        <v>3.5480000000000003E-11</v>
      </c>
      <c r="I49" s="1">
        <v>4.8469E-11</v>
      </c>
      <c r="J49" s="1">
        <v>4.4829E-11</v>
      </c>
      <c r="N49" s="7"/>
      <c r="P49" s="6"/>
      <c r="Q49" s="6"/>
      <c r="R49" s="6"/>
      <c r="S49" s="57"/>
      <c r="T49" s="6"/>
      <c r="U49" s="6"/>
      <c r="V49" s="6"/>
      <c r="X49" s="5"/>
      <c r="Y49" s="81"/>
      <c r="Z49" s="103" t="s">
        <v>152</v>
      </c>
      <c r="AA49" s="86"/>
      <c r="AB49" s="97">
        <v>-1.57343238577741</v>
      </c>
      <c r="AC49" s="1"/>
      <c r="AD49" s="5"/>
      <c r="AE49" s="5"/>
      <c r="AG49" s="1"/>
      <c r="AH49" s="1"/>
      <c r="AI49" s="1"/>
      <c r="AJ49" s="1"/>
      <c r="AK49" s="1"/>
      <c r="AL49" s="1"/>
      <c r="AM49" s="1"/>
      <c r="AN49" s="5"/>
      <c r="AO49" s="1"/>
      <c r="AP49" s="1"/>
      <c r="AQ49" s="1"/>
      <c r="AR49" s="1"/>
      <c r="AS49" s="1"/>
      <c r="AT49" s="1"/>
      <c r="AU49" s="1"/>
      <c r="AV49" s="1"/>
      <c r="AW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8.75" x14ac:dyDescent="0.3">
      <c r="B50">
        <v>3578.8</v>
      </c>
      <c r="C50">
        <v>4.5698299999999995E-13</v>
      </c>
      <c r="D50">
        <v>4.3464599999999998E-13</v>
      </c>
      <c r="E50">
        <v>2.2337E-14</v>
      </c>
      <c r="F50" s="1">
        <v>1.0599E-14</v>
      </c>
      <c r="G50" s="1">
        <v>1.7482000000000001E-18</v>
      </c>
      <c r="H50" s="1">
        <v>3.5503E-11</v>
      </c>
      <c r="I50" s="1">
        <v>4.8501000000000003E-11</v>
      </c>
      <c r="J50" s="1">
        <v>4.4858000000000003E-11</v>
      </c>
      <c r="N50" s="7"/>
      <c r="P50" s="6"/>
      <c r="Q50" s="6"/>
      <c r="R50" s="6"/>
      <c r="S50" s="57"/>
      <c r="T50" s="6"/>
      <c r="U50" s="6"/>
      <c r="V50" s="6"/>
      <c r="X50" s="5"/>
      <c r="Y50" s="81"/>
      <c r="Z50" s="103" t="s">
        <v>153</v>
      </c>
      <c r="AA50" s="86"/>
      <c r="AB50" s="97">
        <v>0.78365774826663603</v>
      </c>
      <c r="AC50" s="1"/>
      <c r="AD50" s="5"/>
      <c r="AE50" s="5"/>
      <c r="AG50" s="1"/>
      <c r="AH50" s="1"/>
      <c r="AI50" s="1"/>
      <c r="AJ50" s="1"/>
      <c r="AK50" s="1"/>
      <c r="AL50" s="1"/>
      <c r="AM50" s="1"/>
      <c r="AN50" s="5"/>
      <c r="AO50" s="1"/>
      <c r="AP50" s="1"/>
      <c r="AQ50" s="1"/>
      <c r="AR50" s="1"/>
      <c r="AS50" s="1"/>
      <c r="AT50" s="1"/>
      <c r="AU50" s="1"/>
      <c r="AV50" s="1"/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8.75" x14ac:dyDescent="0.3">
      <c r="B51">
        <v>3686.3</v>
      </c>
      <c r="C51">
        <v>3.85831E-13</v>
      </c>
      <c r="D51">
        <v>3.6697199999999999E-13</v>
      </c>
      <c r="E51">
        <v>1.8859000000000001E-14</v>
      </c>
      <c r="F51" s="1">
        <v>8.9489999999999993E-15</v>
      </c>
      <c r="G51" s="1">
        <v>1.4818000000000001E-18</v>
      </c>
      <c r="H51" s="1">
        <v>3.5522999999999997E-11</v>
      </c>
      <c r="I51" s="1">
        <v>4.8528999999999997E-11</v>
      </c>
      <c r="J51" s="1">
        <v>4.4884E-11</v>
      </c>
      <c r="N51" s="7"/>
      <c r="P51" s="6"/>
      <c r="Q51" s="6"/>
      <c r="R51" s="6"/>
      <c r="S51" s="57"/>
      <c r="T51" s="6"/>
      <c r="U51" s="6"/>
      <c r="V51" s="6"/>
      <c r="X51" s="5"/>
      <c r="Y51" s="84"/>
      <c r="Z51" s="104" t="s">
        <v>154</v>
      </c>
      <c r="AA51" s="87"/>
      <c r="AB51" s="100">
        <v>-6.8162265176665696E-2</v>
      </c>
      <c r="AC51" s="1"/>
      <c r="AD51" s="5"/>
      <c r="AE51" s="5"/>
      <c r="AG51" s="1"/>
      <c r="AH51" s="1"/>
      <c r="AI51" s="1"/>
      <c r="AJ51" s="1"/>
      <c r="AK51" s="1"/>
      <c r="AL51" s="1"/>
      <c r="AM51" s="1"/>
      <c r="AN51" s="5"/>
      <c r="AO51" s="1"/>
      <c r="AP51" s="1"/>
      <c r="AQ51" s="1"/>
      <c r="AR51" s="1"/>
      <c r="AS51" s="1"/>
      <c r="AT51" s="1"/>
      <c r="AU51" s="1"/>
      <c r="AV51" s="1"/>
      <c r="AW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B52">
        <v>3793.8</v>
      </c>
      <c r="C52">
        <v>3.2575800000000002E-13</v>
      </c>
      <c r="D52">
        <v>3.0983500000000001E-13</v>
      </c>
      <c r="E52">
        <v>1.5922999999999999E-14</v>
      </c>
      <c r="F52" s="1">
        <v>7.5555999999999999E-15</v>
      </c>
      <c r="G52" s="1">
        <v>1.253E-18</v>
      </c>
      <c r="H52" s="1">
        <v>3.5540000000000001E-11</v>
      </c>
      <c r="I52" s="1">
        <v>4.8553000000000003E-11</v>
      </c>
      <c r="J52" s="1">
        <v>4.4904999999999999E-11</v>
      </c>
      <c r="N52" s="7"/>
      <c r="P52" s="6"/>
      <c r="Q52" s="6"/>
      <c r="R52" s="6"/>
      <c r="S52" s="57"/>
      <c r="T52" s="6"/>
      <c r="U52" s="6"/>
      <c r="V52" s="6"/>
      <c r="X52" s="5"/>
      <c r="Y52" s="5"/>
      <c r="Z52" s="5"/>
      <c r="AA52" s="5"/>
      <c r="AB52" s="5"/>
      <c r="AC52" s="1"/>
      <c r="AD52" s="5"/>
      <c r="AE52" s="5"/>
      <c r="AG52" s="1"/>
      <c r="AH52" s="1"/>
      <c r="AI52" s="1"/>
      <c r="AJ52" s="1"/>
      <c r="AK52" s="1"/>
      <c r="AL52" s="1"/>
      <c r="AM52" s="1"/>
      <c r="AN52" s="5"/>
      <c r="AO52" s="1"/>
      <c r="AP52" s="1"/>
      <c r="AQ52" s="1"/>
      <c r="AR52" s="1"/>
      <c r="AS52" s="1"/>
      <c r="AT52" s="1"/>
      <c r="AU52" s="1"/>
      <c r="AV52" s="1"/>
      <c r="AW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B53">
        <v>3901.4</v>
      </c>
      <c r="C53">
        <v>2.7503300000000001E-13</v>
      </c>
      <c r="D53">
        <v>2.6158900000000003E-13</v>
      </c>
      <c r="E53">
        <v>1.3444E-14</v>
      </c>
      <c r="F53" s="1">
        <v>6.3790999999999999E-15</v>
      </c>
      <c r="G53" s="1">
        <v>1.0566E-18</v>
      </c>
      <c r="H53" s="1">
        <v>3.5555E-11</v>
      </c>
      <c r="I53" s="1">
        <v>4.8571999999999998E-11</v>
      </c>
      <c r="J53" s="1">
        <v>4.4922999999999998E-11</v>
      </c>
      <c r="N53" s="7"/>
      <c r="P53" s="6"/>
      <c r="Q53" s="6"/>
      <c r="R53" s="6"/>
      <c r="S53" s="57"/>
      <c r="T53" s="6"/>
      <c r="U53" s="6"/>
      <c r="V53" s="6"/>
      <c r="X53" s="5"/>
      <c r="Y53" s="5"/>
      <c r="Z53" s="5"/>
      <c r="AA53" s="5"/>
      <c r="AB53" s="5"/>
      <c r="AC53" s="1"/>
      <c r="AD53" s="5"/>
      <c r="AE53" s="5"/>
      <c r="AG53" s="1"/>
      <c r="AH53" s="1"/>
      <c r="AI53" s="1"/>
      <c r="AJ53" s="1"/>
      <c r="AK53" s="1"/>
      <c r="AL53" s="1"/>
      <c r="AM53" s="1"/>
      <c r="AN53" s="5"/>
      <c r="AO53" s="1"/>
      <c r="AP53" s="1"/>
      <c r="AQ53" s="1"/>
      <c r="AR53" s="1"/>
      <c r="AS53" s="1"/>
      <c r="AT53" s="1"/>
      <c r="AU53" s="1"/>
      <c r="AV53" s="1"/>
      <c r="AW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B54">
        <v>4008.9</v>
      </c>
      <c r="C54">
        <v>2.3220900000000001E-13</v>
      </c>
      <c r="D54">
        <v>2.2085900000000001E-13</v>
      </c>
      <c r="E54">
        <v>1.135E-14</v>
      </c>
      <c r="F54" s="1">
        <v>5.3859000000000002E-15</v>
      </c>
      <c r="G54" s="1">
        <v>8.9483999999999997E-19</v>
      </c>
      <c r="H54" s="1">
        <v>3.5567E-11</v>
      </c>
      <c r="I54" s="1">
        <v>4.8589000000000001E-11</v>
      </c>
      <c r="J54" s="1">
        <v>4.4937999999999998E-11</v>
      </c>
      <c r="N54" s="7"/>
      <c r="P54" s="6"/>
      <c r="Q54" s="6"/>
      <c r="R54" s="6"/>
      <c r="S54" s="57"/>
      <c r="T54" s="6"/>
      <c r="U54" s="6"/>
      <c r="V54" s="6"/>
      <c r="X54" s="5"/>
      <c r="Y54" s="5"/>
      <c r="Z54" s="67" t="s">
        <v>148</v>
      </c>
      <c r="AA54" s="95">
        <v>8973.7743828574494</v>
      </c>
      <c r="AB54" s="5"/>
      <c r="AC54" s="1"/>
      <c r="AD54" s="5"/>
      <c r="AE54" s="5"/>
      <c r="AG54" s="1"/>
      <c r="AH54" s="1"/>
      <c r="AI54" s="1"/>
      <c r="AJ54" s="1"/>
      <c r="AK54" s="1"/>
      <c r="AL54" s="1"/>
      <c r="AM54" s="1"/>
      <c r="AN54" s="5"/>
      <c r="AO54" s="1"/>
      <c r="AP54" s="1"/>
      <c r="AQ54" s="1"/>
      <c r="AR54" s="1"/>
      <c r="AS54" s="1"/>
      <c r="AT54" s="1"/>
      <c r="AU54" s="1"/>
      <c r="AV54" s="1"/>
      <c r="AW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B55">
        <v>4116.3999999999996</v>
      </c>
      <c r="C55">
        <v>1.9605800000000001E-13</v>
      </c>
      <c r="D55">
        <v>1.86475E-13</v>
      </c>
      <c r="E55">
        <v>9.5829999999999997E-15</v>
      </c>
      <c r="F55" s="1">
        <v>4.5473000000000003E-15</v>
      </c>
      <c r="G55" s="1">
        <v>7.5787999999999997E-19</v>
      </c>
      <c r="H55" s="1">
        <v>3.5577000000000002E-11</v>
      </c>
      <c r="I55" s="1">
        <v>4.8602999999999999E-11</v>
      </c>
      <c r="J55" s="1">
        <v>4.4950999999999999E-11</v>
      </c>
      <c r="N55" s="7"/>
      <c r="P55" s="6"/>
      <c r="Q55" s="6"/>
      <c r="R55" s="6"/>
      <c r="S55" s="57"/>
      <c r="T55" s="6"/>
      <c r="U55" s="6"/>
      <c r="V55" s="6"/>
      <c r="X55" s="5"/>
      <c r="Y55" s="5"/>
      <c r="Z55" s="67" t="s">
        <v>149</v>
      </c>
      <c r="AA55" s="95">
        <v>4484.1375598252298</v>
      </c>
      <c r="AB55" s="5"/>
      <c r="AC55" s="1"/>
      <c r="AD55" s="5"/>
      <c r="AE55" s="5"/>
      <c r="AG55" s="1"/>
      <c r="AH55" s="1"/>
      <c r="AI55" s="1"/>
      <c r="AJ55" s="1"/>
      <c r="AK55" s="1"/>
      <c r="AL55" s="1"/>
      <c r="AM55" s="1"/>
      <c r="AN55" s="5"/>
      <c r="AO55" s="1"/>
      <c r="AP55" s="1"/>
      <c r="AQ55" s="1"/>
      <c r="AR55" s="1"/>
      <c r="AS55" s="1"/>
      <c r="AT55" s="1"/>
      <c r="AU55" s="1"/>
      <c r="AV55" s="1"/>
      <c r="AW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8.75" x14ac:dyDescent="0.3">
      <c r="B56">
        <v>4223.8999999999996</v>
      </c>
      <c r="C56">
        <v>1.6553090000000002E-13</v>
      </c>
      <c r="D56">
        <v>1.5744000000000001E-13</v>
      </c>
      <c r="E56">
        <v>8.0909000000000006E-15</v>
      </c>
      <c r="F56" s="1">
        <v>3.8391999999999997E-15</v>
      </c>
      <c r="G56" s="1">
        <v>6.4141999999999997E-19</v>
      </c>
      <c r="H56" s="1">
        <v>3.5586000000000001E-11</v>
      </c>
      <c r="I56" s="1">
        <v>4.8614999999999998E-11</v>
      </c>
      <c r="J56" s="1">
        <v>4.4961999999999997E-11</v>
      </c>
      <c r="N56" s="7"/>
      <c r="P56" s="6"/>
      <c r="Q56" s="6"/>
      <c r="R56" s="6"/>
      <c r="S56" s="57"/>
      <c r="T56" s="6"/>
      <c r="U56" s="6"/>
      <c r="V56" s="6"/>
      <c r="X56" s="5"/>
      <c r="Y56" s="5"/>
      <c r="Z56" s="66" t="s">
        <v>150</v>
      </c>
      <c r="AA56" s="96">
        <f>AA55/AA54*100</f>
        <v>49.969359251902439</v>
      </c>
      <c r="AB56" s="5"/>
      <c r="AC56" s="1"/>
      <c r="AD56" s="5"/>
      <c r="AE56" s="5"/>
      <c r="AG56" s="1"/>
      <c r="AH56" s="1"/>
      <c r="AI56" s="1"/>
      <c r="AJ56" s="1"/>
      <c r="AK56" s="1"/>
      <c r="AL56" s="1"/>
      <c r="AM56" s="1"/>
      <c r="AN56" s="5"/>
      <c r="AO56" s="1"/>
      <c r="AP56" s="1"/>
      <c r="AQ56" s="1"/>
      <c r="AR56" s="1"/>
      <c r="AS56" s="1"/>
      <c r="AT56" s="1"/>
      <c r="AU56" s="1"/>
      <c r="AV56" s="1"/>
      <c r="AW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B57">
        <v>4320</v>
      </c>
      <c r="C57">
        <v>1.4225889999999999E-13</v>
      </c>
      <c r="D57">
        <v>1.35305E-13</v>
      </c>
      <c r="E57">
        <v>6.9538999999999997E-15</v>
      </c>
      <c r="F57" s="1">
        <v>3.2997E-15</v>
      </c>
      <c r="G57" s="1">
        <v>5.5280999999999999E-19</v>
      </c>
      <c r="H57" s="1">
        <v>3.5592000000000001E-11</v>
      </c>
      <c r="I57" s="1">
        <v>4.8623999999999998E-11</v>
      </c>
      <c r="J57" s="1">
        <v>4.4970000000000001E-11</v>
      </c>
      <c r="N57" s="7"/>
      <c r="P57" s="6"/>
      <c r="Q57" s="6"/>
      <c r="R57" s="6"/>
      <c r="S57" s="57"/>
      <c r="T57" s="6"/>
      <c r="U57" s="6"/>
      <c r="V57" s="6"/>
      <c r="X57" s="5"/>
      <c r="Y57" s="5"/>
      <c r="Z57" s="5"/>
      <c r="AA57" s="5"/>
      <c r="AB57" s="5"/>
      <c r="AC57" s="1"/>
      <c r="AD57" s="5"/>
      <c r="AE57" s="5"/>
      <c r="AG57" s="1"/>
      <c r="AH57" s="1"/>
      <c r="AI57" s="1"/>
      <c r="AJ57" s="1"/>
      <c r="AK57" s="1"/>
      <c r="AL57" s="1"/>
      <c r="AM57" s="1"/>
      <c r="AN57" s="5"/>
      <c r="AO57" s="1"/>
      <c r="AP57" s="1"/>
      <c r="AQ57" s="1"/>
      <c r="AR57" s="1"/>
      <c r="AS57" s="1"/>
      <c r="AT57" s="1"/>
      <c r="AU57" s="1"/>
      <c r="AV57" s="1"/>
      <c r="AW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N58" s="7"/>
      <c r="P58" s="6"/>
      <c r="Q58" s="6"/>
      <c r="R58" s="6"/>
      <c r="S58" s="56"/>
      <c r="T58" s="6"/>
      <c r="U58" s="1"/>
      <c r="V58" s="1"/>
      <c r="X58" s="5"/>
      <c r="Y58" s="5"/>
      <c r="Z58" s="5"/>
      <c r="AA58" s="5"/>
      <c r="AB58" s="5"/>
      <c r="AC58" s="1"/>
      <c r="AD58" s="5"/>
      <c r="AE58" s="5"/>
      <c r="AG58" s="1"/>
      <c r="AH58" s="1"/>
      <c r="AI58" s="1"/>
      <c r="AJ58" s="1"/>
      <c r="AK58" s="1"/>
      <c r="AL58" s="1"/>
      <c r="AM58" s="1"/>
      <c r="AN58" s="5"/>
      <c r="AO58" s="1"/>
      <c r="AP58" s="1"/>
      <c r="AQ58" s="1"/>
      <c r="AR58" s="1"/>
      <c r="AS58" s="1"/>
      <c r="AT58" s="1"/>
      <c r="AU58" s="1"/>
      <c r="AV58" s="1"/>
      <c r="AW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7.25" thickBot="1" x14ac:dyDescent="0.35">
      <c r="N59" s="7"/>
      <c r="O59" s="1"/>
      <c r="P59" s="6"/>
      <c r="Q59" s="6"/>
      <c r="R59" s="6"/>
      <c r="S59" s="56"/>
      <c r="T59" s="6"/>
      <c r="U59" s="1"/>
      <c r="V59" s="1"/>
      <c r="X59" s="5"/>
      <c r="Y59" s="5"/>
      <c r="Z59" s="5"/>
      <c r="AA59" s="5"/>
      <c r="AB59" s="5"/>
      <c r="AC59" s="1"/>
      <c r="AD59" s="5"/>
      <c r="AE59" s="5"/>
      <c r="AG59" s="1"/>
      <c r="AH59" s="1"/>
      <c r="AI59" s="1"/>
      <c r="AJ59" s="1"/>
      <c r="AK59" s="1"/>
      <c r="AL59" s="1"/>
      <c r="AM59" s="1"/>
      <c r="AN59" s="5"/>
      <c r="AO59" s="1"/>
      <c r="AP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7"/>
      <c r="B60" s="8" t="s">
        <v>18</v>
      </c>
      <c r="C60" s="8" t="s">
        <v>18</v>
      </c>
      <c r="D60" s="8" t="s">
        <v>18</v>
      </c>
      <c r="E60" s="1" t="s">
        <v>74</v>
      </c>
      <c r="F60" s="40"/>
      <c r="G60" s="41" t="s">
        <v>75</v>
      </c>
      <c r="H60" s="41" t="s">
        <v>75</v>
      </c>
      <c r="I60" s="42" t="s">
        <v>75</v>
      </c>
      <c r="N60" s="7"/>
      <c r="O60" s="1"/>
      <c r="P60" s="6"/>
      <c r="Q60" s="6"/>
      <c r="R60" s="6"/>
      <c r="S60" s="5"/>
      <c r="T60" s="6"/>
      <c r="U60" s="1"/>
      <c r="V60" s="1"/>
      <c r="X60" s="5"/>
      <c r="Y60" s="5"/>
      <c r="Z60" s="5"/>
      <c r="AA60" s="5"/>
      <c r="AB60" s="5"/>
      <c r="AC60" s="1"/>
      <c r="AD60" s="5"/>
      <c r="AE60" s="5"/>
      <c r="AG60" s="1"/>
      <c r="AH60" s="1"/>
      <c r="AI60" s="1"/>
      <c r="AJ60" s="1"/>
      <c r="AK60" s="1"/>
      <c r="AL60" s="1"/>
      <c r="AM60" s="1"/>
      <c r="AN60" s="5"/>
      <c r="AO60" s="1"/>
      <c r="AP60" s="1"/>
      <c r="AQ60" s="1"/>
      <c r="AR60" s="1"/>
      <c r="AS60" s="1"/>
      <c r="AT60" s="1"/>
      <c r="AU60" s="1"/>
      <c r="AV60" s="1"/>
      <c r="AW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7"/>
      <c r="B61" s="8" t="s">
        <v>73</v>
      </c>
      <c r="C61" s="8" t="s">
        <v>71</v>
      </c>
      <c r="D61" s="8" t="s">
        <v>72</v>
      </c>
      <c r="E61" s="1" t="s">
        <v>71</v>
      </c>
      <c r="F61" s="43"/>
      <c r="G61" s="8" t="s">
        <v>73</v>
      </c>
      <c r="H61" s="8" t="s">
        <v>71</v>
      </c>
      <c r="I61" s="44" t="s">
        <v>72</v>
      </c>
      <c r="N61" s="7"/>
      <c r="S61" s="5"/>
      <c r="T61" s="6"/>
      <c r="U61" s="1"/>
      <c r="V61" s="1"/>
      <c r="X61" s="5"/>
      <c r="Y61" s="5"/>
      <c r="Z61" s="5"/>
      <c r="AA61" s="5"/>
      <c r="AB61" s="5"/>
      <c r="AC61" s="1"/>
      <c r="AD61" s="5"/>
      <c r="AE61" s="5"/>
      <c r="AG61" s="1"/>
      <c r="AH61" s="1"/>
      <c r="AI61" s="1"/>
      <c r="AJ61" s="1"/>
      <c r="AK61" s="1"/>
      <c r="AL61" s="1"/>
      <c r="AM61" s="1"/>
      <c r="AN61" s="5"/>
      <c r="AO61" s="1"/>
      <c r="AP61" s="1"/>
      <c r="AQ61" s="1"/>
      <c r="AR61" s="1"/>
      <c r="AS61" s="1"/>
      <c r="AT61" s="1"/>
      <c r="AU61" s="1"/>
      <c r="AV61" s="1"/>
      <c r="AW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7" t="s">
        <v>0</v>
      </c>
      <c r="B62" s="8" t="s">
        <v>130</v>
      </c>
      <c r="C62" s="8" t="s">
        <v>131</v>
      </c>
      <c r="D62" s="8" t="s">
        <v>131</v>
      </c>
      <c r="E62" s="1" t="s">
        <v>131</v>
      </c>
      <c r="F62" s="45" t="str">
        <f>A62</f>
        <v>Time (min)</v>
      </c>
      <c r="G62" s="8" t="str">
        <f>B62</f>
        <v>MW=66.5, sigma_ve=0.7, sigma_le=0.05, p_ve=1E-9, p_le=1E-8, D_gel=6.2E-11, kf_m=0.17, kr_m=4.77, k_decay=1E-5, cA+cMA (mol)</v>
      </c>
      <c r="H62" s="8" t="str">
        <f>C62</f>
        <v>MW=66.5, sigma_ve=0.7, sigma_le=0.05, p_ve=1E-9, p_le=1E-8, D_gel=6.2E-11, kf_m=0.17, kr_m=4.77, k_decay=1E-5, Concentration (mol)</v>
      </c>
      <c r="I62" s="44" t="str">
        <f>D62</f>
        <v>MW=66.5, sigma_ve=0.7, sigma_le=0.05, p_ve=1E-9, p_le=1E-8, D_gel=6.2E-11, kf_m=0.17, kr_m=4.77, k_decay=1E-5, Concentration (mol)</v>
      </c>
      <c r="N62" s="7"/>
      <c r="S62" s="5"/>
      <c r="T62" s="6"/>
      <c r="U62" s="1"/>
      <c r="V62" s="1"/>
      <c r="X62" s="5"/>
      <c r="Y62" s="5"/>
      <c r="Z62" s="5"/>
      <c r="AA62" s="5"/>
      <c r="AB62" s="5"/>
      <c r="AC62" s="1"/>
      <c r="AD62" s="5"/>
      <c r="AE62" s="5"/>
      <c r="AG62" s="1"/>
      <c r="AH62" s="1"/>
      <c r="AI62" s="1"/>
      <c r="AJ62" s="1"/>
      <c r="AK62" s="1"/>
      <c r="AL62" s="1"/>
      <c r="AM62" s="1"/>
      <c r="AN62" s="5"/>
      <c r="AO62" s="1"/>
      <c r="AP62" s="1"/>
      <c r="AQ62" s="1"/>
      <c r="AR62" s="1"/>
      <c r="AS62" s="1"/>
      <c r="AT62" s="1"/>
      <c r="AU62" s="1"/>
      <c r="AV62" s="1"/>
      <c r="AW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7">
        <v>0</v>
      </c>
      <c r="B63" s="8">
        <v>1.2102999999999999E-10</v>
      </c>
      <c r="C63" s="8">
        <v>1.2102999999999999E-10</v>
      </c>
      <c r="D63" s="8">
        <v>2.3321999999999999E-15</v>
      </c>
      <c r="E63" s="1">
        <v>6.0723000000000003E-12</v>
      </c>
      <c r="F63" s="45">
        <f t="shared" ref="F63:F105" si="8">A63</f>
        <v>0</v>
      </c>
      <c r="G63" s="8">
        <f>H63+I63</f>
        <v>1.2710463219999998E-10</v>
      </c>
      <c r="H63" s="1">
        <f t="shared" ref="H63:H105" si="9">C63+E63</f>
        <v>1.2710229999999999E-10</v>
      </c>
      <c r="I63" s="46">
        <f t="shared" ref="I63:I105" si="10">D63</f>
        <v>2.3321999999999999E-15</v>
      </c>
      <c r="N63" s="7"/>
      <c r="S63" s="5"/>
      <c r="T63" s="6"/>
      <c r="U63" s="1"/>
      <c r="V63" s="1"/>
      <c r="X63" s="5"/>
      <c r="Y63" s="5"/>
      <c r="Z63" s="5"/>
      <c r="AA63" s="5"/>
      <c r="AB63" s="5"/>
      <c r="AC63" s="1"/>
      <c r="AD63" s="5"/>
      <c r="AE63" s="5"/>
      <c r="AG63" s="1"/>
      <c r="AH63" s="1"/>
      <c r="AI63" s="1"/>
      <c r="AJ63" s="1"/>
      <c r="AK63" s="1"/>
      <c r="AL63" s="1"/>
      <c r="AM63" s="1"/>
      <c r="AN63" s="5"/>
      <c r="AO63" s="1"/>
      <c r="AP63" s="1"/>
      <c r="AQ63" s="1"/>
      <c r="AR63" s="1"/>
      <c r="AS63" s="1"/>
      <c r="AT63" s="1"/>
      <c r="AU63" s="1"/>
      <c r="AV63" s="1"/>
      <c r="AW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7">
        <v>2.7240000000000002</v>
      </c>
      <c r="B64" s="8">
        <v>1.1938999999999999E-10</v>
      </c>
      <c r="C64" s="8">
        <v>1.1529E-10</v>
      </c>
      <c r="D64" s="8">
        <v>4.1087000000000001E-12</v>
      </c>
      <c r="E64" s="1">
        <v>6.4946000000000002E-12</v>
      </c>
      <c r="F64" s="45">
        <f t="shared" si="8"/>
        <v>2.7240000000000002</v>
      </c>
      <c r="G64" s="8">
        <f t="shared" ref="G64:G106" si="11">H64+I64</f>
        <v>1.2589329999999998E-10</v>
      </c>
      <c r="H64" s="1">
        <f t="shared" si="9"/>
        <v>1.2178459999999998E-10</v>
      </c>
      <c r="I64" s="46">
        <f t="shared" si="10"/>
        <v>4.1087000000000001E-12</v>
      </c>
      <c r="N64" s="7"/>
      <c r="S64" s="5"/>
      <c r="T64" s="6"/>
      <c r="U64" s="1"/>
      <c r="V64" s="1"/>
      <c r="X64" s="5"/>
      <c r="Y64" s="5"/>
      <c r="Z64" s="5"/>
      <c r="AA64" s="5"/>
      <c r="AB64" s="5"/>
      <c r="AC64" s="1"/>
      <c r="AD64" s="5"/>
      <c r="AE64" s="5"/>
      <c r="AG64" s="1"/>
      <c r="AH64" s="1"/>
      <c r="AI64" s="1"/>
      <c r="AJ64" s="1"/>
      <c r="AK64" s="1"/>
      <c r="AL64" s="1"/>
      <c r="AM64" s="1"/>
      <c r="AN64" s="5"/>
      <c r="AO64" s="1"/>
      <c r="AP64" s="1"/>
      <c r="AQ64" s="1"/>
      <c r="AR64" s="1"/>
      <c r="AS64" s="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7">
        <v>4.7720000000000002</v>
      </c>
      <c r="B65" s="8">
        <v>1.1891999999999999E-10</v>
      </c>
      <c r="C65" s="8">
        <v>1.1482E-10</v>
      </c>
      <c r="D65" s="8">
        <v>4.0923000000000002E-12</v>
      </c>
      <c r="E65" s="1">
        <v>6.5342999999999997E-12</v>
      </c>
      <c r="F65" s="45">
        <f t="shared" si="8"/>
        <v>4.7720000000000002</v>
      </c>
      <c r="G65" s="8">
        <f t="shared" si="11"/>
        <v>1.2544659999999999E-10</v>
      </c>
      <c r="H65" s="1">
        <f t="shared" si="9"/>
        <v>1.213543E-10</v>
      </c>
      <c r="I65" s="46">
        <f t="shared" si="10"/>
        <v>4.0923000000000002E-12</v>
      </c>
      <c r="N65" s="7"/>
      <c r="S65" s="5"/>
      <c r="T65" s="6"/>
      <c r="U65" s="1"/>
      <c r="V65" s="1"/>
      <c r="X65" s="5"/>
      <c r="Y65" s="5"/>
      <c r="Z65" s="5"/>
      <c r="AA65" s="5"/>
      <c r="AB65" s="5"/>
      <c r="AC65" s="1"/>
      <c r="AD65" s="5"/>
      <c r="AE65" s="5"/>
      <c r="AG65" s="1"/>
      <c r="AH65" s="1"/>
      <c r="AI65" s="1"/>
      <c r="AJ65" s="1"/>
      <c r="AK65" s="1"/>
      <c r="AL65" s="1"/>
      <c r="AM65" s="1"/>
      <c r="AN65" s="5"/>
      <c r="AO65" s="1"/>
      <c r="AP65" s="1"/>
      <c r="AQ65" s="1"/>
      <c r="AR65" s="1"/>
      <c r="AS65" s="1"/>
      <c r="AT65" s="1"/>
      <c r="AU65" s="1"/>
      <c r="AV65" s="1"/>
      <c r="AW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7">
        <v>6.82</v>
      </c>
      <c r="B66" s="8">
        <v>1.1843E-10</v>
      </c>
      <c r="C66" s="8">
        <v>1.1436000000000001E-10</v>
      </c>
      <c r="D66" s="8">
        <v>4.0756000000000001E-12</v>
      </c>
      <c r="E66" s="1">
        <v>6.6453000000000004E-12</v>
      </c>
      <c r="F66" s="45">
        <f t="shared" si="8"/>
        <v>6.82</v>
      </c>
      <c r="G66" s="8">
        <f t="shared" si="11"/>
        <v>1.250809E-10</v>
      </c>
      <c r="H66" s="1">
        <f t="shared" si="9"/>
        <v>1.2100530000000001E-10</v>
      </c>
      <c r="I66" s="46">
        <f t="shared" si="10"/>
        <v>4.0756000000000001E-12</v>
      </c>
      <c r="N66" s="7"/>
      <c r="S66" s="5"/>
      <c r="T66" s="6"/>
      <c r="U66" s="1"/>
      <c r="V66" s="1"/>
      <c r="X66" s="5"/>
      <c r="Y66" s="5"/>
      <c r="Z66" s="5"/>
      <c r="AA66" s="5"/>
      <c r="AB66" s="5"/>
      <c r="AC66" s="1"/>
      <c r="AD66" s="5"/>
      <c r="AE66" s="5"/>
      <c r="AG66" s="1"/>
      <c r="AH66" s="1"/>
      <c r="AI66" s="1"/>
      <c r="AJ66" s="1"/>
      <c r="AK66" s="1"/>
      <c r="AL66" s="1"/>
      <c r="AM66" s="1"/>
      <c r="AN66" s="5"/>
      <c r="AO66" s="1"/>
      <c r="AP66" s="1"/>
      <c r="AQ66" s="1"/>
      <c r="AR66" s="1"/>
      <c r="AS66" s="1"/>
      <c r="AT66" s="1"/>
      <c r="AU66" s="1"/>
      <c r="AV66" s="1"/>
      <c r="AW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x14ac:dyDescent="0.3">
      <c r="A67" s="7">
        <v>8.8680000000000003</v>
      </c>
      <c r="B67" s="8">
        <v>1.1794999999999999E-10</v>
      </c>
      <c r="C67" s="8">
        <v>1.1388999999999999E-10</v>
      </c>
      <c r="D67" s="8">
        <v>4.0590999999999999E-12</v>
      </c>
      <c r="E67" s="1">
        <v>6.7767000000000004E-12</v>
      </c>
      <c r="F67" s="45">
        <f t="shared" si="8"/>
        <v>8.8680000000000003</v>
      </c>
      <c r="G67" s="8">
        <f t="shared" si="11"/>
        <v>1.247258E-10</v>
      </c>
      <c r="H67" s="1">
        <f t="shared" si="9"/>
        <v>1.2066669999999999E-10</v>
      </c>
      <c r="I67" s="46">
        <f t="shared" si="10"/>
        <v>4.0590999999999999E-12</v>
      </c>
      <c r="N67" s="7"/>
      <c r="S67" s="5"/>
      <c r="T67" s="6"/>
      <c r="U67" s="1"/>
      <c r="V67" s="1"/>
      <c r="X67" s="5"/>
      <c r="Y67" s="5"/>
      <c r="Z67" s="5"/>
      <c r="AA67" s="5"/>
      <c r="AB67" s="5"/>
      <c r="AC67" s="1"/>
      <c r="AD67" s="5"/>
      <c r="AE67" s="5"/>
      <c r="AG67" s="1"/>
      <c r="AH67" s="1"/>
      <c r="AI67" s="1"/>
      <c r="AJ67" s="1"/>
      <c r="AK67" s="1"/>
      <c r="AL67" s="1"/>
      <c r="AM67" s="1"/>
      <c r="AN67" s="5"/>
      <c r="AO67" s="1"/>
      <c r="AP67" s="1"/>
      <c r="AQ67" s="1"/>
      <c r="AR67" s="1"/>
      <c r="AS67" s="1"/>
      <c r="AT67" s="1"/>
      <c r="AU67" s="1"/>
      <c r="AV67" s="1"/>
      <c r="AW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x14ac:dyDescent="0.3">
      <c r="A68" s="7">
        <v>10.916</v>
      </c>
      <c r="B68" s="8">
        <v>1.1749E-10</v>
      </c>
      <c r="C68" s="8">
        <v>1.1344E-10</v>
      </c>
      <c r="D68" s="8">
        <v>4.0431E-12</v>
      </c>
      <c r="E68" s="1">
        <v>6.9130999999999997E-12</v>
      </c>
      <c r="F68" s="45">
        <f t="shared" si="8"/>
        <v>10.916</v>
      </c>
      <c r="G68" s="8">
        <f t="shared" si="11"/>
        <v>1.2439620000000001E-10</v>
      </c>
      <c r="H68" s="1">
        <f t="shared" si="9"/>
        <v>1.2035310000000001E-10</v>
      </c>
      <c r="I68" s="46">
        <f t="shared" si="10"/>
        <v>4.0431E-12</v>
      </c>
      <c r="N68" s="7"/>
      <c r="S68" s="5"/>
      <c r="T68" s="6"/>
      <c r="U68" s="1"/>
      <c r="V68" s="1"/>
      <c r="X68" s="5"/>
      <c r="Y68" s="5"/>
      <c r="Z68" s="5"/>
      <c r="AA68" s="5"/>
      <c r="AB68" s="5"/>
      <c r="AC68" s="1"/>
      <c r="AD68" s="5"/>
      <c r="AE68" s="5"/>
      <c r="AG68" s="1"/>
      <c r="AH68" s="1"/>
      <c r="AI68" s="1"/>
      <c r="AJ68" s="1"/>
      <c r="AK68" s="1"/>
      <c r="AL68" s="1"/>
      <c r="AM68" s="1"/>
      <c r="AN68" s="5"/>
      <c r="AO68" s="1"/>
      <c r="AP68" s="1"/>
      <c r="AQ68" s="1"/>
      <c r="AR68" s="1"/>
      <c r="AS68" s="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x14ac:dyDescent="0.3">
      <c r="A69" s="7">
        <v>12.964</v>
      </c>
      <c r="B69" s="8">
        <v>1.1703000000000001E-10</v>
      </c>
      <c r="C69" s="8">
        <v>1.1301000000000001E-10</v>
      </c>
      <c r="D69" s="8">
        <v>4.0275E-12</v>
      </c>
      <c r="E69" s="1">
        <v>7.0464000000000003E-12</v>
      </c>
      <c r="F69" s="45">
        <f t="shared" si="8"/>
        <v>12.964</v>
      </c>
      <c r="G69" s="8">
        <f t="shared" si="11"/>
        <v>1.240839E-10</v>
      </c>
      <c r="H69" s="1">
        <f t="shared" si="9"/>
        <v>1.2005640000000001E-10</v>
      </c>
      <c r="I69" s="46">
        <f t="shared" si="10"/>
        <v>4.0275E-12</v>
      </c>
      <c r="N69" s="7"/>
      <c r="S69" s="5"/>
      <c r="T69" s="6"/>
      <c r="U69" s="1"/>
      <c r="V69" s="1"/>
      <c r="X69" s="5"/>
      <c r="Y69" s="5"/>
      <c r="Z69" s="5"/>
      <c r="AA69" s="5"/>
      <c r="AB69" s="5"/>
      <c r="AC69" s="1"/>
      <c r="AD69" s="5"/>
      <c r="AE69" s="5"/>
      <c r="AG69" s="1"/>
      <c r="AH69" s="1"/>
      <c r="AI69" s="1"/>
      <c r="AJ69" s="1"/>
      <c r="AK69" s="1"/>
      <c r="AL69" s="1"/>
      <c r="AM69" s="1"/>
      <c r="AN69" s="5"/>
      <c r="AO69" s="1"/>
      <c r="AP69" s="1"/>
      <c r="AQ69" s="1"/>
      <c r="AR69" s="1"/>
      <c r="AS69" s="1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x14ac:dyDescent="0.3">
      <c r="A70" s="7">
        <v>17.059999999999999</v>
      </c>
      <c r="B70" s="8">
        <v>1.1616E-10</v>
      </c>
      <c r="C70" s="8">
        <v>1.1216E-10</v>
      </c>
      <c r="D70" s="8">
        <v>3.9973999999999999E-12</v>
      </c>
      <c r="E70" s="1">
        <v>7.2956999999999993E-12</v>
      </c>
      <c r="F70" s="45">
        <f t="shared" si="8"/>
        <v>17.059999999999999</v>
      </c>
      <c r="G70" s="8">
        <f t="shared" si="11"/>
        <v>1.234531E-10</v>
      </c>
      <c r="H70" s="1">
        <f t="shared" si="9"/>
        <v>1.1945569999999999E-10</v>
      </c>
      <c r="I70" s="46">
        <f t="shared" si="10"/>
        <v>3.9973999999999999E-12</v>
      </c>
      <c r="N70" s="7"/>
      <c r="S70" s="5"/>
      <c r="T70" s="6"/>
      <c r="U70" s="1"/>
      <c r="V70" s="1"/>
      <c r="X70" s="5"/>
      <c r="Y70" s="5"/>
      <c r="Z70" s="5"/>
      <c r="AA70" s="5"/>
      <c r="AB70" s="5"/>
      <c r="AC70" s="1"/>
      <c r="AD70" s="5"/>
      <c r="AE70" s="5"/>
      <c r="AG70" s="1"/>
      <c r="AH70" s="1"/>
      <c r="AI70" s="1"/>
      <c r="AJ70" s="1"/>
      <c r="AK70" s="1"/>
      <c r="AL70" s="1"/>
      <c r="AM70" s="1"/>
      <c r="AN70" s="5"/>
      <c r="AO70" s="1"/>
      <c r="AP70" s="1"/>
      <c r="AQ70" s="1"/>
      <c r="AR70" s="1"/>
      <c r="AS70" s="1"/>
      <c r="AT70" s="1"/>
      <c r="AU70" s="1"/>
      <c r="AV70" s="1"/>
      <c r="A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x14ac:dyDescent="0.3">
      <c r="A71" s="7">
        <v>21.155999999999999</v>
      </c>
      <c r="B71" s="8">
        <v>1.1534E-10</v>
      </c>
      <c r="C71" s="8">
        <v>1.1137E-10</v>
      </c>
      <c r="D71" s="8">
        <v>3.9691999999999997E-12</v>
      </c>
      <c r="E71" s="1">
        <v>7.5127999999999992E-12</v>
      </c>
      <c r="F71" s="45">
        <f t="shared" si="8"/>
        <v>21.155999999999999</v>
      </c>
      <c r="G71" s="8">
        <f t="shared" si="11"/>
        <v>1.2285199999999999E-10</v>
      </c>
      <c r="H71" s="1">
        <f t="shared" si="9"/>
        <v>1.188828E-10</v>
      </c>
      <c r="I71" s="46">
        <f t="shared" si="10"/>
        <v>3.9691999999999997E-12</v>
      </c>
      <c r="N71" s="7"/>
      <c r="S71" s="5"/>
      <c r="T71" s="6"/>
      <c r="U71" s="1"/>
      <c r="V71" s="1"/>
      <c r="X71" s="5"/>
      <c r="Y71" s="5"/>
      <c r="Z71" s="5"/>
      <c r="AA71" s="5"/>
      <c r="AB71" s="5"/>
      <c r="AC71" s="1"/>
      <c r="AD71" s="5"/>
      <c r="AE71" s="5"/>
      <c r="AG71" s="1"/>
      <c r="AH71" s="1"/>
      <c r="AI71" s="1"/>
      <c r="AJ71" s="1"/>
      <c r="AK71" s="1"/>
      <c r="AL71" s="1"/>
      <c r="AM71" s="1"/>
      <c r="AN71" s="5"/>
      <c r="AO71" s="1"/>
      <c r="AP71" s="1"/>
      <c r="AQ71" s="1"/>
      <c r="AR71" s="1"/>
      <c r="AS71" s="1"/>
      <c r="AT71" s="1"/>
      <c r="AU71" s="1"/>
      <c r="AV71" s="1"/>
      <c r="AW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x14ac:dyDescent="0.3">
      <c r="A72" s="7">
        <v>29.347999999999999</v>
      </c>
      <c r="B72" s="8">
        <v>1.1384E-10</v>
      </c>
      <c r="C72" s="8">
        <v>1.0991999999999999E-10</v>
      </c>
      <c r="D72" s="8">
        <v>3.9174000000000003E-12</v>
      </c>
      <c r="E72" s="1">
        <v>7.8483E-12</v>
      </c>
      <c r="F72" s="45">
        <f t="shared" si="8"/>
        <v>29.347999999999999</v>
      </c>
      <c r="G72" s="8">
        <f t="shared" si="11"/>
        <v>1.2168569999999999E-10</v>
      </c>
      <c r="H72" s="1">
        <f t="shared" si="9"/>
        <v>1.177683E-10</v>
      </c>
      <c r="I72" s="46">
        <f t="shared" si="10"/>
        <v>3.9174000000000003E-12</v>
      </c>
      <c r="N72" s="7"/>
      <c r="S72" s="5"/>
      <c r="T72" s="6"/>
      <c r="U72" s="1"/>
      <c r="V72" s="1"/>
      <c r="X72" s="5"/>
      <c r="Y72" s="5"/>
      <c r="Z72" s="5"/>
      <c r="AA72" s="5"/>
      <c r="AB72" s="5"/>
      <c r="AC72" s="1"/>
      <c r="AD72" s="5"/>
      <c r="AE72" s="5"/>
      <c r="AG72" s="1"/>
      <c r="AH72" s="1"/>
      <c r="AI72" s="1"/>
      <c r="AJ72" s="1"/>
      <c r="AK72" s="1"/>
      <c r="AL72" s="1"/>
      <c r="AM72" s="1"/>
      <c r="AN72" s="5"/>
      <c r="AO72" s="1"/>
      <c r="AP72" s="1"/>
      <c r="AQ72" s="1"/>
      <c r="AR72" s="1"/>
      <c r="AS72" s="1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x14ac:dyDescent="0.3">
      <c r="A73" s="7">
        <v>37.54</v>
      </c>
      <c r="B73" s="8">
        <v>1.1247E-10</v>
      </c>
      <c r="C73" s="8">
        <v>1.086E-10</v>
      </c>
      <c r="D73" s="8">
        <v>3.8706000000000001E-12</v>
      </c>
      <c r="E73" s="1">
        <v>8.0735000000000003E-12</v>
      </c>
      <c r="F73" s="45">
        <f t="shared" si="8"/>
        <v>37.54</v>
      </c>
      <c r="G73" s="8">
        <f t="shared" si="11"/>
        <v>1.2054409999999999E-10</v>
      </c>
      <c r="H73" s="1">
        <f t="shared" si="9"/>
        <v>1.166735E-10</v>
      </c>
      <c r="I73" s="46">
        <f t="shared" si="10"/>
        <v>3.8706000000000001E-12</v>
      </c>
      <c r="N73" s="7"/>
      <c r="S73" s="5"/>
      <c r="T73" s="6"/>
      <c r="U73" s="1"/>
      <c r="V73" s="1"/>
      <c r="X73" s="5"/>
      <c r="Y73" s="5"/>
      <c r="Z73" s="5"/>
      <c r="AA73" s="5"/>
      <c r="AB73" s="5"/>
      <c r="AC73" s="1"/>
      <c r="AD73" s="5"/>
      <c r="AE73" s="5"/>
      <c r="AG73" s="1"/>
      <c r="AH73" s="1"/>
      <c r="AI73" s="1"/>
      <c r="AJ73" s="1"/>
      <c r="AK73" s="1"/>
      <c r="AL73" s="1"/>
      <c r="AM73" s="1"/>
      <c r="AN73" s="5"/>
      <c r="AO73" s="1"/>
      <c r="AP73" s="1"/>
      <c r="AQ73" s="1"/>
      <c r="AR73" s="1"/>
      <c r="AS73" s="1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x14ac:dyDescent="0.3">
      <c r="A74" s="7">
        <v>45.731999999999999</v>
      </c>
      <c r="B74" s="8">
        <v>1.1122E-10</v>
      </c>
      <c r="C74" s="8">
        <v>1.0739E-10</v>
      </c>
      <c r="D74" s="8">
        <v>3.8275E-12</v>
      </c>
      <c r="E74" s="1">
        <v>8.2155999999999998E-12</v>
      </c>
      <c r="F74" s="45">
        <f t="shared" si="8"/>
        <v>45.731999999999999</v>
      </c>
      <c r="G74" s="8">
        <f t="shared" si="11"/>
        <v>1.194331E-10</v>
      </c>
      <c r="H74" s="1">
        <f t="shared" si="9"/>
        <v>1.1560560000000001E-10</v>
      </c>
      <c r="I74" s="46">
        <f t="shared" si="10"/>
        <v>3.8275E-12</v>
      </c>
      <c r="N74" s="7"/>
      <c r="S74" s="5"/>
      <c r="T74" s="6"/>
      <c r="U74" s="1"/>
      <c r="V74" s="1"/>
      <c r="X74" s="5"/>
      <c r="Y74" s="5"/>
      <c r="Z74" s="5"/>
      <c r="AA74" s="5"/>
      <c r="AB74" s="5"/>
      <c r="AC74" s="1"/>
      <c r="AD74" s="5"/>
      <c r="AE74" s="5"/>
      <c r="AG74" s="1"/>
      <c r="AH74" s="1"/>
      <c r="AI74" s="1"/>
      <c r="AJ74" s="1"/>
      <c r="AK74" s="1"/>
      <c r="AL74" s="1"/>
      <c r="AM74" s="1"/>
      <c r="AN74" s="5"/>
      <c r="AO74" s="1"/>
      <c r="AP74" s="1"/>
      <c r="AQ74" s="1"/>
      <c r="AR74" s="1"/>
      <c r="AS74" s="1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x14ac:dyDescent="0.3">
      <c r="A75" s="7">
        <v>53.923999999999999</v>
      </c>
      <c r="B75" s="8">
        <v>1.1005E-10</v>
      </c>
      <c r="C75" s="8">
        <v>1.0626E-10</v>
      </c>
      <c r="D75" s="8">
        <v>3.7869999999999999E-12</v>
      </c>
      <c r="E75" s="1">
        <v>8.2976000000000005E-12</v>
      </c>
      <c r="F75" s="45">
        <f t="shared" si="8"/>
        <v>53.923999999999999</v>
      </c>
      <c r="G75" s="8">
        <f t="shared" si="11"/>
        <v>1.1834459999999999E-10</v>
      </c>
      <c r="H75" s="1">
        <f t="shared" si="9"/>
        <v>1.145576E-10</v>
      </c>
      <c r="I75" s="46">
        <f t="shared" si="10"/>
        <v>3.7869999999999999E-12</v>
      </c>
      <c r="N75" s="7"/>
      <c r="S75" s="5"/>
      <c r="T75" s="6"/>
      <c r="U75" s="1"/>
      <c r="V75" s="1"/>
      <c r="X75" s="5"/>
      <c r="Y75" s="5"/>
      <c r="Z75" s="5"/>
      <c r="AA75" s="5"/>
      <c r="AB75" s="5"/>
      <c r="AC75" s="1"/>
      <c r="AD75" s="5"/>
      <c r="AE75" s="5"/>
      <c r="AG75" s="1"/>
      <c r="AH75" s="1"/>
      <c r="AI75" s="1"/>
      <c r="AJ75" s="1"/>
      <c r="AK75" s="1"/>
      <c r="AL75" s="1"/>
      <c r="AM75" s="1"/>
      <c r="AN75" s="5"/>
      <c r="AO75" s="1"/>
      <c r="AP75" s="1"/>
      <c r="AQ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x14ac:dyDescent="0.3">
      <c r="A76" s="7">
        <v>62.116</v>
      </c>
      <c r="B76" s="8">
        <v>1.0893000000000001E-10</v>
      </c>
      <c r="C76" s="8">
        <v>1.0518000000000001E-10</v>
      </c>
      <c r="D76" s="8">
        <v>3.7485999999999996E-12</v>
      </c>
      <c r="E76" s="1">
        <v>8.3364999999999995E-12</v>
      </c>
      <c r="F76" s="45">
        <f t="shared" si="8"/>
        <v>62.116</v>
      </c>
      <c r="G76" s="8">
        <f t="shared" si="11"/>
        <v>1.1726510000000001E-10</v>
      </c>
      <c r="H76" s="1">
        <f t="shared" si="9"/>
        <v>1.1351650000000001E-10</v>
      </c>
      <c r="I76" s="46">
        <f t="shared" si="10"/>
        <v>3.7485999999999996E-12</v>
      </c>
      <c r="N76" s="7"/>
      <c r="S76" s="5"/>
      <c r="T76" s="6"/>
      <c r="U76" s="1"/>
      <c r="V76" s="1"/>
      <c r="X76" s="5"/>
      <c r="Y76" s="5"/>
      <c r="Z76" s="5"/>
      <c r="AA76" s="5"/>
      <c r="AB76" s="5"/>
      <c r="AC76" s="1"/>
      <c r="AD76" s="5"/>
      <c r="AE76" s="5"/>
      <c r="AG76" s="1"/>
      <c r="AH76" s="1"/>
      <c r="AI76" s="1"/>
      <c r="AJ76" s="1"/>
      <c r="AK76" s="1"/>
      <c r="AL76" s="1"/>
      <c r="AM76" s="1"/>
      <c r="AN76" s="5"/>
      <c r="AO76" s="1"/>
      <c r="AP76" s="1"/>
      <c r="AQ76" s="1"/>
      <c r="AR76" s="1"/>
      <c r="AS76" s="1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x14ac:dyDescent="0.3">
      <c r="A77" s="7">
        <v>70.308000000000007</v>
      </c>
      <c r="B77" s="8">
        <v>1.0784999999999999E-10</v>
      </c>
      <c r="C77" s="8">
        <v>1.0414E-10</v>
      </c>
      <c r="D77" s="8">
        <v>3.7115999999999997E-12</v>
      </c>
      <c r="E77" s="1">
        <v>8.3437000000000005E-12</v>
      </c>
      <c r="F77" s="45">
        <f t="shared" si="8"/>
        <v>70.308000000000007</v>
      </c>
      <c r="G77" s="8">
        <f t="shared" si="11"/>
        <v>1.161953E-10</v>
      </c>
      <c r="H77" s="1">
        <f t="shared" si="9"/>
        <v>1.124837E-10</v>
      </c>
      <c r="I77" s="46">
        <f t="shared" si="10"/>
        <v>3.7115999999999997E-12</v>
      </c>
      <c r="N77" s="7"/>
      <c r="S77" s="5"/>
      <c r="T77" s="6"/>
      <c r="U77" s="1"/>
      <c r="V77" s="1"/>
      <c r="X77" s="5"/>
      <c r="Y77" s="5"/>
      <c r="Z77" s="5"/>
      <c r="AA77" s="5"/>
      <c r="AB77" s="5"/>
      <c r="AC77" s="1"/>
      <c r="AD77" s="5"/>
      <c r="AE77" s="5"/>
      <c r="AG77" s="1"/>
      <c r="AH77" s="1"/>
      <c r="AI77" s="1"/>
      <c r="AJ77" s="1"/>
      <c r="AK77" s="1"/>
      <c r="AL77" s="1"/>
      <c r="AM77" s="1"/>
      <c r="AN77" s="5"/>
      <c r="AO77" s="1"/>
      <c r="AP77" s="1"/>
      <c r="AQ77" s="1"/>
      <c r="AR77" s="1"/>
      <c r="AS77" s="1"/>
      <c r="AT77" s="1"/>
      <c r="AU77" s="1"/>
      <c r="AV77" s="1"/>
      <c r="AW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x14ac:dyDescent="0.3">
      <c r="A78" s="7">
        <v>86.691999999999993</v>
      </c>
      <c r="B78" s="8">
        <v>1.0579E-10</v>
      </c>
      <c r="C78" s="8">
        <v>1.0215E-10</v>
      </c>
      <c r="D78" s="8">
        <v>3.6405999999999997E-12</v>
      </c>
      <c r="E78" s="1">
        <v>8.3025999999999998E-12</v>
      </c>
      <c r="F78" s="45">
        <f t="shared" si="8"/>
        <v>86.691999999999993</v>
      </c>
      <c r="G78" s="8">
        <f t="shared" si="11"/>
        <v>1.140932E-10</v>
      </c>
      <c r="H78" s="1">
        <f t="shared" si="9"/>
        <v>1.1045260000000001E-10</v>
      </c>
      <c r="I78" s="46">
        <f t="shared" si="10"/>
        <v>3.6405999999999997E-12</v>
      </c>
      <c r="N78" s="7"/>
      <c r="S78" s="5"/>
      <c r="T78" s="6"/>
      <c r="U78" s="1"/>
      <c r="V78" s="1"/>
      <c r="X78" s="5"/>
      <c r="Y78" s="5"/>
      <c r="Z78" s="5"/>
      <c r="AA78" s="5"/>
      <c r="AB78" s="5"/>
      <c r="AC78" s="1"/>
      <c r="AD78" s="5"/>
      <c r="AE78" s="5"/>
      <c r="AG78" s="1"/>
      <c r="AH78" s="1"/>
      <c r="AI78" s="1"/>
      <c r="AJ78" s="1"/>
      <c r="AK78" s="1"/>
      <c r="AL78" s="1"/>
      <c r="AM78" s="1"/>
      <c r="AN78" s="5"/>
      <c r="AO78" s="1"/>
      <c r="AP78" s="1"/>
      <c r="AQ78" s="1"/>
      <c r="AR78" s="1"/>
      <c r="AS78" s="1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x14ac:dyDescent="0.3">
      <c r="A79" s="7">
        <v>103.08</v>
      </c>
      <c r="B79" s="8">
        <v>1.0382E-10</v>
      </c>
      <c r="C79" s="8">
        <v>1.0023999999999999E-10</v>
      </c>
      <c r="D79" s="8">
        <v>3.5725999999999999E-12</v>
      </c>
      <c r="E79" s="1">
        <v>8.2122999999999997E-12</v>
      </c>
      <c r="F79" s="45">
        <f t="shared" si="8"/>
        <v>103.08</v>
      </c>
      <c r="G79" s="8">
        <f t="shared" si="11"/>
        <v>1.1202489999999999E-10</v>
      </c>
      <c r="H79" s="1">
        <f t="shared" si="9"/>
        <v>1.0845229999999999E-10</v>
      </c>
      <c r="I79" s="46">
        <f t="shared" si="10"/>
        <v>3.5725999999999999E-12</v>
      </c>
      <c r="N79" s="7"/>
      <c r="S79" s="5"/>
      <c r="T79" s="6"/>
      <c r="U79" s="1"/>
      <c r="V79" s="1"/>
      <c r="X79" s="5"/>
      <c r="Y79" s="5"/>
      <c r="Z79" s="5"/>
      <c r="AA79" s="5"/>
      <c r="AB79" s="5"/>
      <c r="AC79" s="1"/>
      <c r="AD79" s="5"/>
      <c r="AE79" s="5"/>
      <c r="AG79" s="1"/>
      <c r="AH79" s="1"/>
      <c r="AI79" s="1"/>
      <c r="AJ79" s="1"/>
      <c r="AK79" s="1"/>
      <c r="AL79" s="1"/>
      <c r="AM79" s="1"/>
      <c r="AN79" s="5"/>
      <c r="AO79" s="1"/>
      <c r="AP79" s="1"/>
      <c r="AQ79" s="1"/>
      <c r="AR79" s="1"/>
      <c r="AS79" s="1"/>
      <c r="AT79" s="1"/>
      <c r="AU79" s="1"/>
      <c r="AV79" s="1"/>
      <c r="AW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x14ac:dyDescent="0.3">
      <c r="A80" s="7">
        <v>119.46</v>
      </c>
      <c r="B80" s="8">
        <v>1.019E-10</v>
      </c>
      <c r="C80" s="8">
        <v>9.8395999999999996E-11</v>
      </c>
      <c r="D80" s="8">
        <v>3.5068E-12</v>
      </c>
      <c r="E80" s="1">
        <v>8.0947000000000002E-12</v>
      </c>
      <c r="F80" s="45">
        <f t="shared" si="8"/>
        <v>119.46</v>
      </c>
      <c r="G80" s="8">
        <f t="shared" si="11"/>
        <v>1.099975E-10</v>
      </c>
      <c r="H80" s="1">
        <f t="shared" si="9"/>
        <v>1.064907E-10</v>
      </c>
      <c r="I80" s="46">
        <f t="shared" si="10"/>
        <v>3.5068E-12</v>
      </c>
      <c r="N80" s="7"/>
      <c r="S80" s="5"/>
      <c r="T80" s="6"/>
      <c r="U80" s="1"/>
      <c r="V80" s="1"/>
      <c r="X80" s="5"/>
      <c r="Y80" s="5"/>
      <c r="Z80" s="5"/>
      <c r="AA80" s="5"/>
      <c r="AB80" s="5"/>
      <c r="AC80" s="1"/>
      <c r="AD80" s="5"/>
      <c r="AE80" s="5"/>
      <c r="AG80" s="1"/>
      <c r="AH80" s="1"/>
      <c r="AI80" s="1"/>
      <c r="AJ80" s="1"/>
      <c r="AK80" s="1"/>
      <c r="AL80" s="1"/>
      <c r="AM80" s="1"/>
      <c r="AN80" s="5"/>
      <c r="AO80" s="1"/>
      <c r="AP80" s="1"/>
      <c r="AQ80" s="1"/>
      <c r="AR80" s="1"/>
      <c r="AS80" s="1"/>
      <c r="AT80" s="1"/>
      <c r="AU80" s="1"/>
      <c r="AV80" s="1"/>
      <c r="AW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x14ac:dyDescent="0.3">
      <c r="A81" s="7">
        <v>135.84</v>
      </c>
      <c r="B81" s="8">
        <v>1.0004E-10</v>
      </c>
      <c r="C81" s="8">
        <v>9.6595999999999999E-11</v>
      </c>
      <c r="D81" s="8">
        <v>3.4425999999999999E-12</v>
      </c>
      <c r="E81" s="1">
        <v>7.9635000000000001E-12</v>
      </c>
      <c r="F81" s="45">
        <f t="shared" si="8"/>
        <v>135.84</v>
      </c>
      <c r="G81" s="8">
        <f t="shared" si="11"/>
        <v>1.080021E-10</v>
      </c>
      <c r="H81" s="1">
        <f t="shared" si="9"/>
        <v>1.0455949999999999E-10</v>
      </c>
      <c r="I81" s="46">
        <f t="shared" si="10"/>
        <v>3.4425999999999999E-12</v>
      </c>
      <c r="N81" s="7"/>
      <c r="S81" s="5"/>
      <c r="T81" s="6"/>
      <c r="U81" s="1"/>
      <c r="V81" s="1"/>
      <c r="X81" s="5"/>
      <c r="Y81" s="5"/>
      <c r="Z81" s="5"/>
      <c r="AA81" s="5"/>
      <c r="AB81" s="5"/>
      <c r="AC81" s="1"/>
      <c r="AD81" s="5"/>
      <c r="AE81" s="5"/>
      <c r="AG81" s="1"/>
      <c r="AH81" s="1"/>
      <c r="AI81" s="1"/>
      <c r="AJ81" s="1"/>
      <c r="AK81" s="1"/>
      <c r="AL81" s="1"/>
      <c r="AM81" s="1"/>
      <c r="AN81" s="5"/>
      <c r="AO81" s="1"/>
      <c r="AP81" s="1"/>
      <c r="AQ81" s="1"/>
      <c r="AR81" s="1"/>
      <c r="AS81" s="1"/>
      <c r="AT81" s="1"/>
      <c r="AU81" s="1"/>
      <c r="AV81" s="1"/>
      <c r="AW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x14ac:dyDescent="0.3">
      <c r="A82" s="7">
        <v>152.22999999999999</v>
      </c>
      <c r="B82" s="8">
        <v>9.8213999999999998E-11</v>
      </c>
      <c r="C82" s="8">
        <v>9.4834000000000006E-11</v>
      </c>
      <c r="D82" s="8">
        <v>3.3798000000000002E-12</v>
      </c>
      <c r="E82" s="1">
        <v>7.8267999999999997E-12</v>
      </c>
      <c r="F82" s="45">
        <f t="shared" si="8"/>
        <v>152.22999999999999</v>
      </c>
      <c r="G82" s="8">
        <f t="shared" si="11"/>
        <v>1.0604060000000001E-10</v>
      </c>
      <c r="H82" s="1">
        <f t="shared" si="9"/>
        <v>1.0266080000000001E-10</v>
      </c>
      <c r="I82" s="46">
        <f t="shared" si="10"/>
        <v>3.3798000000000002E-12</v>
      </c>
      <c r="N82" s="7"/>
      <c r="S82" s="5"/>
      <c r="T82" s="6"/>
      <c r="U82" s="1"/>
      <c r="V82" s="1"/>
      <c r="X82" s="5"/>
      <c r="Y82" s="5"/>
      <c r="Z82" s="5"/>
      <c r="AA82" s="5"/>
      <c r="AB82" s="5"/>
      <c r="AC82" s="1"/>
      <c r="AD82" s="5"/>
      <c r="AE82" s="5"/>
      <c r="AG82" s="1"/>
      <c r="AH82" s="1"/>
      <c r="AI82" s="1"/>
      <c r="AJ82" s="1"/>
      <c r="AK82" s="1"/>
      <c r="AL82" s="1"/>
      <c r="AM82" s="1"/>
      <c r="AN82" s="5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x14ac:dyDescent="0.3">
      <c r="A83" s="7">
        <v>185</v>
      </c>
      <c r="B83" s="8">
        <v>9.4668999999999999E-11</v>
      </c>
      <c r="C83" s="8">
        <v>9.1412000000000002E-11</v>
      </c>
      <c r="D83" s="8">
        <v>3.2579000000000001E-12</v>
      </c>
      <c r="E83" s="1">
        <v>7.5527000000000003E-12</v>
      </c>
      <c r="F83" s="45">
        <f t="shared" si="8"/>
        <v>185</v>
      </c>
      <c r="G83" s="8">
        <f t="shared" si="11"/>
        <v>1.022226E-10</v>
      </c>
      <c r="H83" s="1">
        <f t="shared" si="9"/>
        <v>9.8964699999999999E-11</v>
      </c>
      <c r="I83" s="46">
        <f t="shared" si="10"/>
        <v>3.2579000000000001E-12</v>
      </c>
      <c r="N83" s="7"/>
      <c r="S83" s="5"/>
      <c r="T83" s="6"/>
      <c r="U83" s="1"/>
      <c r="V83" s="1"/>
      <c r="X83" s="5"/>
      <c r="Y83" s="5"/>
      <c r="Z83" s="5"/>
      <c r="AA83" s="5"/>
      <c r="AB83" s="5"/>
      <c r="AC83" s="1"/>
      <c r="AD83" s="5"/>
      <c r="AE83" s="5"/>
      <c r="AG83" s="1"/>
      <c r="AH83" s="1"/>
      <c r="AI83" s="1"/>
      <c r="AJ83" s="1"/>
      <c r="AK83" s="1"/>
      <c r="AL83" s="1"/>
      <c r="AM83" s="1"/>
      <c r="AN83" s="5"/>
      <c r="AO83" s="1"/>
      <c r="AP83" s="1"/>
      <c r="AQ83" s="1"/>
      <c r="AR83" s="1"/>
      <c r="AS83" s="1"/>
      <c r="AT83" s="1"/>
      <c r="AU83" s="1"/>
      <c r="AV83" s="1"/>
      <c r="AW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x14ac:dyDescent="0.3">
      <c r="A84" s="7">
        <v>250.53</v>
      </c>
      <c r="B84" s="8">
        <v>8.8191000000000003E-11</v>
      </c>
      <c r="C84" s="8">
        <v>8.5155999999999998E-11</v>
      </c>
      <c r="D84" s="8">
        <v>3.0348999999999999E-12</v>
      </c>
      <c r="E84" s="1">
        <v>7.0362999999999998E-12</v>
      </c>
      <c r="F84" s="45">
        <f t="shared" si="8"/>
        <v>250.53</v>
      </c>
      <c r="G84" s="8">
        <f t="shared" si="11"/>
        <v>9.5227200000000003E-11</v>
      </c>
      <c r="H84" s="1">
        <f t="shared" si="9"/>
        <v>9.2192300000000003E-11</v>
      </c>
      <c r="I84" s="46">
        <f t="shared" si="10"/>
        <v>3.0348999999999999E-12</v>
      </c>
      <c r="N84" s="7"/>
      <c r="S84" s="5"/>
      <c r="T84" s="6"/>
      <c r="U84" s="1"/>
      <c r="V84" s="1"/>
      <c r="X84" s="5"/>
      <c r="Y84" s="5"/>
      <c r="Z84" s="5"/>
      <c r="AA84" s="5"/>
      <c r="AB84" s="5"/>
      <c r="AC84" s="1"/>
      <c r="AD84" s="5"/>
      <c r="AE84" s="5"/>
      <c r="AG84" s="1"/>
      <c r="AH84" s="1"/>
      <c r="AI84" s="1"/>
      <c r="AJ84" s="1"/>
      <c r="AK84" s="1"/>
      <c r="AL84" s="1"/>
      <c r="AM84" s="1"/>
      <c r="AN84" s="5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x14ac:dyDescent="0.3">
      <c r="A85" s="7">
        <v>316.07</v>
      </c>
      <c r="B85" s="8">
        <v>8.2157999999999999E-11</v>
      </c>
      <c r="C85" s="8">
        <v>7.9330999999999995E-11</v>
      </c>
      <c r="D85" s="8">
        <v>2.8272999999999999E-12</v>
      </c>
      <c r="E85" s="1">
        <v>6.5550000000000002E-12</v>
      </c>
      <c r="F85" s="45">
        <f t="shared" si="8"/>
        <v>316.07</v>
      </c>
      <c r="G85" s="8">
        <f t="shared" si="11"/>
        <v>8.8713299999999989E-11</v>
      </c>
      <c r="H85" s="1">
        <f t="shared" si="9"/>
        <v>8.5885999999999992E-11</v>
      </c>
      <c r="I85" s="46">
        <f t="shared" si="10"/>
        <v>2.8272999999999999E-12</v>
      </c>
      <c r="N85" s="7"/>
      <c r="S85" s="5"/>
      <c r="T85" s="6"/>
      <c r="U85" s="1"/>
      <c r="V85" s="1"/>
      <c r="X85" s="5"/>
      <c r="Y85" s="5"/>
      <c r="Z85" s="5"/>
      <c r="AA85" s="5"/>
      <c r="AB85" s="5"/>
      <c r="AC85" s="1"/>
      <c r="AD85" s="5"/>
      <c r="AE85" s="5"/>
      <c r="AG85" s="1"/>
      <c r="AH85" s="1"/>
      <c r="AI85" s="1"/>
      <c r="AJ85" s="1"/>
      <c r="AK85" s="1"/>
      <c r="AL85" s="1"/>
      <c r="AM85" s="1"/>
      <c r="AN85" s="5"/>
      <c r="AO85" s="1"/>
      <c r="AP85" s="1"/>
      <c r="AQ85" s="1"/>
      <c r="AR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x14ac:dyDescent="0.3">
      <c r="A86" s="7">
        <v>381.6</v>
      </c>
      <c r="B86" s="8">
        <v>7.6537000000000002E-11</v>
      </c>
      <c r="C86" s="8">
        <v>7.3902999999999998E-11</v>
      </c>
      <c r="D86" s="8">
        <v>2.6338999999999999E-12</v>
      </c>
      <c r="E86" s="1">
        <v>6.1065999999999998E-12</v>
      </c>
      <c r="F86" s="45">
        <f t="shared" si="8"/>
        <v>381.6</v>
      </c>
      <c r="G86" s="8">
        <f t="shared" si="11"/>
        <v>8.264349999999999E-11</v>
      </c>
      <c r="H86" s="1">
        <f t="shared" si="9"/>
        <v>8.0009599999999992E-11</v>
      </c>
      <c r="I86" s="46">
        <f t="shared" si="10"/>
        <v>2.6338999999999999E-12</v>
      </c>
      <c r="N86" s="7"/>
      <c r="S86" s="5"/>
      <c r="T86" s="6"/>
      <c r="U86" s="1"/>
      <c r="V86" s="1"/>
      <c r="X86" s="5"/>
      <c r="Y86" s="5"/>
      <c r="Z86" s="5"/>
      <c r="AA86" s="5"/>
      <c r="AB86" s="5"/>
      <c r="AC86" s="1"/>
      <c r="AD86" s="5"/>
      <c r="AE86" s="5"/>
      <c r="AG86" s="1"/>
      <c r="AH86" s="1"/>
      <c r="AI86" s="1"/>
      <c r="AJ86" s="1"/>
      <c r="AK86" s="1"/>
      <c r="AL86" s="1"/>
      <c r="AM86" s="1"/>
      <c r="AN86" s="5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x14ac:dyDescent="0.3">
      <c r="A87" s="7">
        <v>512.67999999999995</v>
      </c>
      <c r="B87" s="8">
        <v>6.6180999999999994E-11</v>
      </c>
      <c r="C87" s="8">
        <v>6.3902999999999994E-11</v>
      </c>
      <c r="D87" s="8">
        <v>2.2774999999999999E-12</v>
      </c>
      <c r="E87" s="1">
        <v>5.2802999999999996E-12</v>
      </c>
      <c r="F87" s="45">
        <f t="shared" si="8"/>
        <v>512.67999999999995</v>
      </c>
      <c r="G87" s="8">
        <f t="shared" si="11"/>
        <v>7.1460799999999988E-11</v>
      </c>
      <c r="H87" s="1">
        <f t="shared" si="9"/>
        <v>6.9183299999999993E-11</v>
      </c>
      <c r="I87" s="46">
        <f t="shared" si="10"/>
        <v>2.2774999999999999E-12</v>
      </c>
      <c r="N87" s="7"/>
      <c r="S87" s="5"/>
      <c r="T87" s="6"/>
      <c r="U87" s="1"/>
      <c r="V87" s="1"/>
      <c r="X87" s="5"/>
      <c r="Y87" s="5"/>
      <c r="Z87" s="5"/>
      <c r="AA87" s="5"/>
      <c r="AB87" s="5"/>
      <c r="AC87" s="1"/>
      <c r="AD87" s="5"/>
      <c r="AE87" s="5"/>
      <c r="AG87" s="1"/>
      <c r="AH87" s="1"/>
      <c r="AI87" s="1"/>
      <c r="AJ87" s="1"/>
      <c r="AK87" s="1"/>
      <c r="AL87" s="1"/>
      <c r="AM87" s="1"/>
      <c r="AN87" s="5"/>
      <c r="AO87" s="1"/>
      <c r="AP87" s="1"/>
      <c r="AQ87" s="1"/>
      <c r="AR87" s="1"/>
      <c r="AS87" s="1"/>
      <c r="AT87" s="1"/>
      <c r="AU87" s="1"/>
      <c r="AV87" s="1"/>
      <c r="AW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x14ac:dyDescent="0.3">
      <c r="A88" s="7">
        <v>643.75</v>
      </c>
      <c r="B88" s="8">
        <v>5.7137000000000003E-11</v>
      </c>
      <c r="C88" s="8">
        <v>5.5170000000000002E-11</v>
      </c>
      <c r="D88" s="8">
        <v>1.9661999999999998E-12</v>
      </c>
      <c r="E88" s="1">
        <v>4.5588000000000003E-12</v>
      </c>
      <c r="F88" s="45">
        <f t="shared" si="8"/>
        <v>643.75</v>
      </c>
      <c r="G88" s="8">
        <f t="shared" si="11"/>
        <v>6.1695E-11</v>
      </c>
      <c r="H88" s="1">
        <f t="shared" si="9"/>
        <v>5.9728800000000002E-11</v>
      </c>
      <c r="I88" s="46">
        <f t="shared" si="10"/>
        <v>1.9661999999999998E-12</v>
      </c>
      <c r="N88" s="7"/>
      <c r="O88" s="1"/>
      <c r="P88" s="6"/>
      <c r="Q88" s="6"/>
      <c r="R88" s="6"/>
      <c r="S88" s="5"/>
      <c r="T88" s="6"/>
      <c r="U88" s="1"/>
      <c r="V88" s="1"/>
      <c r="X88" s="5"/>
      <c r="Y88" s="5"/>
      <c r="Z88" s="5"/>
      <c r="AA88" s="5"/>
      <c r="AB88" s="5"/>
      <c r="AC88" s="1"/>
      <c r="AD88" s="5"/>
      <c r="AE88" s="5"/>
      <c r="AG88" s="1"/>
      <c r="AH88" s="1"/>
      <c r="AI88" s="1"/>
      <c r="AJ88" s="1"/>
      <c r="AK88" s="1"/>
      <c r="AL88" s="1"/>
      <c r="AM88" s="1"/>
      <c r="AN88" s="5"/>
      <c r="AO88" s="1"/>
      <c r="AP88" s="1"/>
      <c r="AQ88" s="1"/>
      <c r="AR88" s="1"/>
      <c r="AS88" s="1"/>
      <c r="AT88" s="1"/>
      <c r="AU88" s="1"/>
      <c r="AV88" s="1"/>
      <c r="AW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x14ac:dyDescent="0.3">
      <c r="A89" s="7">
        <v>774.82</v>
      </c>
      <c r="B89" s="8">
        <v>4.9298999999999998E-11</v>
      </c>
      <c r="C89" s="8">
        <v>4.7603000000000002E-11</v>
      </c>
      <c r="D89" s="8">
        <v>1.6965000000000001E-12</v>
      </c>
      <c r="E89" s="1">
        <v>3.9334999999999997E-12</v>
      </c>
      <c r="F89" s="45">
        <f t="shared" si="8"/>
        <v>774.82</v>
      </c>
      <c r="G89" s="8">
        <f t="shared" si="11"/>
        <v>5.3233E-11</v>
      </c>
      <c r="H89" s="1">
        <f t="shared" si="9"/>
        <v>5.15365E-11</v>
      </c>
      <c r="I89" s="46">
        <f t="shared" si="10"/>
        <v>1.6965000000000001E-12</v>
      </c>
      <c r="N89" s="7"/>
      <c r="O89" s="1"/>
      <c r="P89" s="6"/>
      <c r="Q89" s="6"/>
      <c r="R89" s="6"/>
      <c r="S89" s="5"/>
      <c r="T89" s="6"/>
      <c r="U89" s="1"/>
      <c r="V89" s="1"/>
      <c r="X89" s="5"/>
      <c r="Y89" s="5"/>
      <c r="Z89" s="5"/>
      <c r="AA89" s="5"/>
      <c r="AB89" s="5"/>
      <c r="AC89" s="1"/>
      <c r="AD89" s="5"/>
      <c r="AE89" s="5"/>
      <c r="AG89" s="1"/>
      <c r="AH89" s="1"/>
      <c r="AI89" s="1"/>
      <c r="AJ89" s="1"/>
      <c r="AK89" s="1"/>
      <c r="AL89" s="1"/>
      <c r="AM89" s="1"/>
      <c r="AN89" s="5"/>
      <c r="AO89" s="1"/>
      <c r="AP89" s="1"/>
      <c r="AQ89" s="1"/>
      <c r="AR89" s="1"/>
      <c r="AS89" s="1"/>
      <c r="AT89" s="1"/>
      <c r="AU89" s="1"/>
      <c r="AV89" s="1"/>
      <c r="AW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x14ac:dyDescent="0.3">
      <c r="A90" s="7">
        <v>1037</v>
      </c>
      <c r="B90" s="8">
        <v>3.6532E-11</v>
      </c>
      <c r="C90" s="8">
        <v>3.5275000000000002E-11</v>
      </c>
      <c r="D90" s="8">
        <v>1.2571999999999999E-12</v>
      </c>
      <c r="E90" s="1">
        <v>2.9148000000000001E-12</v>
      </c>
      <c r="F90" s="45">
        <f t="shared" si="8"/>
        <v>1037</v>
      </c>
      <c r="G90" s="8">
        <f t="shared" si="11"/>
        <v>3.9447000000000003E-11</v>
      </c>
      <c r="H90" s="1">
        <f t="shared" si="9"/>
        <v>3.81898E-11</v>
      </c>
      <c r="I90" s="46">
        <f t="shared" si="10"/>
        <v>1.2571999999999999E-12</v>
      </c>
      <c r="N90" s="7"/>
      <c r="O90" s="1"/>
      <c r="P90" s="6"/>
      <c r="Q90" s="6"/>
      <c r="R90" s="6"/>
      <c r="S90" s="5"/>
      <c r="T90" s="6"/>
      <c r="U90" s="1"/>
      <c r="V90" s="1"/>
      <c r="X90" s="5"/>
      <c r="Y90" s="5"/>
      <c r="Z90" s="5"/>
      <c r="AA90" s="5"/>
      <c r="AB90" s="5"/>
      <c r="AC90" s="1"/>
      <c r="AD90" s="5"/>
      <c r="AE90" s="5"/>
      <c r="AG90" s="1"/>
      <c r="AH90" s="1"/>
      <c r="AI90" s="1"/>
      <c r="AJ90" s="1"/>
      <c r="AK90" s="1"/>
      <c r="AL90" s="1"/>
      <c r="AM90" s="1"/>
      <c r="AN90" s="5"/>
      <c r="AO90" s="1"/>
      <c r="AP90" s="1"/>
      <c r="AQ90" s="1"/>
      <c r="AR90" s="1"/>
      <c r="AS90" s="1"/>
      <c r="AT90" s="1"/>
      <c r="AU90" s="1"/>
      <c r="AV90" s="1"/>
      <c r="AW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x14ac:dyDescent="0.3">
      <c r="A91" s="7">
        <v>1258.9000000000001</v>
      </c>
      <c r="B91" s="8">
        <v>2.8324000000000001E-11</v>
      </c>
      <c r="C91" s="8">
        <v>2.7350000000000001E-11</v>
      </c>
      <c r="D91" s="8">
        <v>9.7473000000000003E-13</v>
      </c>
      <c r="E91" s="1">
        <v>2.2600000000000001E-12</v>
      </c>
      <c r="F91" s="45">
        <f t="shared" si="8"/>
        <v>1258.9000000000001</v>
      </c>
      <c r="G91" s="8">
        <f t="shared" si="11"/>
        <v>3.0584730000000003E-11</v>
      </c>
      <c r="H91" s="1">
        <f t="shared" si="9"/>
        <v>2.9610000000000002E-11</v>
      </c>
      <c r="I91" s="46">
        <f t="shared" si="10"/>
        <v>9.7473000000000003E-13</v>
      </c>
      <c r="N91" s="7"/>
      <c r="O91" s="1"/>
      <c r="P91" s="6"/>
      <c r="Q91" s="6"/>
      <c r="R91" s="6"/>
      <c r="S91" s="5"/>
      <c r="T91" s="6"/>
      <c r="U91" s="1"/>
      <c r="V91" s="1"/>
      <c r="X91" s="5"/>
      <c r="Y91" s="5"/>
      <c r="Z91" s="5"/>
      <c r="AA91" s="5"/>
      <c r="AB91" s="5"/>
      <c r="AC91" s="1"/>
      <c r="AD91" s="5"/>
      <c r="AE91" s="5"/>
      <c r="AG91" s="1"/>
      <c r="AH91" s="1"/>
      <c r="AI91" s="1"/>
      <c r="AJ91" s="1"/>
      <c r="AK91" s="1"/>
      <c r="AL91" s="1"/>
      <c r="AM91" s="1"/>
      <c r="AN91" s="5"/>
      <c r="AO91" s="1"/>
      <c r="AP91" s="1"/>
      <c r="AQ91" s="1"/>
      <c r="AR91" s="1"/>
      <c r="AS91" s="1"/>
      <c r="AT91" s="1"/>
      <c r="AU91" s="1"/>
      <c r="AV91" s="1"/>
      <c r="AW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x14ac:dyDescent="0.3">
      <c r="A92" s="7">
        <v>1480.9</v>
      </c>
      <c r="B92" s="8">
        <v>2.1957000000000001E-11</v>
      </c>
      <c r="C92" s="8">
        <v>2.1201000000000001E-11</v>
      </c>
      <c r="D92" s="8">
        <v>7.5560000000000003E-13</v>
      </c>
      <c r="E92" s="1">
        <v>1.7519E-12</v>
      </c>
      <c r="F92" s="45">
        <f t="shared" si="8"/>
        <v>1480.9</v>
      </c>
      <c r="G92" s="8">
        <f t="shared" si="11"/>
        <v>2.3708499999999998E-11</v>
      </c>
      <c r="H92" s="1">
        <f t="shared" si="9"/>
        <v>2.2952899999999999E-11</v>
      </c>
      <c r="I92" s="46">
        <f t="shared" si="10"/>
        <v>7.5560000000000003E-13</v>
      </c>
      <c r="N92" s="7"/>
      <c r="O92" s="1"/>
      <c r="P92" s="6"/>
      <c r="Q92" s="6"/>
      <c r="R92" s="6"/>
      <c r="S92" s="5"/>
      <c r="T92" s="6"/>
      <c r="U92" s="1"/>
      <c r="V92" s="1"/>
      <c r="X92" s="5"/>
      <c r="Y92" s="5"/>
      <c r="Z92" s="5"/>
      <c r="AA92" s="5"/>
      <c r="AB92" s="5"/>
      <c r="AC92" s="1"/>
      <c r="AD92" s="5"/>
      <c r="AE92" s="5"/>
      <c r="AG92" s="1"/>
      <c r="AH92" s="1"/>
      <c r="AI92" s="1"/>
      <c r="AJ92" s="1"/>
      <c r="AK92" s="1"/>
      <c r="AL92" s="1"/>
      <c r="AM92" s="1"/>
      <c r="AN92" s="5"/>
      <c r="AO92" s="1"/>
      <c r="AP92" s="1"/>
      <c r="AQ92" s="1"/>
      <c r="AR92" s="1"/>
      <c r="AS92" s="1"/>
      <c r="AT92" s="1"/>
      <c r="AU92" s="1"/>
      <c r="AV92" s="1"/>
      <c r="AW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x14ac:dyDescent="0.3">
      <c r="A93" s="7">
        <v>1680.6</v>
      </c>
      <c r="B93" s="8">
        <v>1.7472999999999999E-11</v>
      </c>
      <c r="C93" s="8">
        <v>1.6871000000000001E-11</v>
      </c>
      <c r="D93" s="8">
        <v>6.0128000000000004E-13</v>
      </c>
      <c r="E93" s="1">
        <v>1.3941000000000001E-12</v>
      </c>
      <c r="F93" s="45">
        <f t="shared" si="8"/>
        <v>1680.6</v>
      </c>
      <c r="G93" s="8">
        <f t="shared" si="11"/>
        <v>1.8866379999999999E-11</v>
      </c>
      <c r="H93" s="1">
        <f t="shared" si="9"/>
        <v>1.8265100000000001E-11</v>
      </c>
      <c r="I93" s="46">
        <f t="shared" si="10"/>
        <v>6.0128000000000004E-13</v>
      </c>
      <c r="N93" s="7"/>
      <c r="P93" s="6"/>
      <c r="Q93" s="6"/>
      <c r="R93" s="6"/>
      <c r="S93" s="5"/>
      <c r="T93" s="6"/>
      <c r="U93" s="1"/>
      <c r="V93" s="1"/>
      <c r="X93" s="5"/>
      <c r="Y93" s="5"/>
      <c r="Z93" s="5"/>
      <c r="AA93" s="5"/>
      <c r="AB93" s="5"/>
      <c r="AC93" s="1"/>
      <c r="AD93" s="5"/>
      <c r="AE93" s="5"/>
      <c r="AG93" s="1"/>
      <c r="AH93" s="1"/>
      <c r="AI93" s="1"/>
      <c r="AJ93" s="1"/>
      <c r="AK93" s="1"/>
      <c r="AL93" s="1"/>
      <c r="AM93" s="1"/>
      <c r="AN93" s="5"/>
      <c r="AO93" s="1"/>
      <c r="AP93" s="1"/>
      <c r="AQ93" s="1"/>
      <c r="AR93" s="1"/>
      <c r="AS93" s="1"/>
      <c r="AT93" s="1"/>
      <c r="AU93" s="1"/>
      <c r="AV93" s="1"/>
      <c r="AW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x14ac:dyDescent="0.3">
      <c r="A94" s="7">
        <v>1880.4</v>
      </c>
      <c r="B94" s="8">
        <v>1.3907E-11</v>
      </c>
      <c r="C94" s="8">
        <v>1.3428E-11</v>
      </c>
      <c r="D94" s="8">
        <v>4.7857999999999997E-13</v>
      </c>
      <c r="E94" s="1">
        <v>1.1096E-12</v>
      </c>
      <c r="F94" s="45">
        <f t="shared" si="8"/>
        <v>1880.4</v>
      </c>
      <c r="G94" s="8">
        <f t="shared" si="11"/>
        <v>1.5016179999999999E-11</v>
      </c>
      <c r="H94" s="1">
        <f t="shared" si="9"/>
        <v>1.45376E-11</v>
      </c>
      <c r="I94" s="46">
        <f t="shared" si="10"/>
        <v>4.7857999999999997E-13</v>
      </c>
      <c r="N94" s="7"/>
      <c r="P94" s="6"/>
      <c r="Q94" s="6"/>
      <c r="R94" s="6"/>
      <c r="S94" s="5"/>
      <c r="T94" s="6"/>
      <c r="U94" s="1"/>
      <c r="V94" s="1"/>
      <c r="X94" s="5"/>
      <c r="Y94" s="5"/>
      <c r="Z94" s="5"/>
      <c r="AA94" s="5"/>
      <c r="AB94" s="5"/>
      <c r="AC94" s="1"/>
      <c r="AD94" s="5"/>
      <c r="AE94" s="5"/>
      <c r="AG94" s="1"/>
      <c r="AH94" s="1"/>
      <c r="AI94" s="1"/>
      <c r="AJ94" s="1"/>
      <c r="AK94" s="1"/>
      <c r="AL94" s="1"/>
      <c r="AM94" s="1"/>
      <c r="AN94" s="5"/>
      <c r="AO94" s="1"/>
      <c r="AP94" s="1"/>
      <c r="AQ94" s="1"/>
      <c r="AR94" s="1"/>
      <c r="AS94" s="1"/>
      <c r="AT94" s="1"/>
      <c r="AU94" s="1"/>
      <c r="AV94" s="1"/>
      <c r="AW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x14ac:dyDescent="0.3">
      <c r="A95" s="7">
        <v>2080.1</v>
      </c>
      <c r="B95" s="8">
        <v>1.107E-11</v>
      </c>
      <c r="C95" s="8">
        <v>1.0689E-11</v>
      </c>
      <c r="D95" s="8">
        <v>3.8095000000000001E-13</v>
      </c>
      <c r="E95" s="1">
        <v>8.8325E-13</v>
      </c>
      <c r="F95" s="45">
        <f t="shared" si="8"/>
        <v>2080.1</v>
      </c>
      <c r="G95" s="8">
        <f t="shared" si="11"/>
        <v>1.19532E-11</v>
      </c>
      <c r="H95" s="1">
        <f t="shared" si="9"/>
        <v>1.157225E-11</v>
      </c>
      <c r="I95" s="46">
        <f t="shared" si="10"/>
        <v>3.8095000000000001E-13</v>
      </c>
      <c r="J95" s="8"/>
      <c r="K95" s="1"/>
      <c r="L95" s="1"/>
      <c r="N95" s="7"/>
      <c r="P95" s="6"/>
      <c r="Q95" s="6"/>
      <c r="R95" s="6"/>
      <c r="S95" s="5"/>
      <c r="T95" s="6"/>
      <c r="U95" s="1"/>
      <c r="V95" s="1"/>
      <c r="X95" s="5"/>
      <c r="Y95" s="5"/>
      <c r="Z95" s="5"/>
      <c r="AA95" s="5"/>
      <c r="AB95" s="5"/>
      <c r="AC95" s="1"/>
      <c r="AD95" s="5"/>
      <c r="AE95" s="5"/>
      <c r="AG95" s="1"/>
      <c r="AH95" s="1"/>
      <c r="AI95" s="1"/>
      <c r="AJ95" s="1"/>
      <c r="AK95" s="1"/>
      <c r="AL95" s="1"/>
      <c r="AM95" s="1"/>
      <c r="AN95" s="5"/>
      <c r="AO95" s="1"/>
      <c r="AP95" s="1"/>
      <c r="AQ95" s="1"/>
      <c r="AR95" s="1"/>
      <c r="AS95" s="1"/>
      <c r="AT95" s="1"/>
      <c r="AU95" s="1"/>
      <c r="AV95" s="1"/>
      <c r="AW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x14ac:dyDescent="0.3">
      <c r="A96" s="7">
        <v>2279.9</v>
      </c>
      <c r="B96" s="8">
        <v>8.8118999999999996E-12</v>
      </c>
      <c r="C96" s="8">
        <v>8.5085999999999995E-12</v>
      </c>
      <c r="D96" s="8">
        <v>3.0323999999999998E-13</v>
      </c>
      <c r="E96" s="1">
        <v>7.0308999999999999E-13</v>
      </c>
      <c r="F96" s="45">
        <f t="shared" si="8"/>
        <v>2279.9</v>
      </c>
      <c r="G96" s="8">
        <f t="shared" si="11"/>
        <v>9.5149299999999989E-12</v>
      </c>
      <c r="H96" s="1">
        <f t="shared" si="9"/>
        <v>9.2116899999999995E-12</v>
      </c>
      <c r="I96" s="46">
        <f t="shared" si="10"/>
        <v>3.0323999999999998E-13</v>
      </c>
      <c r="J96" s="8"/>
      <c r="K96" s="1"/>
      <c r="L96" s="1"/>
      <c r="N96" s="7"/>
      <c r="P96" s="6"/>
      <c r="Q96" s="6"/>
      <c r="R96" s="6"/>
      <c r="S96" s="5"/>
      <c r="T96" s="6"/>
      <c r="U96" s="1"/>
      <c r="V96" s="1"/>
      <c r="X96" s="5"/>
      <c r="Y96" s="5"/>
      <c r="Z96" s="5"/>
      <c r="AA96" s="5"/>
      <c r="AB96" s="5"/>
      <c r="AC96" s="1"/>
      <c r="AD96" s="5"/>
      <c r="AE96" s="5"/>
      <c r="AG96" s="1"/>
      <c r="AH96" s="1"/>
      <c r="AI96" s="1"/>
      <c r="AJ96" s="1"/>
      <c r="AK96" s="1"/>
      <c r="AL96" s="1"/>
      <c r="AM96" s="1"/>
      <c r="AN96" s="5"/>
      <c r="AO96" s="1"/>
      <c r="AP96" s="1"/>
      <c r="AQ96" s="1"/>
      <c r="AR96" s="1"/>
      <c r="AS96" s="1"/>
      <c r="AT96" s="1"/>
      <c r="AU96" s="1"/>
      <c r="AV96" s="1"/>
      <c r="AW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x14ac:dyDescent="0.3">
      <c r="A97" s="7">
        <v>2479.6999999999998</v>
      </c>
      <c r="B97" s="8">
        <v>7.0145999999999996E-12</v>
      </c>
      <c r="C97" s="8">
        <v>6.7732000000000003E-12</v>
      </c>
      <c r="D97" s="8">
        <v>2.4138999999999999E-13</v>
      </c>
      <c r="E97" s="1">
        <v>5.5967999999999999E-13</v>
      </c>
      <c r="F97" s="45">
        <f t="shared" si="8"/>
        <v>2479.6999999999998</v>
      </c>
      <c r="G97" s="8">
        <f t="shared" si="11"/>
        <v>7.5742700000000006E-12</v>
      </c>
      <c r="H97" s="1">
        <f t="shared" si="9"/>
        <v>7.3328800000000006E-12</v>
      </c>
      <c r="I97" s="46">
        <f t="shared" si="10"/>
        <v>2.4138999999999999E-13</v>
      </c>
      <c r="J97" s="8"/>
      <c r="K97" s="1"/>
      <c r="L97" s="1"/>
      <c r="N97" s="7"/>
      <c r="P97" s="6"/>
      <c r="Q97" s="6"/>
      <c r="R97" s="6"/>
      <c r="S97" s="5"/>
      <c r="T97" s="6"/>
      <c r="U97" s="1"/>
      <c r="V97" s="1"/>
      <c r="X97" s="5"/>
      <c r="Y97" s="5"/>
      <c r="Z97" s="5"/>
      <c r="AA97" s="5"/>
      <c r="AB97" s="5"/>
      <c r="AC97" s="1"/>
      <c r="AD97" s="5"/>
      <c r="AE97" s="5"/>
      <c r="AG97" s="1"/>
      <c r="AH97" s="1"/>
      <c r="AI97" s="1"/>
      <c r="AJ97" s="1"/>
      <c r="AK97" s="1"/>
      <c r="AL97" s="1"/>
      <c r="AM97" s="1"/>
      <c r="AN97" s="5"/>
      <c r="AO97" s="1"/>
      <c r="AP97" s="1"/>
      <c r="AQ97" s="1"/>
      <c r="AR97" s="1"/>
      <c r="AS97" s="1"/>
      <c r="AT97" s="1"/>
      <c r="AU97" s="1"/>
      <c r="AV97" s="1"/>
      <c r="AW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x14ac:dyDescent="0.3">
      <c r="A98" s="7">
        <v>2679.4</v>
      </c>
      <c r="B98" s="8">
        <v>5.5839000000000001E-12</v>
      </c>
      <c r="C98" s="8">
        <v>5.3917000000000001E-12</v>
      </c>
      <c r="D98" s="8">
        <v>1.9216000000000001E-13</v>
      </c>
      <c r="E98" s="1">
        <v>4.4553000000000002E-13</v>
      </c>
      <c r="F98" s="45">
        <f t="shared" si="8"/>
        <v>2679.4</v>
      </c>
      <c r="G98" s="8">
        <f t="shared" si="11"/>
        <v>6.02939E-12</v>
      </c>
      <c r="H98" s="1">
        <f t="shared" si="9"/>
        <v>5.8372299999999998E-12</v>
      </c>
      <c r="I98" s="46">
        <f t="shared" si="10"/>
        <v>1.9216000000000001E-13</v>
      </c>
      <c r="J98" s="8"/>
      <c r="K98" s="1"/>
      <c r="L98" s="1"/>
      <c r="N98" s="7"/>
      <c r="P98" s="6"/>
      <c r="Q98" s="6"/>
      <c r="R98" s="6"/>
      <c r="S98" s="5"/>
      <c r="T98" s="6"/>
      <c r="U98" s="1"/>
      <c r="V98" s="1"/>
      <c r="X98" s="5"/>
      <c r="Y98" s="5"/>
      <c r="Z98" s="5"/>
      <c r="AA98" s="5"/>
      <c r="AB98" s="5"/>
      <c r="AC98" s="1"/>
      <c r="AD98" s="5"/>
      <c r="AE98" s="5"/>
      <c r="AG98" s="1"/>
      <c r="AH98" s="1"/>
      <c r="AI98" s="1"/>
      <c r="AJ98" s="1"/>
      <c r="AK98" s="1"/>
      <c r="AL98" s="1"/>
      <c r="AM98" s="1"/>
      <c r="AN98" s="5"/>
      <c r="AO98" s="1"/>
      <c r="AP98" s="1"/>
      <c r="AQ98" s="1"/>
      <c r="AR98" s="1"/>
      <c r="AS98" s="1"/>
      <c r="AT98" s="1"/>
      <c r="AU98" s="1"/>
      <c r="AV98" s="1"/>
      <c r="AW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x14ac:dyDescent="0.3">
      <c r="A99" s="7">
        <v>2879.2</v>
      </c>
      <c r="B99" s="8">
        <v>4.4449999999999997E-12</v>
      </c>
      <c r="C99" s="8">
        <v>4.2919999999999999E-12</v>
      </c>
      <c r="D99" s="8">
        <v>1.5297E-13</v>
      </c>
      <c r="E99" s="1">
        <v>3.5465999999999998E-13</v>
      </c>
      <c r="F99" s="45">
        <f t="shared" si="8"/>
        <v>2879.2</v>
      </c>
      <c r="G99" s="8">
        <f t="shared" si="11"/>
        <v>4.7996300000000002E-12</v>
      </c>
      <c r="H99" s="1">
        <f t="shared" si="9"/>
        <v>4.6466599999999999E-12</v>
      </c>
      <c r="I99" s="46">
        <f t="shared" si="10"/>
        <v>1.5297E-13</v>
      </c>
      <c r="J99" s="8"/>
      <c r="K99" s="1"/>
      <c r="L99" s="1"/>
      <c r="N99" s="7"/>
      <c r="P99" s="6"/>
      <c r="Q99" s="6"/>
      <c r="R99" s="6"/>
      <c r="S99" s="5"/>
      <c r="T99" s="6"/>
      <c r="U99" s="1"/>
      <c r="V99" s="1"/>
      <c r="X99" s="5"/>
      <c r="Y99" s="5"/>
      <c r="Z99" s="5"/>
      <c r="AA99" s="5"/>
      <c r="AB99" s="5"/>
      <c r="AC99" s="1"/>
      <c r="AD99" s="5"/>
      <c r="AE99" s="5"/>
      <c r="AG99" s="1"/>
      <c r="AH99" s="1"/>
      <c r="AI99" s="1"/>
      <c r="AJ99" s="1"/>
      <c r="AK99" s="1"/>
      <c r="AL99" s="1"/>
      <c r="AM99" s="1"/>
      <c r="AN99" s="5"/>
      <c r="AO99" s="1"/>
      <c r="AP99" s="1"/>
      <c r="AQ99" s="1"/>
      <c r="AR99" s="1"/>
      <c r="AS99" s="1"/>
      <c r="AT99" s="1"/>
      <c r="AU99" s="1"/>
      <c r="AV99" s="1"/>
      <c r="AW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x14ac:dyDescent="0.3">
      <c r="A100" s="7">
        <v>3078.9</v>
      </c>
      <c r="B100" s="8">
        <v>3.5383999999999999E-12</v>
      </c>
      <c r="C100" s="8">
        <v>3.4165999999999998E-12</v>
      </c>
      <c r="D100" s="8">
        <v>1.2177E-13</v>
      </c>
      <c r="E100" s="1">
        <v>2.8233000000000002E-13</v>
      </c>
      <c r="F100" s="45">
        <f t="shared" si="8"/>
        <v>3078.9</v>
      </c>
      <c r="G100" s="8">
        <f t="shared" si="11"/>
        <v>3.8206999999999997E-12</v>
      </c>
      <c r="H100" s="1">
        <f t="shared" si="9"/>
        <v>3.6989299999999995E-12</v>
      </c>
      <c r="I100" s="46">
        <f t="shared" si="10"/>
        <v>1.2177E-13</v>
      </c>
      <c r="J100" s="8"/>
      <c r="K100" s="1"/>
      <c r="L100" s="1"/>
      <c r="N100" s="7"/>
      <c r="P100" s="6"/>
      <c r="Q100" s="6"/>
      <c r="R100" s="6"/>
      <c r="S100" s="5"/>
      <c r="T100" s="6"/>
      <c r="U100" s="1"/>
      <c r="V100" s="1"/>
      <c r="X100" s="5"/>
      <c r="Y100" s="5"/>
      <c r="Z100" s="5"/>
      <c r="AA100" s="5"/>
      <c r="AB100" s="5"/>
      <c r="AC100" s="1"/>
      <c r="AD100" s="5"/>
      <c r="AE100" s="5"/>
      <c r="AG100" s="1"/>
      <c r="AH100" s="1"/>
      <c r="AI100" s="1"/>
      <c r="AJ100" s="1"/>
      <c r="AK100" s="1"/>
      <c r="AL100" s="1"/>
      <c r="AM100" s="1"/>
      <c r="AN100" s="5"/>
      <c r="AO100" s="1"/>
      <c r="AP100" s="1"/>
      <c r="AQ100" s="1"/>
      <c r="AR100" s="1"/>
      <c r="AS100" s="1"/>
      <c r="AT100" s="1"/>
      <c r="AU100" s="1"/>
      <c r="AV100" s="1"/>
      <c r="AW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x14ac:dyDescent="0.3">
      <c r="A101" s="7">
        <v>3278.7</v>
      </c>
      <c r="B101" s="8">
        <v>2.8166999999999999E-12</v>
      </c>
      <c r="C101" s="8">
        <v>2.7198000000000002E-12</v>
      </c>
      <c r="D101" s="8">
        <v>9.6932000000000003E-14</v>
      </c>
      <c r="E101" s="1">
        <v>2.2474000000000001E-13</v>
      </c>
      <c r="F101" s="45">
        <f t="shared" si="8"/>
        <v>3278.7</v>
      </c>
      <c r="G101" s="8">
        <f t="shared" si="11"/>
        <v>3.0414720000000003E-12</v>
      </c>
      <c r="H101" s="1">
        <f t="shared" si="9"/>
        <v>2.9445400000000003E-12</v>
      </c>
      <c r="I101" s="46">
        <f t="shared" si="10"/>
        <v>9.6932000000000003E-14</v>
      </c>
      <c r="J101" s="8"/>
      <c r="K101" s="1"/>
      <c r="L101" s="1"/>
      <c r="N101" s="7"/>
      <c r="P101" s="6"/>
      <c r="Q101" s="6"/>
      <c r="R101" s="6"/>
      <c r="S101" s="5"/>
      <c r="T101" s="6"/>
      <c r="U101" s="1"/>
      <c r="V101" s="1"/>
      <c r="X101" s="5"/>
      <c r="Y101" s="5"/>
      <c r="Z101" s="5"/>
      <c r="AA101" s="5"/>
      <c r="AB101" s="5"/>
      <c r="AC101" s="1"/>
      <c r="AD101" s="5"/>
      <c r="AE101" s="5"/>
      <c r="AG101" s="1"/>
      <c r="AH101" s="1"/>
      <c r="AI101" s="1"/>
      <c r="AJ101" s="1"/>
      <c r="AK101" s="1"/>
      <c r="AL101" s="1"/>
      <c r="AM101" s="1"/>
      <c r="AN101" s="5"/>
      <c r="AO101" s="1"/>
      <c r="AP101" s="1"/>
      <c r="AQ101" s="1"/>
      <c r="AR101" s="1"/>
      <c r="AS101" s="1"/>
      <c r="AT101" s="1"/>
      <c r="AU101" s="1"/>
      <c r="AV101" s="1"/>
      <c r="AW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x14ac:dyDescent="0.3">
      <c r="A102" s="7">
        <v>3478.4</v>
      </c>
      <c r="B102" s="8">
        <v>2.2421999999999999E-12</v>
      </c>
      <c r="C102" s="8">
        <v>2.1651000000000001E-12</v>
      </c>
      <c r="D102" s="8">
        <v>7.7162000000000002E-14</v>
      </c>
      <c r="E102" s="1">
        <v>1.7890999999999999E-13</v>
      </c>
      <c r="F102" s="45">
        <f t="shared" si="8"/>
        <v>3478.4</v>
      </c>
      <c r="G102" s="8">
        <f t="shared" si="11"/>
        <v>2.4211720000000002E-12</v>
      </c>
      <c r="H102" s="1">
        <f t="shared" si="9"/>
        <v>2.3440100000000002E-12</v>
      </c>
      <c r="I102" s="46">
        <f t="shared" si="10"/>
        <v>7.7162000000000002E-14</v>
      </c>
      <c r="J102" s="8"/>
      <c r="K102" s="1"/>
      <c r="L102" s="1"/>
      <c r="N102" s="7"/>
      <c r="P102" s="6"/>
      <c r="Q102" s="6"/>
      <c r="R102" s="6"/>
      <c r="S102" s="5"/>
      <c r="T102" s="6"/>
      <c r="U102" s="1"/>
      <c r="V102" s="1"/>
      <c r="X102" s="5"/>
      <c r="Y102" s="5"/>
      <c r="Z102" s="5"/>
      <c r="AA102" s="5"/>
      <c r="AB102" s="5"/>
      <c r="AC102" s="1"/>
      <c r="AD102" s="5"/>
      <c r="AE102" s="5"/>
      <c r="AG102" s="1"/>
      <c r="AH102" s="1"/>
      <c r="AI102" s="1"/>
      <c r="AJ102" s="1"/>
      <c r="AK102" s="1"/>
      <c r="AL102" s="1"/>
      <c r="AM102" s="1"/>
      <c r="AN102" s="5"/>
      <c r="AO102" s="1"/>
      <c r="AP102" s="1"/>
      <c r="AQ102" s="1"/>
      <c r="AR102" s="1"/>
      <c r="AS102" s="1"/>
      <c r="AT102" s="1"/>
      <c r="AU102" s="1"/>
      <c r="AV102" s="1"/>
      <c r="AW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x14ac:dyDescent="0.3">
      <c r="A103" s="7">
        <v>3678.2</v>
      </c>
      <c r="B103" s="8">
        <v>1.7849E-12</v>
      </c>
      <c r="C103" s="8">
        <v>1.7235000000000001E-12</v>
      </c>
      <c r="D103" s="8">
        <v>6.1424000000000004E-14</v>
      </c>
      <c r="E103" s="1">
        <v>1.4241999999999999E-13</v>
      </c>
      <c r="F103" s="45">
        <f t="shared" si="8"/>
        <v>3678.2</v>
      </c>
      <c r="G103" s="8">
        <f t="shared" si="11"/>
        <v>1.927344E-12</v>
      </c>
      <c r="H103" s="1">
        <f t="shared" si="9"/>
        <v>1.8659200000000002E-12</v>
      </c>
      <c r="I103" s="46">
        <f t="shared" si="10"/>
        <v>6.1424000000000004E-14</v>
      </c>
      <c r="J103" s="8"/>
      <c r="K103" s="1"/>
      <c r="L103" s="1"/>
      <c r="N103" s="7"/>
      <c r="P103" s="6"/>
      <c r="Q103" s="6"/>
      <c r="R103" s="6"/>
      <c r="S103" s="5"/>
      <c r="T103" s="6"/>
      <c r="U103" s="1"/>
      <c r="V103" s="1"/>
      <c r="X103" s="5"/>
      <c r="Y103" s="5"/>
      <c r="Z103" s="5"/>
      <c r="AA103" s="5"/>
      <c r="AB103" s="5"/>
      <c r="AC103" s="1"/>
      <c r="AD103" s="5"/>
      <c r="AE103" s="5"/>
      <c r="AG103" s="1"/>
      <c r="AH103" s="1"/>
      <c r="AI103" s="1"/>
      <c r="AJ103" s="1"/>
      <c r="AK103" s="1"/>
      <c r="AL103" s="1"/>
      <c r="AM103" s="1"/>
      <c r="AN103" s="5"/>
      <c r="AO103" s="1"/>
      <c r="AP103" s="1"/>
      <c r="AQ103" s="1"/>
      <c r="AR103" s="1"/>
      <c r="AS103" s="1"/>
      <c r="AT103" s="1"/>
      <c r="AU103" s="1"/>
      <c r="AV103" s="1"/>
      <c r="AW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x14ac:dyDescent="0.3">
      <c r="A104" s="7">
        <v>3878</v>
      </c>
      <c r="B104" s="8">
        <v>1.4208999999999999E-12</v>
      </c>
      <c r="C104" s="8">
        <v>1.372E-12</v>
      </c>
      <c r="D104" s="8">
        <v>4.8895999999999999E-14</v>
      </c>
      <c r="E104" s="1">
        <v>1.1337E-13</v>
      </c>
      <c r="F104" s="45">
        <f t="shared" si="8"/>
        <v>3878</v>
      </c>
      <c r="G104" s="8">
        <f t="shared" si="11"/>
        <v>1.534266E-12</v>
      </c>
      <c r="H104" s="1">
        <f t="shared" si="9"/>
        <v>1.48537E-12</v>
      </c>
      <c r="I104" s="46">
        <f t="shared" si="10"/>
        <v>4.8895999999999999E-14</v>
      </c>
      <c r="J104" s="8"/>
      <c r="K104" s="1"/>
      <c r="L104" s="1"/>
      <c r="N104" s="7"/>
      <c r="P104" s="6"/>
      <c r="Q104" s="6"/>
      <c r="R104" s="6"/>
      <c r="S104" s="5"/>
      <c r="T104" s="6"/>
      <c r="U104" s="1"/>
      <c r="V104" s="1"/>
      <c r="X104" s="5"/>
      <c r="Y104" s="5"/>
      <c r="Z104" s="5"/>
      <c r="AA104" s="5"/>
      <c r="AB104" s="5"/>
      <c r="AC104" s="1"/>
      <c r="AD104" s="5"/>
      <c r="AE104" s="5"/>
      <c r="AG104" s="1"/>
      <c r="AH104" s="1"/>
      <c r="AI104" s="1"/>
      <c r="AJ104" s="1"/>
      <c r="AK104" s="1"/>
      <c r="AL104" s="1"/>
      <c r="AM104" s="1"/>
      <c r="AN104" s="5"/>
      <c r="AO104" s="1"/>
      <c r="AP104" s="1"/>
      <c r="AQ104" s="1"/>
      <c r="AR104" s="1"/>
      <c r="AS104" s="1"/>
      <c r="AT104" s="1"/>
      <c r="AU104" s="1"/>
      <c r="AV104" s="1"/>
      <c r="AW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7.25" thickBot="1" x14ac:dyDescent="0.35">
      <c r="A105" s="7">
        <v>4077.7</v>
      </c>
      <c r="B105" s="8">
        <v>1.1311000000000001E-12</v>
      </c>
      <c r="C105" s="8">
        <v>1.0921E-12</v>
      </c>
      <c r="D105" s="8">
        <v>3.8923999999999999E-14</v>
      </c>
      <c r="E105" s="1">
        <v>9.0247000000000004E-14</v>
      </c>
      <c r="F105" s="47">
        <f t="shared" si="8"/>
        <v>4077.7</v>
      </c>
      <c r="G105" s="48">
        <f t="shared" si="11"/>
        <v>1.2212710000000001E-12</v>
      </c>
      <c r="H105" s="49">
        <f t="shared" si="9"/>
        <v>1.182347E-12</v>
      </c>
      <c r="I105" s="50">
        <f t="shared" si="10"/>
        <v>3.8923999999999999E-14</v>
      </c>
      <c r="J105" s="8"/>
      <c r="K105" s="1"/>
      <c r="L105" s="1"/>
      <c r="N105" s="7"/>
      <c r="P105" s="6"/>
      <c r="Q105" s="6"/>
      <c r="R105" s="6"/>
      <c r="S105" s="5"/>
      <c r="T105" s="6"/>
      <c r="U105" s="1"/>
      <c r="V105" s="1"/>
      <c r="X105" s="5"/>
      <c r="Y105" s="5"/>
      <c r="Z105" s="5"/>
      <c r="AA105" s="5"/>
      <c r="AB105" s="5"/>
      <c r="AC105" s="1"/>
      <c r="AD105" s="5"/>
      <c r="AE105" s="5"/>
      <c r="AG105" s="1"/>
      <c r="AH105" s="1"/>
      <c r="AI105" s="1"/>
      <c r="AJ105" s="1"/>
      <c r="AK105" s="1"/>
      <c r="AL105" s="1"/>
      <c r="AM105" s="1"/>
      <c r="AN105" s="5"/>
      <c r="AO105" s="1"/>
      <c r="AP105" s="1"/>
      <c r="AQ105" s="1"/>
      <c r="AR105" s="1"/>
      <c r="AS105" s="1"/>
      <c r="AT105" s="1"/>
      <c r="AU105" s="1"/>
      <c r="AV105" s="1"/>
      <c r="AW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7.25" thickBot="1" x14ac:dyDescent="0.35">
      <c r="A106">
        <v>4277.5</v>
      </c>
      <c r="B106" s="8">
        <v>9.0038000000000005E-13</v>
      </c>
      <c r="C106" s="8">
        <v>8.6940000000000001E-13</v>
      </c>
      <c r="D106" s="8">
        <v>3.0985E-14</v>
      </c>
      <c r="E106" s="8">
        <v>7.1840999999999997E-14</v>
      </c>
      <c r="F106" s="47">
        <f t="shared" ref="F106" si="12">A106</f>
        <v>4277.5</v>
      </c>
      <c r="G106" s="48">
        <f t="shared" si="11"/>
        <v>9.722259999999999E-13</v>
      </c>
      <c r="H106" s="49">
        <f t="shared" ref="H106" si="13">C106+E106</f>
        <v>9.4124099999999991E-13</v>
      </c>
      <c r="I106" s="50">
        <f t="shared" ref="I106" si="14">D106</f>
        <v>3.0985E-14</v>
      </c>
      <c r="J106" s="8"/>
      <c r="K106" s="1"/>
      <c r="L106" s="1"/>
      <c r="N106" s="7"/>
      <c r="P106" s="6"/>
      <c r="Q106" s="6"/>
      <c r="R106" s="6"/>
      <c r="S106" s="5"/>
      <c r="T106" s="6"/>
      <c r="U106" s="1"/>
      <c r="V106" s="1"/>
      <c r="X106" s="5"/>
      <c r="Y106" s="5"/>
      <c r="Z106" s="5"/>
      <c r="AA106" s="5"/>
      <c r="AB106" s="5"/>
      <c r="AC106" s="1"/>
      <c r="AD106" s="5"/>
      <c r="AE106" s="5"/>
      <c r="AG106" s="1"/>
      <c r="AH106" s="1"/>
      <c r="AI106" s="1"/>
      <c r="AJ106" s="1"/>
      <c r="AK106" s="1"/>
      <c r="AL106" s="1"/>
      <c r="AM106" s="1"/>
      <c r="AN106" s="5"/>
      <c r="AO106" s="1"/>
      <c r="AP106" s="1"/>
      <c r="AQ106" s="1"/>
      <c r="AR106" s="1"/>
      <c r="AS106" s="1"/>
      <c r="AT106" s="1"/>
      <c r="AU106" s="1"/>
      <c r="AV106" s="1"/>
      <c r="AW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7.25" thickBot="1" x14ac:dyDescent="0.35">
      <c r="A107">
        <v>4320</v>
      </c>
      <c r="B107" s="8">
        <v>8.5733999999999996E-13</v>
      </c>
      <c r="C107" s="8">
        <v>8.2784000000000003E-13</v>
      </c>
      <c r="D107" s="8">
        <v>2.9504E-14</v>
      </c>
      <c r="E107" s="8">
        <v>6.8405999999999996E-14</v>
      </c>
      <c r="F107" s="47">
        <f t="shared" ref="F107" si="15">A107</f>
        <v>4320</v>
      </c>
      <c r="G107" s="48">
        <f t="shared" ref="G107" si="16">H107+I107</f>
        <v>9.2574999999999997E-13</v>
      </c>
      <c r="H107" s="49">
        <f t="shared" ref="H107" si="17">C107+E107</f>
        <v>8.9624600000000006E-13</v>
      </c>
      <c r="I107" s="50">
        <f t="shared" ref="I107" si="18">D107</f>
        <v>2.9504E-14</v>
      </c>
      <c r="J107" s="8"/>
      <c r="K107" s="1"/>
      <c r="L107" s="1"/>
      <c r="N107" s="7"/>
      <c r="P107" s="6"/>
      <c r="Q107" s="6"/>
      <c r="R107" s="6"/>
      <c r="S107" s="5"/>
      <c r="T107" s="6"/>
      <c r="U107" s="1"/>
      <c r="V107" s="1"/>
      <c r="X107" s="5"/>
      <c r="Y107" s="5"/>
      <c r="Z107" s="5"/>
      <c r="AA107" s="5"/>
      <c r="AB107" s="5"/>
      <c r="AC107" s="1"/>
      <c r="AD107" s="5"/>
      <c r="AE107" s="5"/>
      <c r="AG107" s="1"/>
      <c r="AH107" s="1"/>
      <c r="AI107" s="1"/>
      <c r="AJ107" s="1"/>
      <c r="AK107" s="1"/>
      <c r="AL107" s="1"/>
      <c r="AM107" s="1"/>
      <c r="AN107" s="5"/>
      <c r="AO107" s="1"/>
      <c r="AP107" s="1"/>
      <c r="AQ107" s="1"/>
      <c r="AR107" s="1"/>
      <c r="AS107" s="1"/>
      <c r="AT107" s="1"/>
      <c r="AU107" s="1"/>
      <c r="AV107" s="1"/>
      <c r="AW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7.25" thickBot="1" x14ac:dyDescent="0.35">
      <c r="B108" s="8"/>
      <c r="C108" s="8"/>
      <c r="D108" s="8"/>
      <c r="E108" s="8"/>
      <c r="F108" s="47"/>
      <c r="G108" s="48"/>
      <c r="H108" s="49"/>
      <c r="I108" s="50"/>
      <c r="J108" s="8"/>
      <c r="K108" s="1"/>
      <c r="L108" s="1"/>
      <c r="N108" s="7"/>
      <c r="P108" s="6"/>
      <c r="Q108" s="6"/>
      <c r="R108" s="6"/>
      <c r="S108" s="5"/>
      <c r="T108" s="6"/>
      <c r="U108" s="1"/>
      <c r="V108" s="1"/>
      <c r="X108" s="5"/>
      <c r="Y108" s="5"/>
      <c r="Z108" s="5"/>
      <c r="AA108" s="5"/>
      <c r="AB108" s="5"/>
      <c r="AC108" s="1"/>
      <c r="AD108" s="5"/>
      <c r="AE108" s="5"/>
      <c r="AG108" s="1"/>
      <c r="AH108" s="1"/>
      <c r="AI108" s="1"/>
      <c r="AJ108" s="1"/>
      <c r="AK108" s="1"/>
      <c r="AL108" s="1"/>
      <c r="AM108" s="1"/>
      <c r="AN108" s="5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7.25" thickBot="1" x14ac:dyDescent="0.35">
      <c r="B109" s="8"/>
      <c r="C109" s="8"/>
      <c r="D109" s="8"/>
      <c r="E109" s="8"/>
      <c r="F109" s="47"/>
      <c r="G109" s="48"/>
      <c r="H109" s="49"/>
      <c r="I109" s="50"/>
      <c r="J109" s="8"/>
      <c r="K109" s="1"/>
      <c r="L109" s="1"/>
      <c r="N109" s="7"/>
      <c r="P109" s="6"/>
      <c r="Q109" s="6"/>
      <c r="R109" s="6"/>
      <c r="S109" s="5"/>
      <c r="T109" s="6"/>
      <c r="U109" s="1"/>
      <c r="V109" s="1"/>
      <c r="X109" s="5"/>
      <c r="Y109" s="5"/>
      <c r="Z109" s="5"/>
      <c r="AA109" s="5"/>
      <c r="AB109" s="5"/>
      <c r="AC109" s="1"/>
      <c r="AD109" s="5"/>
      <c r="AE109" s="5"/>
      <c r="AG109" s="1"/>
      <c r="AH109" s="1"/>
      <c r="AI109" s="1"/>
      <c r="AJ109" s="1"/>
      <c r="AK109" s="1"/>
      <c r="AL109" s="1"/>
      <c r="AM109" s="1"/>
      <c r="AN109" s="5"/>
      <c r="AO109" s="1"/>
      <c r="AP109" s="1"/>
      <c r="AQ109" s="1"/>
      <c r="AR109" s="1"/>
      <c r="AS109" s="1"/>
      <c r="AT109" s="1"/>
      <c r="AU109" s="1"/>
      <c r="AV109" s="1"/>
      <c r="AW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7.25" thickBot="1" x14ac:dyDescent="0.35">
      <c r="B110" s="8"/>
      <c r="C110" s="8"/>
      <c r="D110" s="8"/>
      <c r="E110" s="8"/>
      <c r="F110" s="47"/>
      <c r="G110" s="48"/>
      <c r="H110" s="49"/>
      <c r="I110" s="50"/>
      <c r="J110" s="8"/>
      <c r="K110" s="1"/>
      <c r="L110" s="1"/>
      <c r="N110" s="7"/>
      <c r="P110" s="6"/>
      <c r="Q110" s="6"/>
      <c r="R110" s="6"/>
      <c r="S110" s="5"/>
      <c r="T110" s="6"/>
      <c r="U110" s="1"/>
      <c r="V110" s="1"/>
      <c r="X110" s="5"/>
      <c r="Y110" s="5"/>
      <c r="Z110" s="5"/>
      <c r="AA110" s="5"/>
      <c r="AB110" s="5"/>
      <c r="AC110" s="1"/>
      <c r="AD110" s="5"/>
      <c r="AE110" s="5"/>
      <c r="AG110" s="1"/>
      <c r="AH110" s="1"/>
      <c r="AI110" s="1"/>
      <c r="AJ110" s="1"/>
      <c r="AK110" s="1"/>
      <c r="AL110" s="1"/>
      <c r="AM110" s="1"/>
      <c r="AN110" s="5"/>
      <c r="AO110" s="1"/>
      <c r="AP110" s="1"/>
      <c r="AQ110" s="1"/>
      <c r="AR110" s="1"/>
      <c r="AS110" s="1"/>
      <c r="AT110" s="1"/>
      <c r="AU110" s="1"/>
      <c r="AV110" s="1"/>
      <c r="AW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7.25" thickBot="1" x14ac:dyDescent="0.35">
      <c r="B111" s="8"/>
      <c r="C111" s="8"/>
      <c r="D111" s="8"/>
      <c r="E111" s="8"/>
      <c r="F111" s="47"/>
      <c r="G111" s="48"/>
      <c r="H111" s="49"/>
      <c r="I111" s="50"/>
      <c r="J111" s="8"/>
      <c r="K111" s="1"/>
      <c r="L111" s="1"/>
      <c r="N111" s="7"/>
      <c r="P111" s="6"/>
      <c r="Q111" s="6"/>
      <c r="R111" s="6"/>
      <c r="S111" s="5"/>
      <c r="T111" s="6"/>
      <c r="U111" s="1"/>
      <c r="V111" s="1"/>
      <c r="X111" s="5"/>
      <c r="Y111" s="5"/>
      <c r="Z111" s="5"/>
      <c r="AA111" s="5"/>
      <c r="AB111" s="5"/>
      <c r="AC111" s="1"/>
      <c r="AD111" s="5"/>
      <c r="AE111" s="5"/>
      <c r="AG111" s="1"/>
      <c r="AH111" s="1"/>
      <c r="AI111" s="1"/>
      <c r="AJ111" s="1"/>
      <c r="AK111" s="1"/>
      <c r="AL111" s="1"/>
      <c r="AM111" s="1"/>
      <c r="AN111" s="5"/>
      <c r="AO111" s="1"/>
      <c r="AP111" s="1"/>
      <c r="AQ111" s="1"/>
      <c r="AR111" s="1"/>
      <c r="AS111" s="1"/>
      <c r="AT111" s="1"/>
      <c r="AU111" s="1"/>
      <c r="AV111" s="1"/>
      <c r="AW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7.25" thickBot="1" x14ac:dyDescent="0.35">
      <c r="B112" s="8"/>
      <c r="C112" s="8"/>
      <c r="D112" s="8"/>
      <c r="E112" s="8"/>
      <c r="F112" s="47"/>
      <c r="G112" s="48"/>
      <c r="H112" s="49"/>
      <c r="I112" s="50"/>
      <c r="J112" s="8"/>
      <c r="K112" s="1"/>
      <c r="L112" s="1"/>
      <c r="N112" s="7"/>
      <c r="P112" s="6"/>
      <c r="Q112" s="6"/>
      <c r="R112" s="6"/>
      <c r="S112" s="5"/>
      <c r="T112" s="6"/>
      <c r="U112" s="1"/>
      <c r="V112" s="1"/>
      <c r="X112" s="5"/>
      <c r="Y112" s="5"/>
      <c r="Z112" s="5"/>
      <c r="AA112" s="5"/>
      <c r="AB112" s="5"/>
      <c r="AC112" s="1"/>
      <c r="AD112" s="5"/>
      <c r="AE112" s="5"/>
      <c r="AG112" s="1"/>
      <c r="AH112" s="1"/>
      <c r="AI112" s="1"/>
      <c r="AJ112" s="1"/>
      <c r="AK112" s="1"/>
      <c r="AL112" s="1"/>
      <c r="AM112" s="1"/>
      <c r="AN112" s="5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2:65" ht="17.25" thickBot="1" x14ac:dyDescent="0.35">
      <c r="B113" s="8"/>
      <c r="C113" s="8"/>
      <c r="D113" s="8"/>
      <c r="E113" s="8"/>
      <c r="F113" s="47"/>
      <c r="G113" s="48"/>
      <c r="H113" s="49"/>
      <c r="I113" s="50"/>
      <c r="J113" s="8"/>
      <c r="K113" s="1"/>
      <c r="L113" s="1"/>
      <c r="N113" s="7"/>
      <c r="P113" s="6"/>
      <c r="Q113" s="6"/>
      <c r="R113" s="6"/>
      <c r="S113" s="5"/>
      <c r="T113" s="6"/>
      <c r="U113" s="1"/>
      <c r="V113" s="1"/>
      <c r="X113" s="5"/>
      <c r="Y113" s="5"/>
      <c r="Z113" s="5"/>
      <c r="AA113" s="5"/>
      <c r="AB113" s="5"/>
      <c r="AC113" s="1"/>
      <c r="AD113" s="5"/>
      <c r="AE113" s="5"/>
      <c r="AG113" s="1"/>
      <c r="AH113" s="1"/>
      <c r="AI113" s="1"/>
      <c r="AJ113" s="1"/>
      <c r="AK113" s="1"/>
      <c r="AL113" s="1"/>
      <c r="AM113" s="1"/>
      <c r="AN113" s="5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2:65" ht="17.25" thickBot="1" x14ac:dyDescent="0.35">
      <c r="B114" s="8"/>
      <c r="C114" s="8"/>
      <c r="D114" s="8"/>
      <c r="E114" s="8"/>
      <c r="F114" s="47"/>
      <c r="G114" s="48"/>
      <c r="H114" s="49"/>
      <c r="I114" s="50"/>
      <c r="J114" s="8"/>
      <c r="K114" s="1"/>
      <c r="L114" s="1"/>
      <c r="N114" s="7"/>
      <c r="P114" s="6"/>
      <c r="Q114" s="6"/>
      <c r="R114" s="6"/>
      <c r="S114" s="5"/>
      <c r="T114" s="6"/>
      <c r="U114" s="1"/>
      <c r="V114" s="1"/>
      <c r="X114" s="5"/>
      <c r="Y114" s="5"/>
      <c r="Z114" s="5"/>
      <c r="AA114" s="5"/>
      <c r="AB114" s="5"/>
      <c r="AC114" s="1"/>
      <c r="AD114" s="5"/>
      <c r="AE114" s="5"/>
      <c r="AG114" s="1"/>
      <c r="AH114" s="1"/>
      <c r="AI114" s="1"/>
      <c r="AJ114" s="1"/>
      <c r="AK114" s="1"/>
      <c r="AL114" s="1"/>
      <c r="AM114" s="1"/>
      <c r="AN114" s="5"/>
      <c r="AO114" s="1"/>
      <c r="AP114" s="1"/>
      <c r="AQ114" s="1"/>
      <c r="AR114" s="1"/>
      <c r="AS114" s="1"/>
      <c r="AT114" s="1"/>
      <c r="AU114" s="1"/>
      <c r="AV114" s="1"/>
      <c r="AW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2:65" ht="17.25" thickBot="1" x14ac:dyDescent="0.35">
      <c r="B115" s="8"/>
      <c r="C115" s="8"/>
      <c r="D115" s="8"/>
      <c r="E115" s="8"/>
      <c r="F115" s="47"/>
      <c r="G115" s="48"/>
      <c r="H115" s="49"/>
      <c r="I115" s="50"/>
      <c r="J115" s="8"/>
      <c r="K115" s="1"/>
      <c r="L115" s="1"/>
      <c r="N115" s="7"/>
      <c r="P115" s="6"/>
      <c r="Q115" s="6"/>
      <c r="R115" s="6"/>
      <c r="S115" s="5"/>
      <c r="T115" s="6"/>
      <c r="U115" s="1"/>
      <c r="V115" s="1"/>
      <c r="X115" s="5"/>
      <c r="Y115" s="5"/>
      <c r="Z115" s="5"/>
      <c r="AA115" s="5"/>
      <c r="AB115" s="5"/>
      <c r="AC115" s="1"/>
      <c r="AD115" s="5"/>
      <c r="AE115" s="5"/>
      <c r="AG115" s="1"/>
      <c r="AH115" s="1"/>
      <c r="AI115" s="1"/>
      <c r="AJ115" s="1"/>
      <c r="AK115" s="1"/>
      <c r="AL115" s="1"/>
      <c r="AM115" s="1"/>
      <c r="AN115" s="5"/>
      <c r="AO115" s="1"/>
      <c r="AP115" s="1"/>
      <c r="AQ115" s="1"/>
      <c r="AR115" s="1"/>
      <c r="AS115" s="1"/>
      <c r="AT115" s="1"/>
      <c r="AU115" s="1"/>
      <c r="AV115" s="1"/>
      <c r="AW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2:65" ht="17.25" thickBot="1" x14ac:dyDescent="0.35">
      <c r="B116" s="8"/>
      <c r="C116" s="8"/>
      <c r="D116" s="8"/>
      <c r="E116" s="8"/>
      <c r="F116" s="47"/>
      <c r="G116" s="48"/>
      <c r="H116" s="49"/>
      <c r="I116" s="50"/>
      <c r="J116" s="8"/>
      <c r="K116" s="1"/>
      <c r="L116" s="1"/>
      <c r="N116" s="7"/>
      <c r="P116" s="6"/>
      <c r="Q116" s="6"/>
      <c r="R116" s="6"/>
      <c r="S116" s="5"/>
      <c r="T116" s="6"/>
      <c r="U116" s="1"/>
      <c r="V116" s="1"/>
      <c r="X116" s="5"/>
      <c r="Y116" s="5"/>
      <c r="Z116" s="5"/>
      <c r="AA116" s="5"/>
      <c r="AB116" s="5"/>
      <c r="AC116" s="1"/>
      <c r="AD116" s="5"/>
      <c r="AE116" s="5"/>
      <c r="AG116" s="1"/>
      <c r="AH116" s="1"/>
      <c r="AI116" s="1"/>
      <c r="AJ116" s="1"/>
      <c r="AK116" s="1"/>
      <c r="AL116" s="1"/>
      <c r="AM116" s="1"/>
      <c r="AN116" s="5"/>
      <c r="AO116" s="1"/>
      <c r="AP116" s="1"/>
      <c r="AQ116" s="1"/>
      <c r="AR116" s="1"/>
      <c r="AS116" s="1"/>
      <c r="AT116" s="1"/>
      <c r="AU116" s="1"/>
      <c r="AV116" s="1"/>
      <c r="AW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2:65" ht="17.25" thickBot="1" x14ac:dyDescent="0.35">
      <c r="B117" s="8"/>
      <c r="C117" s="8"/>
      <c r="D117" s="8"/>
      <c r="E117" s="8"/>
      <c r="F117" s="47"/>
      <c r="G117" s="48"/>
      <c r="H117" s="49"/>
      <c r="I117" s="50"/>
      <c r="J117" s="8"/>
      <c r="K117" s="1"/>
      <c r="L117" s="1"/>
      <c r="N117" s="7"/>
      <c r="P117" s="6"/>
      <c r="Q117" s="6"/>
      <c r="R117" s="6"/>
      <c r="S117" s="5"/>
      <c r="T117" s="6"/>
      <c r="U117" s="1"/>
      <c r="V117" s="1"/>
      <c r="X117" s="5"/>
      <c r="Y117" s="5"/>
      <c r="Z117" s="5"/>
      <c r="AA117" s="5"/>
      <c r="AB117" s="5"/>
      <c r="AC117" s="1"/>
      <c r="AD117" s="5"/>
      <c r="AE117" s="5"/>
      <c r="AG117" s="1"/>
      <c r="AH117" s="1"/>
      <c r="AI117" s="1"/>
      <c r="AJ117" s="1"/>
      <c r="AK117" s="1"/>
      <c r="AL117" s="1"/>
      <c r="AM117" s="1"/>
      <c r="AN117" s="5"/>
      <c r="AO117" s="1"/>
      <c r="AP117" s="1"/>
      <c r="AQ117" s="1"/>
      <c r="AR117" s="1"/>
      <c r="AS117" s="1"/>
      <c r="AT117" s="1"/>
      <c r="AU117" s="1"/>
      <c r="AV117" s="1"/>
      <c r="AW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2:65" ht="17.25" thickBot="1" x14ac:dyDescent="0.35">
      <c r="B118" s="8"/>
      <c r="C118" s="8"/>
      <c r="D118" s="8"/>
      <c r="E118" s="8"/>
      <c r="F118" s="47"/>
      <c r="G118" s="48"/>
      <c r="H118" s="49"/>
      <c r="I118" s="50"/>
      <c r="J118" s="8"/>
      <c r="K118" s="1"/>
      <c r="L118" s="1"/>
      <c r="N118" s="7"/>
      <c r="P118" s="6"/>
      <c r="Q118" s="6"/>
      <c r="R118" s="6"/>
      <c r="S118" s="5"/>
      <c r="T118" s="6"/>
      <c r="U118" s="1"/>
      <c r="V118" s="1"/>
      <c r="X118" s="5"/>
      <c r="Y118" s="5"/>
      <c r="Z118" s="5"/>
      <c r="AA118" s="5"/>
      <c r="AB118" s="5"/>
      <c r="AC118" s="1"/>
      <c r="AD118" s="5"/>
      <c r="AE118" s="5"/>
      <c r="AG118" s="1"/>
      <c r="AH118" s="1"/>
      <c r="AI118" s="1"/>
      <c r="AJ118" s="1"/>
      <c r="AK118" s="1"/>
      <c r="AL118" s="1"/>
      <c r="AM118" s="1"/>
      <c r="AN118" s="5"/>
      <c r="AO118" s="1"/>
      <c r="AP118" s="1"/>
      <c r="AQ118" s="1"/>
      <c r="AR118" s="1"/>
      <c r="AS118" s="1"/>
      <c r="AT118" s="1"/>
      <c r="AU118" s="1"/>
      <c r="AV118" s="1"/>
      <c r="AW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2:65" x14ac:dyDescent="0.3">
      <c r="B119" s="7"/>
      <c r="C119" s="8"/>
      <c r="D119" s="8"/>
      <c r="E119" s="8"/>
      <c r="F119" s="1"/>
      <c r="G119" s="1"/>
      <c r="H119" s="1"/>
      <c r="I119" s="1"/>
      <c r="J119" s="8"/>
      <c r="K119" s="1"/>
      <c r="L119" s="1"/>
      <c r="N119" s="7"/>
      <c r="P119" s="6"/>
      <c r="Q119" s="6"/>
      <c r="R119" s="6"/>
      <c r="S119" s="5"/>
      <c r="T119" s="6"/>
      <c r="U119" s="1"/>
      <c r="V119" s="1"/>
      <c r="X119" s="5"/>
      <c r="Y119" s="5"/>
      <c r="Z119" s="5"/>
      <c r="AA119" s="5"/>
      <c r="AB119" s="5"/>
      <c r="AC119" s="1"/>
      <c r="AD119" s="5"/>
      <c r="AE119" s="5"/>
      <c r="AG119" s="1"/>
      <c r="AH119" s="1"/>
      <c r="AI119" s="1"/>
      <c r="AJ119" s="1"/>
      <c r="AK119" s="1"/>
      <c r="AL119" s="1"/>
      <c r="AM119" s="1"/>
      <c r="AN119" s="5"/>
      <c r="AO119" s="1"/>
      <c r="AP119" s="1"/>
      <c r="AQ119" s="1"/>
      <c r="AR119" s="1"/>
      <c r="AS119" s="1"/>
      <c r="AT119" s="1"/>
      <c r="AU119" s="1"/>
      <c r="AV119" s="1"/>
      <c r="AW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2:65" x14ac:dyDescent="0.3">
      <c r="B120" s="7"/>
      <c r="C120" s="8"/>
      <c r="D120" s="8"/>
      <c r="E120" s="8"/>
      <c r="F120" s="1"/>
      <c r="G120" s="1"/>
      <c r="H120" s="1"/>
      <c r="I120" s="1"/>
      <c r="J120" s="8"/>
      <c r="K120" s="1"/>
      <c r="L120" s="1"/>
      <c r="N120" s="7"/>
      <c r="P120" s="6"/>
      <c r="Q120" s="6"/>
      <c r="R120" s="6"/>
      <c r="S120" s="5"/>
      <c r="T120" s="6"/>
      <c r="U120" s="1"/>
      <c r="V120" s="1"/>
      <c r="X120" s="5"/>
      <c r="Y120" s="5"/>
      <c r="Z120" s="5"/>
      <c r="AA120" s="5"/>
      <c r="AB120" s="5"/>
      <c r="AC120" s="1"/>
      <c r="AD120" s="5"/>
      <c r="AE120" s="5"/>
      <c r="AG120" s="1"/>
      <c r="AH120" s="1"/>
      <c r="AI120" s="1"/>
      <c r="AJ120" s="1"/>
      <c r="AK120" s="1"/>
      <c r="AL120" s="1"/>
      <c r="AM120" s="1"/>
      <c r="AN120" s="5"/>
      <c r="AO120" s="1"/>
      <c r="AP120" s="1"/>
      <c r="AQ120" s="1"/>
      <c r="AR120" s="1"/>
      <c r="AS120" s="1"/>
      <c r="AT120" s="1"/>
      <c r="AU120" s="1"/>
      <c r="AV120" s="1"/>
      <c r="AW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2:65" x14ac:dyDescent="0.3">
      <c r="B121" s="7"/>
      <c r="C121" s="8"/>
      <c r="D121" s="8"/>
      <c r="E121" s="8"/>
      <c r="F121" s="1"/>
      <c r="G121" s="1"/>
      <c r="H121" s="1"/>
      <c r="I121" s="1"/>
      <c r="J121" s="8"/>
      <c r="K121" s="1"/>
      <c r="L121" s="1"/>
      <c r="N121" s="7"/>
      <c r="P121" s="6"/>
      <c r="Q121" s="6"/>
      <c r="R121" s="6"/>
      <c r="S121" s="5"/>
      <c r="T121" s="6"/>
      <c r="U121" s="1"/>
      <c r="V121" s="1"/>
      <c r="X121" s="5"/>
      <c r="Y121" s="5"/>
      <c r="Z121" s="5"/>
      <c r="AA121" s="5"/>
      <c r="AB121" s="5"/>
      <c r="AC121" s="1"/>
      <c r="AD121" s="5"/>
      <c r="AE121" s="5"/>
      <c r="AG121" s="1"/>
      <c r="AH121" s="1"/>
      <c r="AI121" s="1"/>
      <c r="AJ121" s="1"/>
      <c r="AK121" s="1"/>
      <c r="AL121" s="1"/>
      <c r="AM121" s="1"/>
      <c r="AN121" s="5"/>
      <c r="AO121" s="1"/>
      <c r="AP121" s="1"/>
      <c r="AQ121" s="1"/>
      <c r="AR121" s="1"/>
      <c r="AS121" s="1"/>
      <c r="AT121" s="1"/>
      <c r="AU121" s="1"/>
      <c r="AV121" s="1"/>
      <c r="AW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2:65" x14ac:dyDescent="0.3">
      <c r="B122" s="7"/>
      <c r="C122" s="8"/>
      <c r="D122" s="8"/>
      <c r="E122" s="8"/>
      <c r="F122" s="1"/>
      <c r="G122" s="1"/>
      <c r="H122" s="1"/>
      <c r="I122" s="1"/>
      <c r="J122" s="8"/>
      <c r="K122" s="1"/>
      <c r="L122" s="1"/>
      <c r="N122" s="7"/>
      <c r="P122" s="6"/>
      <c r="Q122" s="6"/>
      <c r="R122" s="6"/>
      <c r="S122" s="5"/>
      <c r="T122" s="6"/>
      <c r="U122" s="1"/>
      <c r="V122" s="1"/>
      <c r="X122" s="5"/>
      <c r="Y122" s="1"/>
      <c r="Z122" s="1"/>
      <c r="AA122" s="5"/>
      <c r="AB122" s="1"/>
      <c r="AC122" s="1"/>
      <c r="AD122" s="5"/>
      <c r="AE122" s="1"/>
      <c r="AG122" s="1"/>
      <c r="AH122" s="1"/>
      <c r="AI122" s="1"/>
      <c r="AJ122" s="1"/>
      <c r="AK122" s="1"/>
      <c r="AL122" s="1"/>
      <c r="AM122" s="1"/>
      <c r="AN122" s="5"/>
      <c r="AO122" s="1"/>
      <c r="AP122" s="1"/>
      <c r="AQ122" s="1"/>
      <c r="AR122" s="1"/>
      <c r="AS122" s="1"/>
      <c r="AT122" s="1"/>
      <c r="AU122" s="1"/>
      <c r="AV122" s="1"/>
      <c r="AW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2:65" x14ac:dyDescent="0.3">
      <c r="B123" s="7"/>
      <c r="C123" s="8"/>
      <c r="D123" s="8"/>
      <c r="E123" s="8"/>
      <c r="F123" s="1"/>
      <c r="G123" s="1"/>
      <c r="H123" s="1"/>
      <c r="I123" s="1"/>
      <c r="J123" s="8"/>
      <c r="K123" s="1"/>
      <c r="L123" s="1"/>
      <c r="N123" s="7"/>
      <c r="P123" s="6"/>
      <c r="Q123" s="6"/>
      <c r="R123" s="6"/>
      <c r="S123" s="5"/>
      <c r="T123" s="6"/>
      <c r="U123" s="1"/>
      <c r="V123" s="1"/>
      <c r="X123" s="5"/>
      <c r="Y123" s="1"/>
      <c r="Z123" s="1"/>
      <c r="AA123" s="5"/>
      <c r="AB123" s="1"/>
      <c r="AC123" s="1"/>
      <c r="AD123" s="5"/>
      <c r="AE123" s="1"/>
      <c r="AG123" s="1"/>
      <c r="AH123" s="1"/>
      <c r="AI123" s="1"/>
      <c r="AJ123" s="1"/>
      <c r="AK123" s="1"/>
      <c r="AL123" s="1"/>
      <c r="AM123" s="1"/>
      <c r="AN123" s="5"/>
      <c r="AO123" s="1"/>
      <c r="AP123" s="1"/>
      <c r="AQ123" s="1"/>
      <c r="AR123" s="1"/>
      <c r="AS123" s="1"/>
      <c r="AT123" s="1"/>
      <c r="AU123" s="1"/>
      <c r="AV123" s="1"/>
      <c r="AW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2:65" x14ac:dyDescent="0.3">
      <c r="B124" s="7"/>
      <c r="C124" s="8"/>
      <c r="D124" s="8"/>
      <c r="E124" s="8"/>
      <c r="F124" s="1"/>
      <c r="G124" s="1"/>
      <c r="H124" s="1"/>
      <c r="I124" s="1"/>
      <c r="J124" s="8"/>
      <c r="K124" s="1"/>
      <c r="L124" s="1"/>
      <c r="N124" s="7"/>
      <c r="P124" s="6"/>
      <c r="Q124" s="6"/>
      <c r="R124" s="6"/>
      <c r="S124" s="5"/>
      <c r="T124" s="6"/>
      <c r="U124" s="1"/>
      <c r="V124" s="1"/>
      <c r="X124" s="5"/>
      <c r="Y124" s="1"/>
      <c r="Z124" s="1"/>
      <c r="AA124" s="5"/>
      <c r="AB124" s="1"/>
      <c r="AC124" s="1"/>
      <c r="AD124" s="5"/>
      <c r="AE124" s="1"/>
      <c r="AG124" s="1"/>
      <c r="AH124" s="1"/>
      <c r="AI124" s="1"/>
      <c r="AJ124" s="1"/>
      <c r="AK124" s="1"/>
      <c r="AL124" s="1"/>
      <c r="AM124" s="1"/>
      <c r="AN124" s="5"/>
      <c r="AO124" s="1"/>
      <c r="AP124" s="1"/>
      <c r="AQ124" s="1"/>
      <c r="AR124" s="1"/>
      <c r="AS124" s="1"/>
      <c r="AT124" s="1"/>
      <c r="AU124" s="1"/>
      <c r="AV124" s="1"/>
      <c r="AW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2:65" x14ac:dyDescent="0.3">
      <c r="B125" s="7"/>
      <c r="C125" s="8"/>
      <c r="D125" s="8"/>
      <c r="E125" s="8"/>
      <c r="F125" s="1"/>
      <c r="G125" s="1"/>
      <c r="H125" s="1"/>
      <c r="I125" s="1"/>
      <c r="J125" s="8"/>
      <c r="K125" s="1"/>
      <c r="L125" s="1"/>
      <c r="N125" s="7"/>
      <c r="P125" s="6"/>
      <c r="Q125" s="6"/>
      <c r="R125" s="6"/>
      <c r="S125" s="5"/>
      <c r="T125" s="6"/>
      <c r="U125" s="1"/>
      <c r="V125" s="1"/>
      <c r="X125" s="5"/>
      <c r="Y125" s="1"/>
      <c r="Z125" s="1"/>
      <c r="AA125" s="5"/>
      <c r="AB125" s="1"/>
      <c r="AC125" s="1"/>
      <c r="AD125" s="5"/>
      <c r="AE125" s="1"/>
      <c r="AG125" s="1"/>
      <c r="AH125" s="1"/>
      <c r="AI125" s="1"/>
      <c r="AJ125" s="1"/>
      <c r="AK125" s="1"/>
      <c r="AL125" s="1"/>
      <c r="AM125" s="1"/>
      <c r="AN125" s="5"/>
      <c r="AO125" s="1"/>
      <c r="AP125" s="1"/>
      <c r="AQ125" s="1"/>
      <c r="AR125" s="1"/>
      <c r="AS125" s="1"/>
      <c r="AT125" s="1"/>
      <c r="AU125" s="1"/>
      <c r="AV125" s="1"/>
      <c r="AW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2:65" x14ac:dyDescent="0.3">
      <c r="B126" s="7"/>
      <c r="C126" s="8"/>
      <c r="D126" s="8"/>
      <c r="E126" s="8"/>
      <c r="F126" s="1"/>
      <c r="G126" s="1"/>
      <c r="H126" s="1"/>
      <c r="I126" s="1"/>
      <c r="J126" s="8"/>
      <c r="K126" s="1"/>
      <c r="L126" s="1"/>
      <c r="N126" s="7"/>
      <c r="P126" s="6"/>
      <c r="Q126" s="6"/>
      <c r="R126" s="6"/>
      <c r="S126" s="5"/>
      <c r="T126" s="6"/>
      <c r="U126" s="1"/>
      <c r="V126" s="1"/>
      <c r="X126" s="5"/>
      <c r="Y126" s="1"/>
      <c r="Z126" s="1"/>
      <c r="AA126" s="5"/>
      <c r="AB126" s="1"/>
      <c r="AC126" s="1"/>
      <c r="AD126" s="5"/>
      <c r="AE126" s="1"/>
      <c r="AG126" s="1"/>
      <c r="AH126" s="1"/>
      <c r="AI126" s="1"/>
      <c r="AJ126" s="1"/>
      <c r="AK126" s="1"/>
      <c r="AL126" s="1"/>
      <c r="AM126" s="1"/>
      <c r="AN126" s="5"/>
      <c r="AO126" s="1"/>
      <c r="AP126" s="1"/>
      <c r="AQ126" s="1"/>
      <c r="AR126" s="1"/>
      <c r="AS126" s="1"/>
      <c r="AT126" s="1"/>
      <c r="AU126" s="1"/>
      <c r="AV126" s="1"/>
      <c r="AW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2:65" x14ac:dyDescent="0.3">
      <c r="B127" s="7"/>
      <c r="C127" s="8"/>
      <c r="D127" s="8"/>
      <c r="E127" s="8"/>
      <c r="F127" s="1"/>
      <c r="G127" s="1"/>
      <c r="H127" s="1"/>
      <c r="I127" s="1"/>
      <c r="J127" s="8"/>
      <c r="K127" s="1"/>
      <c r="L127" s="1"/>
      <c r="N127" s="7"/>
      <c r="P127" s="6"/>
      <c r="Q127" s="6"/>
      <c r="R127" s="6"/>
      <c r="S127" s="5"/>
      <c r="T127" s="6"/>
      <c r="U127" s="1"/>
      <c r="V127" s="1"/>
      <c r="X127" s="5"/>
      <c r="Y127" s="1"/>
      <c r="Z127" s="1"/>
      <c r="AA127" s="5"/>
      <c r="AB127" s="1"/>
      <c r="AC127" s="1"/>
      <c r="AD127" s="5"/>
      <c r="AE127" s="1"/>
      <c r="AG127" s="1"/>
      <c r="AH127" s="1"/>
      <c r="AI127" s="1"/>
      <c r="AJ127" s="1"/>
      <c r="AK127" s="1"/>
      <c r="AL127" s="1"/>
      <c r="AM127" s="1"/>
      <c r="AN127" s="5"/>
      <c r="AO127" s="1"/>
      <c r="AP127" s="1"/>
      <c r="AQ127" s="1"/>
      <c r="AR127" s="1"/>
      <c r="AS127" s="1"/>
      <c r="AT127" s="1"/>
      <c r="AU127" s="1"/>
      <c r="AV127" s="1"/>
      <c r="AW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2:65" x14ac:dyDescent="0.3">
      <c r="B128" s="7"/>
      <c r="C128" s="8"/>
      <c r="D128" s="8"/>
      <c r="E128" s="8"/>
      <c r="F128" s="1"/>
      <c r="G128" s="1"/>
      <c r="H128" s="1"/>
      <c r="I128" s="1"/>
      <c r="J128" s="8"/>
      <c r="K128" s="1"/>
      <c r="L128" s="1"/>
      <c r="N128" s="7"/>
      <c r="P128" s="6"/>
      <c r="Q128" s="6"/>
      <c r="R128" s="6"/>
      <c r="S128" s="5"/>
      <c r="T128" s="6"/>
      <c r="U128" s="1"/>
      <c r="V128" s="1"/>
      <c r="X128" s="5"/>
      <c r="Y128" s="1"/>
      <c r="Z128" s="1"/>
      <c r="AA128" s="5"/>
      <c r="AB128" s="1"/>
      <c r="AC128" s="1"/>
      <c r="AD128" s="5"/>
      <c r="AE128" s="1"/>
      <c r="AG128" s="1"/>
      <c r="AH128" s="1"/>
      <c r="AI128" s="1"/>
      <c r="AJ128" s="1"/>
      <c r="AK128" s="1"/>
      <c r="AL128" s="1"/>
      <c r="AM128" s="1"/>
      <c r="AN128" s="5"/>
      <c r="AO128" s="1"/>
      <c r="AP128" s="1"/>
      <c r="AQ128" s="1"/>
      <c r="AR128" s="1"/>
      <c r="AS128" s="1"/>
      <c r="AT128" s="1"/>
      <c r="AU128" s="1"/>
      <c r="AV128" s="1"/>
      <c r="AW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2:65" x14ac:dyDescent="0.3">
      <c r="B129" s="7"/>
      <c r="C129" s="8"/>
      <c r="D129" s="8"/>
      <c r="E129" s="8"/>
      <c r="F129" s="1"/>
      <c r="G129" s="1"/>
      <c r="H129" s="1"/>
      <c r="I129" s="1"/>
      <c r="J129" s="8"/>
      <c r="K129" s="1"/>
      <c r="L129" s="1"/>
      <c r="N129" s="7"/>
      <c r="P129" s="6"/>
      <c r="Q129" s="6"/>
      <c r="R129" s="6"/>
      <c r="S129" s="5"/>
      <c r="T129" s="6"/>
      <c r="U129" s="1"/>
      <c r="V129" s="1"/>
      <c r="X129" s="5"/>
      <c r="Y129" s="1"/>
      <c r="Z129" s="1"/>
      <c r="AA129" s="5"/>
      <c r="AB129" s="1"/>
      <c r="AC129" s="1"/>
      <c r="AD129" s="5"/>
      <c r="AE129" s="1"/>
      <c r="AG129" s="1"/>
      <c r="AH129" s="1"/>
      <c r="AI129" s="1"/>
      <c r="AJ129" s="1"/>
      <c r="AK129" s="1"/>
      <c r="AL129" s="1"/>
      <c r="AM129" s="1"/>
      <c r="AN129" s="5"/>
      <c r="AO129" s="1"/>
      <c r="AP129" s="1"/>
      <c r="AQ129" s="1"/>
      <c r="AR129" s="1"/>
      <c r="AS129" s="1"/>
      <c r="AT129" s="1"/>
      <c r="AU129" s="1"/>
      <c r="AV129" s="1"/>
      <c r="AW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2:65" x14ac:dyDescent="0.3">
      <c r="B130" s="7"/>
      <c r="C130" s="8"/>
      <c r="D130" s="8"/>
      <c r="E130" s="8"/>
      <c r="F130" s="1"/>
      <c r="G130" s="1"/>
      <c r="H130" s="1"/>
      <c r="I130" s="1"/>
      <c r="J130" s="8"/>
      <c r="K130" s="1"/>
      <c r="L130" s="1"/>
      <c r="N130" s="7"/>
      <c r="P130" s="6"/>
      <c r="Q130" s="6"/>
      <c r="R130" s="6"/>
      <c r="S130" s="5"/>
      <c r="T130" s="6"/>
      <c r="U130" s="1"/>
      <c r="V130" s="1"/>
      <c r="X130" s="5"/>
      <c r="Y130" s="1"/>
      <c r="Z130" s="1"/>
      <c r="AA130" s="5"/>
      <c r="AB130" s="1"/>
      <c r="AC130" s="1"/>
      <c r="AD130" s="5"/>
      <c r="AE130" s="1"/>
      <c r="AG130" s="1"/>
      <c r="AH130" s="1"/>
      <c r="AI130" s="1"/>
      <c r="AJ130" s="1"/>
      <c r="AK130" s="1"/>
      <c r="AL130" s="1"/>
      <c r="AM130" s="1"/>
      <c r="AN130" s="5"/>
      <c r="AO130" s="1"/>
      <c r="AP130" s="1"/>
      <c r="AQ130" s="1"/>
      <c r="AR130" s="1"/>
      <c r="AS130" s="1"/>
      <c r="AT130" s="1"/>
      <c r="AU130" s="1"/>
      <c r="AV130" s="1"/>
      <c r="AW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2:65" x14ac:dyDescent="0.3">
      <c r="B131" s="7"/>
      <c r="C131" s="8"/>
      <c r="D131" s="8"/>
      <c r="E131" s="8"/>
      <c r="F131" s="1"/>
      <c r="G131" s="1"/>
      <c r="H131" s="1"/>
      <c r="I131" s="1"/>
      <c r="J131" s="8"/>
      <c r="K131" s="1"/>
      <c r="L131" s="1"/>
      <c r="N131" s="7"/>
      <c r="P131" s="6"/>
      <c r="Q131" s="6"/>
      <c r="R131" s="6"/>
      <c r="S131" s="5"/>
      <c r="T131" s="6"/>
      <c r="U131" s="1"/>
      <c r="V131" s="1"/>
      <c r="X131" s="5"/>
      <c r="Y131" s="1"/>
      <c r="Z131" s="1"/>
      <c r="AA131" s="5"/>
      <c r="AB131" s="1"/>
      <c r="AC131" s="1"/>
      <c r="AD131" s="5"/>
      <c r="AE131" s="1"/>
      <c r="AG131" s="1"/>
      <c r="AH131" s="1"/>
      <c r="AI131" s="1"/>
      <c r="AJ131" s="1"/>
      <c r="AK131" s="1"/>
      <c r="AL131" s="1"/>
      <c r="AM131" s="1"/>
      <c r="AN131" s="5"/>
      <c r="AO131" s="1"/>
      <c r="AP131" s="1"/>
      <c r="AQ131" s="1"/>
      <c r="AR131" s="1"/>
      <c r="AS131" s="1"/>
      <c r="AT131" s="1"/>
      <c r="AU131" s="1"/>
      <c r="AV131" s="1"/>
      <c r="AW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2:65" x14ac:dyDescent="0.3">
      <c r="B132" s="7"/>
      <c r="C132" s="8"/>
      <c r="D132" s="8"/>
      <c r="E132" s="8"/>
      <c r="F132" s="1"/>
      <c r="G132" s="1"/>
      <c r="H132" s="1"/>
      <c r="I132" s="1"/>
      <c r="J132" s="8"/>
      <c r="K132" s="1"/>
      <c r="L132" s="1"/>
      <c r="N132" s="7"/>
      <c r="P132" s="6"/>
      <c r="Q132" s="6"/>
      <c r="R132" s="6"/>
      <c r="S132" s="5"/>
      <c r="T132" s="6"/>
      <c r="U132" s="1"/>
      <c r="V132" s="1"/>
      <c r="X132" s="5"/>
      <c r="Y132" s="1"/>
      <c r="Z132" s="1"/>
      <c r="AA132" s="5"/>
      <c r="AB132" s="1"/>
      <c r="AC132" s="1"/>
      <c r="AD132" s="5"/>
      <c r="AE132" s="1"/>
      <c r="AG132" s="1"/>
      <c r="AH132" s="1"/>
      <c r="AI132" s="1"/>
      <c r="AJ132" s="1"/>
      <c r="AK132" s="1"/>
      <c r="AL132" s="1"/>
      <c r="AM132" s="1"/>
      <c r="AN132" s="5"/>
      <c r="AO132" s="1"/>
      <c r="AP132" s="1"/>
      <c r="AQ132" s="1"/>
      <c r="AR132" s="1"/>
      <c r="AS132" s="1"/>
      <c r="AT132" s="1"/>
      <c r="AU132" s="1"/>
      <c r="AV132" s="1"/>
      <c r="AW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2:65" x14ac:dyDescent="0.3">
      <c r="B133" s="7"/>
      <c r="C133" s="8"/>
      <c r="D133" s="8"/>
      <c r="E133" s="8"/>
      <c r="F133" s="1"/>
      <c r="G133" s="1"/>
      <c r="H133" s="1"/>
      <c r="I133" s="1"/>
      <c r="J133" s="8"/>
      <c r="K133" s="1"/>
      <c r="L133" s="1"/>
      <c r="N133" s="7"/>
      <c r="P133" s="6"/>
      <c r="Q133" s="6"/>
      <c r="R133" s="6"/>
      <c r="S133" s="5"/>
      <c r="T133" s="6"/>
      <c r="U133" s="1"/>
      <c r="V133" s="1"/>
      <c r="X133" s="5"/>
      <c r="Y133" s="1"/>
      <c r="Z133" s="1"/>
      <c r="AA133" s="5"/>
      <c r="AB133" s="1"/>
      <c r="AC133" s="1"/>
      <c r="AD133" s="5"/>
      <c r="AE133" s="1"/>
      <c r="AG133" s="1"/>
      <c r="AH133" s="1"/>
      <c r="AI133" s="1"/>
      <c r="AJ133" s="1"/>
      <c r="AK133" s="1"/>
      <c r="AL133" s="1"/>
      <c r="AM133" s="1"/>
      <c r="AN133" s="5"/>
      <c r="AO133" s="1"/>
      <c r="AP133" s="1"/>
      <c r="AQ133" s="1"/>
      <c r="AR133" s="1"/>
      <c r="AS133" s="1"/>
      <c r="AT133" s="1"/>
      <c r="AU133" s="1"/>
      <c r="AV133" s="1"/>
      <c r="AW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2:65" x14ac:dyDescent="0.3">
      <c r="B134" s="7"/>
      <c r="C134" s="8"/>
      <c r="D134" s="8"/>
      <c r="E134" s="8"/>
      <c r="F134" s="1"/>
      <c r="G134" s="1"/>
      <c r="H134" s="1"/>
      <c r="I134" s="1"/>
      <c r="J134" s="8"/>
      <c r="K134" s="1"/>
      <c r="L134" s="1"/>
      <c r="N134" s="7"/>
      <c r="P134" s="6"/>
      <c r="Q134" s="6"/>
      <c r="R134" s="6"/>
      <c r="S134" s="5"/>
      <c r="T134" s="6"/>
      <c r="U134" s="1"/>
      <c r="V134" s="1"/>
      <c r="X134" s="5"/>
      <c r="Y134" s="1"/>
      <c r="Z134" s="1"/>
      <c r="AA134" s="5"/>
      <c r="AB134" s="1"/>
      <c r="AC134" s="1"/>
      <c r="AD134" s="5"/>
      <c r="AE134" s="1"/>
      <c r="AG134" s="1"/>
      <c r="AH134" s="1"/>
      <c r="AI134" s="1"/>
      <c r="AJ134" s="1"/>
      <c r="AK134" s="1"/>
      <c r="AL134" s="1"/>
      <c r="AM134" s="1"/>
      <c r="AN134" s="5"/>
      <c r="AO134" s="1"/>
      <c r="AP134" s="1"/>
      <c r="AQ134" s="1"/>
      <c r="AR134" s="1"/>
      <c r="AS134" s="1"/>
      <c r="AT134" s="1"/>
      <c r="AU134" s="1"/>
      <c r="AV134" s="1"/>
      <c r="AW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2:65" x14ac:dyDescent="0.3">
      <c r="B135" s="7"/>
      <c r="C135" s="8"/>
      <c r="D135" s="8"/>
      <c r="E135" s="8"/>
      <c r="F135" s="1"/>
      <c r="G135" s="1"/>
      <c r="H135" s="1"/>
      <c r="I135" s="1"/>
      <c r="J135" s="8"/>
      <c r="K135" s="1"/>
      <c r="L135" s="1"/>
      <c r="N135" s="7"/>
      <c r="P135" s="6"/>
      <c r="Q135" s="6"/>
      <c r="R135" s="6"/>
      <c r="S135" s="5"/>
      <c r="T135" s="6"/>
      <c r="U135" s="1"/>
      <c r="V135" s="1"/>
      <c r="X135" s="5"/>
      <c r="Y135" s="1"/>
      <c r="Z135" s="1"/>
      <c r="AA135" s="5"/>
      <c r="AB135" s="1"/>
      <c r="AC135" s="1"/>
      <c r="AD135" s="5"/>
      <c r="AE135" s="1"/>
      <c r="AG135" s="1"/>
      <c r="AH135" s="1"/>
      <c r="AI135" s="1"/>
      <c r="AJ135" s="1"/>
      <c r="AK135" s="1"/>
      <c r="AL135" s="1"/>
      <c r="AM135" s="1"/>
      <c r="AN135" s="5"/>
      <c r="AO135" s="1"/>
      <c r="AP135" s="1"/>
      <c r="AQ135" s="1"/>
      <c r="AR135" s="1"/>
      <c r="AS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2:65" x14ac:dyDescent="0.3">
      <c r="B136" s="7"/>
      <c r="C136" s="8"/>
      <c r="D136" s="8"/>
      <c r="E136" s="8"/>
      <c r="F136" s="1"/>
      <c r="G136" s="1"/>
      <c r="H136" s="1"/>
      <c r="I136" s="1"/>
      <c r="J136" s="8"/>
      <c r="K136" s="1"/>
      <c r="L136" s="1"/>
      <c r="N136" s="7"/>
      <c r="P136" s="6"/>
      <c r="Q136" s="6"/>
      <c r="R136" s="6"/>
      <c r="S136" s="5"/>
      <c r="T136" s="6"/>
      <c r="U136" s="1"/>
      <c r="V136" s="1"/>
      <c r="X136" s="5"/>
      <c r="Y136" s="1"/>
      <c r="Z136" s="1"/>
      <c r="AA136" s="5"/>
      <c r="AB136" s="1"/>
      <c r="AC136" s="1"/>
      <c r="AD136" s="5"/>
      <c r="AE136" s="1"/>
      <c r="AG136" s="1"/>
      <c r="AH136" s="1"/>
      <c r="AI136" s="1"/>
      <c r="AJ136" s="1"/>
      <c r="AK136" s="1"/>
      <c r="AL136" s="1"/>
      <c r="AM136" s="1"/>
      <c r="AN136" s="5"/>
      <c r="AO136" s="1"/>
      <c r="AP136" s="1"/>
      <c r="AQ136" s="1"/>
      <c r="AR136" s="1"/>
      <c r="AS136" s="1"/>
      <c r="AT136" s="1"/>
      <c r="AU136" s="1"/>
      <c r="AV136" s="1"/>
      <c r="AW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2:65" x14ac:dyDescent="0.3">
      <c r="B137" s="7"/>
      <c r="C137" s="8"/>
      <c r="D137" s="8"/>
      <c r="E137" s="8"/>
      <c r="F137" s="1"/>
      <c r="G137" s="1"/>
      <c r="H137" s="1"/>
      <c r="I137" s="1"/>
      <c r="J137" s="8"/>
      <c r="K137" s="1"/>
      <c r="L137" s="1"/>
      <c r="N137" s="7"/>
      <c r="P137" s="6"/>
      <c r="Q137" s="6"/>
      <c r="R137" s="6"/>
      <c r="S137" s="5"/>
      <c r="T137" s="6"/>
      <c r="U137" s="1"/>
      <c r="V137" s="1"/>
      <c r="X137" s="5"/>
      <c r="Y137" s="1"/>
      <c r="Z137" s="1"/>
      <c r="AA137" s="5"/>
      <c r="AB137" s="1"/>
      <c r="AC137" s="1"/>
      <c r="AD137" s="5"/>
      <c r="AE137" s="1"/>
      <c r="AG137" s="1"/>
      <c r="AH137" s="1"/>
      <c r="AI137" s="1"/>
      <c r="AJ137" s="1"/>
      <c r="AK137" s="1"/>
      <c r="AL137" s="1"/>
      <c r="AM137" s="1"/>
      <c r="AN137" s="5"/>
      <c r="AO137" s="1"/>
      <c r="AP137" s="1"/>
      <c r="AQ137" s="1"/>
      <c r="AR137" s="1"/>
      <c r="AS137" s="1"/>
      <c r="AT137" s="1"/>
      <c r="AU137" s="1"/>
      <c r="AV137" s="1"/>
      <c r="AW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2:65" x14ac:dyDescent="0.3">
      <c r="B138" s="7"/>
      <c r="C138" s="8"/>
      <c r="D138" s="8"/>
      <c r="E138" s="8"/>
      <c r="F138" s="1"/>
      <c r="G138" s="1"/>
      <c r="H138" s="1"/>
      <c r="I138" s="1"/>
      <c r="J138" s="8"/>
      <c r="K138" s="1"/>
      <c r="L138" s="1"/>
      <c r="N138" s="7"/>
      <c r="P138" s="6"/>
      <c r="Q138" s="6"/>
      <c r="R138" s="6"/>
      <c r="S138" s="5"/>
      <c r="T138" s="6"/>
      <c r="U138" s="1"/>
      <c r="V138" s="1"/>
      <c r="X138" s="5"/>
      <c r="Y138" s="1"/>
      <c r="Z138" s="1"/>
      <c r="AA138" s="5"/>
      <c r="AB138" s="1"/>
      <c r="AC138" s="1"/>
      <c r="AD138" s="5"/>
      <c r="AE138" s="1"/>
      <c r="AG138" s="1"/>
      <c r="AH138" s="1"/>
      <c r="AI138" s="1"/>
      <c r="AJ138" s="1"/>
      <c r="AK138" s="1"/>
      <c r="AL138" s="1"/>
      <c r="AM138" s="1"/>
      <c r="AN138" s="5"/>
      <c r="AO138" s="1"/>
      <c r="AP138" s="1"/>
      <c r="AQ138" s="1"/>
      <c r="AR138" s="1"/>
      <c r="AS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2:65" x14ac:dyDescent="0.3">
      <c r="B139" s="7"/>
      <c r="C139" s="8"/>
      <c r="D139" s="8"/>
      <c r="E139" s="8"/>
      <c r="F139" s="1"/>
      <c r="G139" s="1"/>
      <c r="H139" s="1"/>
      <c r="I139" s="1"/>
      <c r="J139" s="8"/>
      <c r="K139" s="1"/>
      <c r="L139" s="1"/>
      <c r="N139" s="7"/>
      <c r="P139" s="6"/>
      <c r="Q139" s="6"/>
      <c r="R139" s="6"/>
      <c r="S139" s="5"/>
      <c r="T139" s="6"/>
      <c r="U139" s="1"/>
      <c r="V139" s="1"/>
      <c r="X139" s="5"/>
      <c r="Y139" s="1"/>
      <c r="Z139" s="1"/>
      <c r="AA139" s="5"/>
      <c r="AB139" s="1"/>
      <c r="AC139" s="1"/>
      <c r="AD139" s="5"/>
      <c r="AE139" s="1"/>
      <c r="AG139" s="1"/>
      <c r="AH139" s="1"/>
      <c r="AI139" s="1"/>
      <c r="AJ139" s="1"/>
      <c r="AK139" s="1"/>
      <c r="AL139" s="1"/>
      <c r="AM139" s="1"/>
      <c r="AN139" s="5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2:65" x14ac:dyDescent="0.3">
      <c r="B140" s="7"/>
      <c r="C140" s="8"/>
      <c r="D140" s="8"/>
      <c r="E140" s="8"/>
      <c r="F140" s="1"/>
      <c r="G140" s="1"/>
      <c r="H140" s="1"/>
      <c r="I140" s="1"/>
      <c r="J140" s="8"/>
      <c r="K140" s="1"/>
      <c r="L140" s="1"/>
      <c r="N140" s="7"/>
      <c r="P140" s="6"/>
      <c r="Q140" s="6"/>
      <c r="R140" s="6"/>
      <c r="S140" s="5"/>
      <c r="T140" s="6"/>
      <c r="U140" s="1"/>
      <c r="V140" s="1"/>
      <c r="X140" s="5"/>
      <c r="Y140" s="1"/>
      <c r="Z140" s="1"/>
      <c r="AA140" s="5"/>
      <c r="AB140" s="1"/>
      <c r="AC140" s="1"/>
      <c r="AD140" s="5"/>
      <c r="AE140" s="1"/>
      <c r="AG140" s="1"/>
      <c r="AH140" s="1"/>
      <c r="AI140" s="1"/>
      <c r="AJ140" s="1"/>
      <c r="AK140" s="1"/>
      <c r="AL140" s="1"/>
      <c r="AM140" s="1"/>
      <c r="AN140" s="5"/>
      <c r="AO140" s="1"/>
      <c r="AP140" s="1"/>
      <c r="AQ140" s="1"/>
      <c r="AR140" s="1"/>
      <c r="AS140" s="1"/>
      <c r="AT140" s="1"/>
      <c r="AU140" s="1"/>
      <c r="AV140" s="1"/>
      <c r="AW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2:65" x14ac:dyDescent="0.3">
      <c r="B141" s="7"/>
      <c r="C141" s="8"/>
      <c r="D141" s="8"/>
      <c r="E141" s="8"/>
      <c r="F141" s="1"/>
      <c r="G141" s="1"/>
      <c r="H141" s="1"/>
      <c r="I141" s="1"/>
      <c r="J141" s="8"/>
      <c r="K141" s="1"/>
      <c r="L141" s="1"/>
      <c r="N141" s="7"/>
      <c r="P141" s="6"/>
      <c r="Q141" s="6"/>
      <c r="R141" s="6"/>
      <c r="S141" s="5"/>
      <c r="T141" s="6"/>
      <c r="U141" s="1"/>
      <c r="V141" s="1"/>
      <c r="X141" s="5"/>
      <c r="Y141" s="1"/>
      <c r="Z141" s="1"/>
      <c r="AA141" s="5"/>
      <c r="AB141" s="1"/>
      <c r="AC141" s="1"/>
      <c r="AD141" s="5"/>
      <c r="AE141" s="1"/>
      <c r="AG141" s="1"/>
      <c r="AH141" s="1"/>
      <c r="AI141" s="1"/>
      <c r="AJ141" s="1"/>
      <c r="AK141" s="1"/>
      <c r="AL141" s="1"/>
      <c r="AM141" s="1"/>
      <c r="AN141" s="5"/>
      <c r="AO141" s="1"/>
      <c r="AP141" s="1"/>
      <c r="AQ141" s="1"/>
      <c r="AR141" s="1"/>
      <c r="AS141" s="1"/>
      <c r="AT141" s="1"/>
      <c r="AU141" s="1"/>
      <c r="AV141" s="1"/>
      <c r="AW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2:65" x14ac:dyDescent="0.3">
      <c r="B142" s="7"/>
      <c r="C142" s="8"/>
      <c r="D142" s="8"/>
      <c r="E142" s="8"/>
      <c r="F142" s="1"/>
      <c r="G142" s="1"/>
      <c r="H142" s="1"/>
      <c r="I142" s="1"/>
      <c r="J142" s="8"/>
      <c r="K142" s="1"/>
      <c r="L142" s="1"/>
      <c r="N142" s="7"/>
      <c r="P142" s="6"/>
      <c r="Q142" s="6"/>
      <c r="R142" s="6"/>
      <c r="S142" s="5"/>
      <c r="T142" s="6"/>
      <c r="U142" s="1"/>
      <c r="V142" s="1"/>
      <c r="X142" s="5"/>
      <c r="Y142" s="1"/>
      <c r="Z142" s="1"/>
      <c r="AA142" s="5"/>
      <c r="AB142" s="1"/>
      <c r="AC142" s="1"/>
      <c r="AD142" s="5"/>
      <c r="AE142" s="1"/>
      <c r="AG142" s="1"/>
      <c r="AH142" s="1"/>
      <c r="AI142" s="1"/>
      <c r="AJ142" s="1"/>
      <c r="AK142" s="1"/>
      <c r="AL142" s="1"/>
      <c r="AM142" s="1"/>
      <c r="AN142" s="5"/>
      <c r="AO142" s="1"/>
      <c r="AP142" s="1"/>
      <c r="AQ142" s="1"/>
      <c r="AR142" s="1"/>
      <c r="AS142" s="1"/>
      <c r="AT142" s="1"/>
      <c r="AU142" s="1"/>
      <c r="AV142" s="1"/>
      <c r="AW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2:65" x14ac:dyDescent="0.3">
      <c r="B143" s="7"/>
      <c r="C143" s="8"/>
      <c r="D143" s="8"/>
      <c r="E143" s="8"/>
      <c r="F143" s="1"/>
      <c r="G143" s="1"/>
      <c r="H143" s="1"/>
      <c r="I143" s="1"/>
      <c r="J143" s="8"/>
      <c r="K143" s="1"/>
      <c r="L143" s="1"/>
      <c r="N143" s="7"/>
      <c r="P143" s="6"/>
      <c r="Q143" s="6"/>
      <c r="R143" s="6"/>
      <c r="S143" s="5"/>
      <c r="T143" s="6"/>
      <c r="U143" s="1"/>
      <c r="V143" s="1"/>
      <c r="X143" s="5"/>
      <c r="Y143" s="1"/>
      <c r="Z143" s="1"/>
      <c r="AA143" s="5"/>
      <c r="AB143" s="1"/>
      <c r="AC143" s="1"/>
      <c r="AD143" s="5"/>
      <c r="AE143" s="1"/>
      <c r="AG143" s="1"/>
      <c r="AH143" s="1"/>
      <c r="AI143" s="1"/>
      <c r="AJ143" s="1"/>
      <c r="AK143" s="1"/>
      <c r="AL143" s="1"/>
      <c r="AM143" s="1"/>
      <c r="AN143" s="5"/>
      <c r="AO143" s="1"/>
      <c r="AP143" s="1"/>
      <c r="AQ143" s="1"/>
      <c r="AR143" s="1"/>
      <c r="AS143" s="1"/>
      <c r="AT143" s="1"/>
      <c r="AU143" s="1"/>
      <c r="AV143" s="1"/>
      <c r="AW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2:65" x14ac:dyDescent="0.3">
      <c r="B144" s="7"/>
      <c r="C144" s="8"/>
      <c r="D144" s="8"/>
      <c r="E144" s="8"/>
      <c r="F144" s="1"/>
      <c r="G144" s="1"/>
      <c r="H144" s="1"/>
      <c r="I144" s="1"/>
      <c r="J144" s="8"/>
      <c r="K144" s="1"/>
      <c r="L144" s="1"/>
      <c r="N144" s="7"/>
      <c r="P144" s="6"/>
      <c r="Q144" s="6"/>
      <c r="R144" s="6"/>
      <c r="S144" s="5"/>
      <c r="T144" s="6"/>
      <c r="U144" s="1"/>
      <c r="V144" s="1"/>
      <c r="X144" s="5"/>
      <c r="Y144" s="1"/>
      <c r="Z144" s="1"/>
      <c r="AA144" s="5"/>
      <c r="AB144" s="1"/>
      <c r="AC144" s="1"/>
      <c r="AD144" s="5"/>
      <c r="AE144" s="1"/>
      <c r="AG144" s="1"/>
      <c r="AH144" s="1"/>
      <c r="AI144" s="1"/>
      <c r="AJ144" s="1"/>
      <c r="AK144" s="1"/>
      <c r="AL144" s="1"/>
      <c r="AM144" s="1"/>
      <c r="AN144" s="5"/>
      <c r="AO144" s="1"/>
      <c r="AP144" s="1"/>
      <c r="AQ144" s="1"/>
      <c r="AR144" s="1"/>
      <c r="AS144" s="1"/>
      <c r="AT144" s="1"/>
      <c r="AU144" s="1"/>
      <c r="AV144" s="1"/>
      <c r="AW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2:65" x14ac:dyDescent="0.3">
      <c r="B145" s="7"/>
      <c r="C145" s="8"/>
      <c r="D145" s="8"/>
      <c r="E145" s="8"/>
      <c r="F145" s="1"/>
      <c r="G145" s="1"/>
      <c r="H145" s="1"/>
      <c r="I145" s="1"/>
      <c r="J145" s="8"/>
      <c r="K145" s="1"/>
      <c r="L145" s="1"/>
      <c r="N145" s="7"/>
      <c r="P145" s="6"/>
      <c r="Q145" s="6"/>
      <c r="R145" s="6"/>
      <c r="S145" s="5"/>
      <c r="T145" s="6"/>
      <c r="U145" s="1"/>
      <c r="V145" s="1"/>
      <c r="X145" s="5"/>
      <c r="Y145" s="1"/>
      <c r="Z145" s="1"/>
      <c r="AA145" s="5"/>
      <c r="AB145" s="1"/>
      <c r="AC145" s="1"/>
      <c r="AD145" s="5"/>
      <c r="AE145" s="1"/>
      <c r="AG145" s="1"/>
      <c r="AH145" s="1"/>
      <c r="AI145" s="1"/>
      <c r="AJ145" s="1"/>
      <c r="AK145" s="1"/>
      <c r="AL145" s="1"/>
      <c r="AM145" s="1"/>
      <c r="AN145" s="5"/>
      <c r="AO145" s="1"/>
      <c r="AP145" s="1"/>
      <c r="AQ145" s="1"/>
      <c r="AR145" s="1"/>
      <c r="AS145" s="1"/>
      <c r="AT145" s="1"/>
      <c r="AU145" s="1"/>
      <c r="AV145" s="1"/>
      <c r="AW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2:65" x14ac:dyDescent="0.3">
      <c r="B146" s="7"/>
      <c r="C146" s="8"/>
      <c r="D146" s="8"/>
      <c r="E146" s="8"/>
      <c r="F146" s="1"/>
      <c r="G146" s="1"/>
      <c r="H146" s="1"/>
      <c r="I146" s="1"/>
      <c r="J146" s="8"/>
      <c r="K146" s="1"/>
      <c r="L146" s="1"/>
      <c r="N146" s="7"/>
      <c r="P146" s="6"/>
      <c r="Q146" s="6"/>
      <c r="R146" s="6"/>
      <c r="S146" s="5"/>
      <c r="T146" s="6"/>
      <c r="U146" s="1"/>
      <c r="V146" s="1"/>
      <c r="X146" s="5"/>
      <c r="Y146" s="1"/>
      <c r="Z146" s="1"/>
      <c r="AA146" s="5"/>
      <c r="AB146" s="1"/>
      <c r="AC146" s="1"/>
      <c r="AD146" s="5"/>
      <c r="AE146" s="1"/>
      <c r="AG146" s="1"/>
      <c r="AH146" s="1"/>
      <c r="AI146" s="1"/>
      <c r="AJ146" s="1"/>
      <c r="AK146" s="1"/>
      <c r="AL146" s="1"/>
      <c r="AM146" s="1"/>
      <c r="AN146" s="5"/>
      <c r="AO146" s="1"/>
      <c r="AP146" s="1"/>
      <c r="AQ146" s="1"/>
      <c r="AR146" s="1"/>
      <c r="AS146" s="1"/>
      <c r="AT146" s="1"/>
      <c r="AU146" s="1"/>
      <c r="AV146" s="1"/>
      <c r="AW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2:65" x14ac:dyDescent="0.3">
      <c r="B147" s="7"/>
      <c r="C147" s="8"/>
      <c r="D147" s="8"/>
      <c r="E147" s="8"/>
      <c r="F147" s="1"/>
      <c r="G147" s="1"/>
      <c r="H147" s="1"/>
      <c r="I147" s="1"/>
      <c r="J147" s="8"/>
      <c r="K147" s="1"/>
      <c r="L147" s="1"/>
      <c r="N147" s="7"/>
      <c r="P147" s="6"/>
      <c r="Q147" s="6"/>
      <c r="R147" s="6"/>
      <c r="S147" s="5"/>
      <c r="T147" s="6"/>
      <c r="U147" s="1"/>
      <c r="V147" s="1"/>
      <c r="X147" s="5"/>
      <c r="Y147" s="1"/>
      <c r="Z147" s="1"/>
      <c r="AA147" s="5"/>
      <c r="AB147" s="1"/>
      <c r="AC147" s="1"/>
      <c r="AD147" s="5"/>
      <c r="AE147" s="1"/>
      <c r="AG147" s="1"/>
      <c r="AH147" s="1"/>
      <c r="AI147" s="1"/>
      <c r="AJ147" s="1"/>
      <c r="AK147" s="1"/>
      <c r="AL147" s="1"/>
      <c r="AM147" s="1"/>
      <c r="AN147" s="5"/>
      <c r="AO147" s="1"/>
      <c r="AP147" s="1"/>
      <c r="AQ147" s="1"/>
      <c r="AR147" s="1"/>
      <c r="AS147" s="1"/>
      <c r="AT147" s="1"/>
      <c r="AU147" s="1"/>
      <c r="AV147" s="1"/>
      <c r="AW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2:65" x14ac:dyDescent="0.3">
      <c r="B148" s="7"/>
      <c r="C148" s="8"/>
      <c r="D148" s="8"/>
      <c r="E148" s="8"/>
      <c r="F148" s="1"/>
      <c r="G148" s="1"/>
      <c r="H148" s="1"/>
      <c r="I148" s="1"/>
      <c r="J148" s="8"/>
      <c r="K148" s="1"/>
      <c r="L148" s="1"/>
      <c r="N148" s="7"/>
      <c r="P148" s="6"/>
      <c r="Q148" s="6"/>
      <c r="R148" s="6"/>
      <c r="S148" s="5"/>
      <c r="T148" s="6"/>
      <c r="U148" s="1"/>
      <c r="V148" s="1"/>
      <c r="X148" s="5"/>
      <c r="Y148" s="1"/>
      <c r="Z148" s="1"/>
      <c r="AA148" s="5"/>
      <c r="AB148" s="1"/>
      <c r="AC148" s="1"/>
      <c r="AD148" s="5"/>
      <c r="AE148" s="1"/>
      <c r="AG148" s="1"/>
      <c r="AH148" s="1"/>
      <c r="AI148" s="1"/>
      <c r="AJ148" s="1"/>
      <c r="AK148" s="1"/>
      <c r="AL148" s="1"/>
      <c r="AM148" s="1"/>
      <c r="AN148" s="5"/>
      <c r="AO148" s="1"/>
      <c r="AP148" s="1"/>
      <c r="AQ148" s="1"/>
      <c r="AR148" s="1"/>
      <c r="AS148" s="1"/>
      <c r="AT148" s="1"/>
      <c r="AU148" s="1"/>
      <c r="AV148" s="1"/>
      <c r="AW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2:65" x14ac:dyDescent="0.3">
      <c r="B149" s="7"/>
      <c r="C149" s="8"/>
      <c r="D149" s="8"/>
      <c r="E149" s="8"/>
      <c r="F149" s="1"/>
      <c r="G149" s="1"/>
      <c r="H149" s="1"/>
      <c r="I149" s="1"/>
      <c r="J149" s="8"/>
      <c r="K149" s="1"/>
      <c r="L149" s="1"/>
      <c r="N149" s="7"/>
      <c r="P149" s="6"/>
      <c r="Q149" s="6"/>
      <c r="R149" s="6"/>
      <c r="S149" s="5"/>
      <c r="T149" s="6"/>
      <c r="U149" s="1"/>
      <c r="V149" s="1"/>
      <c r="X149" s="5"/>
      <c r="Y149" s="1"/>
      <c r="Z149" s="1"/>
      <c r="AA149" s="5"/>
      <c r="AB149" s="1"/>
      <c r="AC149" s="1"/>
      <c r="AD149" s="5"/>
      <c r="AE149" s="1"/>
      <c r="AG149" s="1"/>
      <c r="AH149" s="1"/>
      <c r="AI149" s="1"/>
      <c r="AJ149" s="1"/>
      <c r="AK149" s="1"/>
      <c r="AL149" s="1"/>
      <c r="AM149" s="1"/>
      <c r="AN149" s="5"/>
      <c r="AO149" s="1"/>
      <c r="AP149" s="1"/>
      <c r="AQ149" s="1"/>
      <c r="AR149" s="1"/>
      <c r="AS149" s="1"/>
      <c r="AT149" s="1"/>
      <c r="AU149" s="1"/>
      <c r="AV149" s="1"/>
      <c r="AW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2:65" x14ac:dyDescent="0.3">
      <c r="B150" s="7"/>
      <c r="C150" s="8"/>
      <c r="D150" s="8"/>
      <c r="E150" s="8"/>
      <c r="F150" s="1"/>
      <c r="G150" s="1"/>
      <c r="H150" s="1"/>
      <c r="I150" s="1"/>
      <c r="J150" s="8"/>
      <c r="K150" s="1"/>
      <c r="L150" s="1"/>
      <c r="N150" s="7"/>
      <c r="P150" s="6"/>
      <c r="Q150" s="6"/>
      <c r="R150" s="6"/>
      <c r="S150" s="5"/>
      <c r="T150" s="6"/>
      <c r="U150" s="1"/>
      <c r="V150" s="1"/>
      <c r="X150" s="5"/>
      <c r="Y150" s="1"/>
      <c r="Z150" s="1"/>
      <c r="AA150" s="5"/>
      <c r="AB150" s="1"/>
      <c r="AC150" s="1"/>
      <c r="AD150" s="5"/>
      <c r="AE150" s="1"/>
      <c r="AG150" s="1"/>
      <c r="AH150" s="1"/>
      <c r="AI150" s="1"/>
      <c r="AJ150" s="1"/>
      <c r="AK150" s="1"/>
      <c r="AL150" s="1"/>
      <c r="AM150" s="1"/>
      <c r="AN150" s="5"/>
      <c r="AO150" s="1"/>
      <c r="AP150" s="1"/>
      <c r="AQ150" s="1"/>
      <c r="AR150" s="1"/>
      <c r="AS150" s="1"/>
      <c r="AT150" s="1"/>
      <c r="AU150" s="1"/>
      <c r="AV150" s="1"/>
      <c r="AW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2:65" x14ac:dyDescent="0.3">
      <c r="B151" s="7"/>
      <c r="C151" s="8"/>
      <c r="D151" s="8"/>
      <c r="E151" s="8"/>
      <c r="F151" s="1"/>
      <c r="G151" s="1"/>
      <c r="H151" s="1"/>
      <c r="I151" s="1"/>
      <c r="J151" s="8"/>
      <c r="K151" s="1"/>
      <c r="L151" s="1"/>
      <c r="N151" s="7"/>
      <c r="P151" s="6"/>
      <c r="Q151" s="6"/>
      <c r="R151" s="6"/>
      <c r="S151" s="5"/>
      <c r="T151" s="6"/>
      <c r="U151" s="1"/>
      <c r="V151" s="1"/>
      <c r="X151" s="5"/>
      <c r="Y151" s="1"/>
      <c r="Z151" s="1"/>
      <c r="AA151" s="5"/>
      <c r="AB151" s="1"/>
      <c r="AC151" s="1"/>
      <c r="AD151" s="5"/>
      <c r="AE151" s="1"/>
      <c r="AG151" s="1"/>
      <c r="AH151" s="1"/>
      <c r="AI151" s="1"/>
      <c r="AJ151" s="1"/>
      <c r="AK151" s="1"/>
      <c r="AL151" s="1"/>
      <c r="AM151" s="1"/>
      <c r="AN151" s="5"/>
      <c r="AO151" s="1"/>
      <c r="AP151" s="1"/>
      <c r="AQ151" s="1"/>
      <c r="AR151" s="1"/>
      <c r="AS151" s="1"/>
      <c r="AT151" s="1"/>
      <c r="AU151" s="1"/>
      <c r="AV151" s="1"/>
      <c r="AW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2:65" x14ac:dyDescent="0.3">
      <c r="B152" s="7"/>
      <c r="C152" s="8"/>
      <c r="D152" s="8"/>
      <c r="E152" s="8"/>
      <c r="F152" s="1"/>
      <c r="G152" s="1"/>
      <c r="H152" s="1"/>
      <c r="I152" s="1"/>
      <c r="J152" s="8"/>
      <c r="K152" s="1"/>
      <c r="L152" s="1"/>
      <c r="N152" s="7"/>
      <c r="P152" s="6"/>
      <c r="Q152" s="6"/>
      <c r="R152" s="6"/>
      <c r="S152" s="5"/>
      <c r="T152" s="6"/>
      <c r="U152" s="1"/>
      <c r="V152" s="1"/>
      <c r="X152" s="5"/>
      <c r="Y152" s="1"/>
      <c r="Z152" s="1"/>
      <c r="AA152" s="5"/>
      <c r="AB152" s="1"/>
      <c r="AC152" s="1"/>
      <c r="AD152" s="5"/>
      <c r="AE152" s="1"/>
      <c r="AG152" s="1"/>
      <c r="AH152" s="1"/>
      <c r="AI152" s="1"/>
      <c r="AJ152" s="1"/>
      <c r="AK152" s="1"/>
      <c r="AL152" s="1"/>
      <c r="AM152" s="1"/>
      <c r="AN152" s="5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2:65" x14ac:dyDescent="0.3">
      <c r="B153" s="7"/>
      <c r="C153" s="8"/>
      <c r="D153" s="8"/>
      <c r="E153" s="8"/>
      <c r="F153" s="1"/>
      <c r="G153" s="1"/>
      <c r="H153" s="1"/>
      <c r="I153" s="1"/>
      <c r="J153" s="8"/>
      <c r="K153" s="1"/>
      <c r="L153" s="1"/>
      <c r="N153" s="7"/>
      <c r="P153" s="6"/>
      <c r="Q153" s="6"/>
      <c r="R153" s="6"/>
      <c r="S153" s="5"/>
      <c r="T153" s="6"/>
      <c r="U153" s="1"/>
      <c r="V153" s="1"/>
      <c r="X153" s="5"/>
      <c r="Y153" s="1"/>
      <c r="Z153" s="1"/>
      <c r="AA153" s="5"/>
      <c r="AB153" s="1"/>
      <c r="AC153" s="1"/>
      <c r="AD153" s="5"/>
      <c r="AE153" s="1"/>
      <c r="AG153" s="1"/>
      <c r="AH153" s="1"/>
      <c r="AI153" s="1"/>
      <c r="AJ153" s="1"/>
      <c r="AK153" s="1"/>
      <c r="AL153" s="1"/>
      <c r="AM153" s="1"/>
      <c r="AN153" s="5"/>
      <c r="AP153" s="1"/>
      <c r="AQ153" s="1"/>
      <c r="AR153" s="1"/>
      <c r="AS153" s="1"/>
      <c r="AT153" s="1"/>
      <c r="AU153" s="1"/>
      <c r="AV153" s="1"/>
      <c r="AW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2:65" x14ac:dyDescent="0.3">
      <c r="B154" s="7"/>
      <c r="C154" s="8"/>
      <c r="D154" s="8"/>
      <c r="E154" s="8"/>
      <c r="F154" s="1"/>
      <c r="G154" s="1"/>
      <c r="H154" s="1"/>
      <c r="I154" s="1"/>
      <c r="J154" s="8"/>
      <c r="K154" s="1"/>
      <c r="L154" s="1"/>
      <c r="N154" s="7"/>
      <c r="P154" s="6"/>
      <c r="Q154" s="6"/>
      <c r="R154" s="6"/>
      <c r="S154" s="5"/>
      <c r="T154" s="6"/>
      <c r="U154" s="1"/>
      <c r="V154" s="1"/>
      <c r="X154" s="5"/>
      <c r="Y154" s="1"/>
      <c r="Z154" s="1"/>
      <c r="AA154" s="5"/>
      <c r="AB154" s="1"/>
      <c r="AC154" s="1"/>
      <c r="AD154" s="5"/>
      <c r="AE154" s="1"/>
      <c r="AG154" s="1"/>
      <c r="AH154" s="1"/>
      <c r="AI154" s="1"/>
      <c r="AJ154" s="1"/>
      <c r="AK154" s="1"/>
      <c r="AL154" s="1"/>
      <c r="AM154" s="1"/>
      <c r="AN154" s="5"/>
      <c r="AP154" s="1"/>
      <c r="AQ154" s="1"/>
      <c r="AR154" s="1"/>
      <c r="AS154" s="1"/>
      <c r="AT154" s="1"/>
      <c r="AU154" s="1"/>
      <c r="AV154" s="1"/>
      <c r="AW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2:65" x14ac:dyDescent="0.3">
      <c r="B155" s="7"/>
      <c r="C155" s="8"/>
      <c r="D155" s="8"/>
      <c r="E155" s="8"/>
      <c r="F155" s="1"/>
      <c r="G155" s="1"/>
      <c r="H155" s="1"/>
      <c r="I155" s="1"/>
      <c r="J155" s="8"/>
      <c r="K155" s="1"/>
      <c r="L155" s="1"/>
      <c r="N155" s="7"/>
      <c r="P155" s="6"/>
      <c r="Q155" s="6"/>
      <c r="R155" s="6"/>
      <c r="S155" s="5"/>
      <c r="T155" s="6"/>
      <c r="U155" s="1"/>
      <c r="V155" s="1"/>
      <c r="X155" s="5"/>
      <c r="Y155" s="1"/>
      <c r="Z155" s="1"/>
      <c r="AA155" s="5"/>
      <c r="AB155" s="1"/>
      <c r="AC155" s="1"/>
      <c r="AD155" s="5"/>
      <c r="AE155" s="1"/>
      <c r="AG155" s="1"/>
      <c r="AH155" s="1"/>
      <c r="AI155" s="1"/>
      <c r="AJ155" s="1"/>
      <c r="AK155" s="1"/>
      <c r="AL155" s="1"/>
      <c r="AM155" s="1"/>
      <c r="AN155" s="5"/>
      <c r="AP155" s="1"/>
      <c r="AQ155" s="1"/>
      <c r="AR155" s="1"/>
      <c r="AS155" s="1"/>
      <c r="AT155" s="1"/>
      <c r="AU155" s="1"/>
      <c r="AV155" s="1"/>
      <c r="AW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2:65" x14ac:dyDescent="0.3">
      <c r="B156" s="7"/>
      <c r="C156" s="8"/>
      <c r="D156" s="8"/>
      <c r="E156" s="8"/>
      <c r="F156" s="1"/>
      <c r="G156" s="1"/>
      <c r="H156" s="1"/>
      <c r="I156" s="1"/>
      <c r="J156" s="8"/>
      <c r="K156" s="1"/>
      <c r="L156" s="1"/>
      <c r="N156" s="7"/>
      <c r="P156" s="6"/>
      <c r="Q156" s="6"/>
      <c r="R156" s="6"/>
      <c r="S156" s="5"/>
      <c r="T156" s="6"/>
      <c r="U156" s="1"/>
      <c r="V156" s="1"/>
      <c r="X156" s="5"/>
      <c r="Y156" s="1"/>
      <c r="Z156" s="1"/>
      <c r="AA156" s="5"/>
      <c r="AB156" s="1"/>
      <c r="AC156" s="1"/>
      <c r="AD156" s="5"/>
      <c r="AE156" s="1"/>
      <c r="AG156" s="1"/>
      <c r="AH156" s="1"/>
      <c r="AI156" s="1"/>
      <c r="AJ156" s="1"/>
      <c r="AK156" s="1"/>
      <c r="AL156" s="1"/>
      <c r="AM156" s="1"/>
      <c r="AN156" s="5"/>
      <c r="AP156" s="1"/>
      <c r="AQ156" s="1"/>
      <c r="AR156" s="1"/>
      <c r="AS156" s="1"/>
      <c r="AT156" s="1"/>
      <c r="AU156" s="1"/>
      <c r="AV156" s="1"/>
      <c r="AW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2:65" x14ac:dyDescent="0.3">
      <c r="B157" s="7"/>
      <c r="C157" s="8"/>
      <c r="D157" s="8"/>
      <c r="E157" s="8"/>
      <c r="F157" s="1"/>
      <c r="G157" s="1"/>
      <c r="H157" s="1"/>
      <c r="I157" s="1"/>
      <c r="J157" s="8"/>
      <c r="K157" s="1"/>
      <c r="L157" s="1"/>
      <c r="N157" s="7"/>
      <c r="P157" s="6"/>
      <c r="Q157" s="6"/>
      <c r="R157" s="6"/>
      <c r="S157" s="5"/>
      <c r="T157" s="6"/>
      <c r="U157" s="1"/>
      <c r="V157" s="1"/>
      <c r="X157" s="5"/>
      <c r="Y157" s="1"/>
      <c r="Z157" s="1"/>
      <c r="AA157" s="5"/>
      <c r="AB157" s="1"/>
      <c r="AC157" s="1"/>
      <c r="AD157" s="5"/>
      <c r="AE157" s="1"/>
      <c r="AG157" s="1"/>
      <c r="AH157" s="1"/>
      <c r="AI157" s="1"/>
      <c r="AJ157" s="1"/>
      <c r="AK157" s="1"/>
      <c r="AL157" s="1"/>
      <c r="AM157" s="1"/>
      <c r="AN157" s="5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2:65" x14ac:dyDescent="0.3">
      <c r="B158" s="7"/>
      <c r="C158" s="8"/>
      <c r="D158" s="8"/>
      <c r="E158" s="8"/>
      <c r="F158" s="1"/>
      <c r="G158" s="1"/>
      <c r="H158" s="1"/>
      <c r="I158" s="1"/>
      <c r="J158" s="8"/>
      <c r="K158" s="1"/>
      <c r="L158" s="1"/>
      <c r="N158" s="7"/>
      <c r="P158" s="6"/>
      <c r="Q158" s="6"/>
      <c r="R158" s="6"/>
      <c r="S158" s="5"/>
      <c r="T158" s="6"/>
      <c r="U158" s="1"/>
      <c r="V158" s="1"/>
      <c r="X158" s="5"/>
      <c r="Y158" s="1"/>
      <c r="Z158" s="1"/>
      <c r="AA158" s="5"/>
      <c r="AB158" s="1"/>
      <c r="AC158" s="1"/>
      <c r="AD158" s="5"/>
      <c r="AE158" s="1"/>
      <c r="AG158" s="1"/>
      <c r="AH158" s="1"/>
      <c r="AI158" s="1"/>
      <c r="AJ158" s="1"/>
      <c r="AK158" s="1"/>
      <c r="AL158" s="1"/>
      <c r="AM158" s="1"/>
      <c r="AN158" s="5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2:65" x14ac:dyDescent="0.3">
      <c r="B159" s="7"/>
      <c r="C159" s="8"/>
      <c r="D159" s="8"/>
      <c r="E159" s="8"/>
      <c r="F159" s="1"/>
      <c r="G159" s="1"/>
      <c r="H159" s="1"/>
      <c r="I159" s="1"/>
      <c r="J159" s="8"/>
      <c r="K159" s="1"/>
      <c r="L159" s="1"/>
      <c r="N159" s="7"/>
      <c r="P159" s="6"/>
      <c r="Q159" s="6"/>
      <c r="R159" s="6"/>
      <c r="S159" s="5"/>
      <c r="T159" s="6"/>
      <c r="U159" s="1"/>
      <c r="V159" s="1"/>
      <c r="X159" s="5"/>
      <c r="Y159" s="1"/>
      <c r="Z159" s="1"/>
      <c r="AA159" s="5"/>
      <c r="AB159" s="1"/>
      <c r="AC159" s="1"/>
      <c r="AD159" s="5"/>
      <c r="AE159" s="1"/>
      <c r="AG159" s="1"/>
      <c r="AH159" s="1"/>
      <c r="AI159" s="1"/>
      <c r="AJ159" s="1"/>
      <c r="AK159" s="1"/>
      <c r="AL159" s="1"/>
      <c r="AM159" s="1"/>
      <c r="AN159" s="5"/>
      <c r="AP159" s="1"/>
      <c r="AQ159" s="1"/>
      <c r="AR159" s="1"/>
      <c r="AS159" s="1"/>
      <c r="AT159" s="1"/>
      <c r="AU159" s="1"/>
      <c r="AV159" s="1"/>
      <c r="AW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2:65" x14ac:dyDescent="0.3">
      <c r="B160" s="7"/>
      <c r="C160" s="8"/>
      <c r="D160" s="8"/>
      <c r="E160" s="8"/>
      <c r="F160" s="1"/>
      <c r="G160" s="1"/>
      <c r="H160" s="1"/>
      <c r="I160" s="1"/>
      <c r="J160" s="8"/>
      <c r="K160" s="1"/>
      <c r="L160" s="1"/>
      <c r="N160" s="7"/>
      <c r="P160" s="6"/>
      <c r="Q160" s="6"/>
      <c r="R160" s="6"/>
      <c r="S160" s="5"/>
      <c r="T160" s="6"/>
      <c r="U160" s="1"/>
      <c r="V160" s="1"/>
      <c r="X160" s="5"/>
      <c r="Y160" s="1"/>
      <c r="Z160" s="1"/>
      <c r="AA160" s="5"/>
      <c r="AB160" s="1"/>
      <c r="AC160" s="1"/>
      <c r="AD160" s="5"/>
      <c r="AE160" s="1"/>
      <c r="AG160" s="1"/>
      <c r="AH160" s="1"/>
      <c r="AI160" s="1"/>
      <c r="AJ160" s="1"/>
      <c r="AK160" s="1"/>
      <c r="AL160" s="1"/>
      <c r="AM160" s="1"/>
      <c r="AN160" s="5"/>
      <c r="AP160" s="1"/>
      <c r="AQ160" s="1"/>
      <c r="AR160" s="1"/>
      <c r="AS160" s="1"/>
      <c r="AT160" s="1"/>
      <c r="AU160" s="1"/>
      <c r="AV160" s="1"/>
      <c r="AW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2:65" x14ac:dyDescent="0.3">
      <c r="B161" s="7"/>
      <c r="C161" s="8"/>
      <c r="D161" s="8"/>
      <c r="E161" s="8"/>
      <c r="F161" s="1"/>
      <c r="G161" s="1"/>
      <c r="H161" s="1"/>
      <c r="I161" s="1"/>
      <c r="J161" s="8"/>
      <c r="K161" s="1"/>
      <c r="L161" s="1"/>
      <c r="N161" s="7"/>
      <c r="P161" s="6"/>
      <c r="Q161" s="6"/>
      <c r="R161" s="6"/>
      <c r="S161" s="5"/>
      <c r="T161" s="6"/>
      <c r="U161" s="1"/>
      <c r="V161" s="1"/>
      <c r="X161" s="5"/>
      <c r="Y161" s="1"/>
      <c r="Z161" s="1"/>
      <c r="AA161" s="5"/>
      <c r="AB161" s="1"/>
      <c r="AC161" s="1"/>
      <c r="AD161" s="5"/>
      <c r="AE161" s="1"/>
      <c r="AG161" s="1"/>
      <c r="AH161" s="1"/>
      <c r="AI161" s="1"/>
      <c r="AJ161" s="1"/>
      <c r="AK161" s="1"/>
      <c r="AL161" s="1"/>
      <c r="AM161" s="1"/>
      <c r="AN161" s="5"/>
      <c r="AP161" s="1"/>
      <c r="AQ161" s="1"/>
      <c r="AR161" s="1"/>
      <c r="AS161" s="1"/>
      <c r="AT161" s="1"/>
      <c r="AU161" s="1"/>
      <c r="AV161" s="1"/>
      <c r="AW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2:65" x14ac:dyDescent="0.3">
      <c r="B162" s="7"/>
      <c r="C162" s="8"/>
      <c r="D162" s="8"/>
      <c r="E162" s="8"/>
      <c r="F162" s="1"/>
      <c r="G162" s="1"/>
      <c r="H162" s="1"/>
      <c r="I162" s="1"/>
      <c r="J162" s="8"/>
      <c r="K162" s="1"/>
      <c r="L162" s="1"/>
      <c r="N162" s="7"/>
      <c r="P162" s="6"/>
      <c r="Q162" s="6"/>
      <c r="R162" s="6"/>
      <c r="S162" s="5"/>
      <c r="T162" s="6"/>
      <c r="U162" s="1"/>
      <c r="V162" s="1"/>
      <c r="X162" s="5"/>
      <c r="Y162" s="1"/>
      <c r="Z162" s="1"/>
      <c r="AA162" s="5"/>
      <c r="AB162" s="1"/>
      <c r="AC162" s="1"/>
      <c r="AD162" s="5"/>
      <c r="AE162" s="1"/>
      <c r="AG162" s="1"/>
      <c r="AH162" s="1"/>
      <c r="AI162" s="1"/>
      <c r="AJ162" s="1"/>
      <c r="AK162" s="1"/>
      <c r="AL162" s="1"/>
      <c r="AM162" s="1"/>
      <c r="AN162" s="5"/>
      <c r="AP162" s="1"/>
      <c r="AQ162" s="1"/>
      <c r="AR162" s="1"/>
      <c r="AS162" s="1"/>
      <c r="AT162" s="1"/>
      <c r="AU162" s="1"/>
      <c r="AV162" s="1"/>
      <c r="AW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2:65" x14ac:dyDescent="0.3">
      <c r="B163" s="7"/>
      <c r="C163" s="8"/>
      <c r="D163" s="8"/>
      <c r="E163" s="8"/>
      <c r="F163" s="1"/>
      <c r="G163" s="1"/>
      <c r="H163" s="1"/>
      <c r="I163" s="1"/>
      <c r="J163" s="8"/>
      <c r="K163" s="1"/>
      <c r="L163" s="1"/>
      <c r="N163" s="7"/>
      <c r="P163" s="6"/>
      <c r="Q163" s="6"/>
      <c r="R163" s="6"/>
      <c r="S163" s="5"/>
      <c r="T163" s="6"/>
      <c r="U163" s="1"/>
      <c r="V163" s="1"/>
      <c r="X163" s="5"/>
      <c r="Y163" s="1"/>
      <c r="Z163" s="1"/>
      <c r="AA163" s="5"/>
      <c r="AB163" s="1"/>
      <c r="AC163" s="1"/>
      <c r="AD163" s="5"/>
      <c r="AE163" s="1"/>
      <c r="AG163" s="1"/>
      <c r="AH163" s="1"/>
      <c r="AI163" s="1"/>
      <c r="AJ163" s="1"/>
      <c r="AK163" s="1"/>
      <c r="AL163" s="1"/>
      <c r="AM163" s="1"/>
      <c r="AN163" s="5"/>
      <c r="AP163" s="1"/>
      <c r="AQ163" s="1"/>
      <c r="AR163" s="1"/>
      <c r="AS163" s="1"/>
      <c r="AT163" s="1"/>
      <c r="AU163" s="1"/>
      <c r="AV163" s="1"/>
      <c r="AW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2:65" x14ac:dyDescent="0.3">
      <c r="B164" s="7"/>
      <c r="C164" s="8"/>
      <c r="D164" s="8"/>
      <c r="E164" s="8"/>
      <c r="F164" s="1"/>
      <c r="G164" s="1"/>
      <c r="H164" s="1"/>
      <c r="I164" s="1"/>
      <c r="J164" s="8"/>
      <c r="K164" s="1"/>
      <c r="L164" s="1"/>
      <c r="N164" s="7"/>
      <c r="P164" s="6"/>
      <c r="Q164" s="6"/>
      <c r="R164" s="6"/>
      <c r="S164" s="5"/>
      <c r="T164" s="6"/>
      <c r="U164" s="1"/>
      <c r="V164" s="1"/>
      <c r="X164" s="5"/>
      <c r="Y164" s="1"/>
      <c r="Z164" s="1"/>
      <c r="AA164" s="5"/>
      <c r="AB164" s="1"/>
      <c r="AC164" s="1"/>
      <c r="AD164" s="5"/>
      <c r="AE164" s="1"/>
      <c r="AG164" s="1"/>
      <c r="AH164" s="1"/>
      <c r="AI164" s="1"/>
      <c r="AJ164" s="1"/>
      <c r="AK164" s="1"/>
      <c r="AL164" s="1"/>
      <c r="AM164" s="1"/>
      <c r="AN164" s="5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2:65" x14ac:dyDescent="0.3">
      <c r="B165" s="7"/>
      <c r="C165" s="8"/>
      <c r="D165" s="8"/>
      <c r="E165" s="8"/>
      <c r="F165" s="1"/>
      <c r="G165" s="1"/>
      <c r="H165" s="1"/>
      <c r="I165" s="1"/>
      <c r="J165" s="8"/>
      <c r="K165" s="1"/>
      <c r="L165" s="1"/>
      <c r="N165" s="7"/>
      <c r="P165" s="6"/>
      <c r="Q165" s="6"/>
      <c r="R165" s="6"/>
      <c r="S165" s="5"/>
      <c r="T165" s="6"/>
      <c r="U165" s="1"/>
      <c r="V165" s="1"/>
      <c r="X165" s="5"/>
      <c r="Y165" s="1"/>
      <c r="Z165" s="1"/>
      <c r="AA165" s="5"/>
      <c r="AB165" s="1"/>
      <c r="AC165" s="1"/>
      <c r="AD165" s="5"/>
      <c r="AE165" s="1"/>
      <c r="AG165" s="1"/>
      <c r="AH165" s="1"/>
      <c r="AI165" s="1"/>
      <c r="AJ165" s="1"/>
      <c r="AK165" s="1"/>
      <c r="AL165" s="1"/>
      <c r="AM165" s="1"/>
      <c r="AN165" s="5"/>
      <c r="AP165" s="1"/>
      <c r="AQ165" s="1"/>
      <c r="AR165" s="1"/>
      <c r="AS165" s="1"/>
      <c r="AT165" s="1"/>
      <c r="AU165" s="1"/>
      <c r="AV165" s="1"/>
      <c r="AW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2:65" x14ac:dyDescent="0.3">
      <c r="B166" s="7"/>
      <c r="C166" s="8"/>
      <c r="D166" s="8"/>
      <c r="E166" s="8"/>
      <c r="F166" s="1"/>
      <c r="G166" s="1"/>
      <c r="H166" s="1"/>
      <c r="I166" s="1"/>
      <c r="J166" s="8"/>
      <c r="K166" s="1"/>
      <c r="L166" s="1"/>
      <c r="N166" s="7"/>
      <c r="P166" s="6"/>
      <c r="Q166" s="6"/>
      <c r="R166" s="6"/>
      <c r="S166" s="5"/>
      <c r="T166" s="6"/>
      <c r="U166" s="1"/>
      <c r="V166" s="1"/>
      <c r="X166" s="5"/>
      <c r="Y166" s="1"/>
      <c r="Z166" s="1"/>
      <c r="AA166" s="5"/>
      <c r="AB166" s="1"/>
      <c r="AC166" s="1"/>
      <c r="AD166" s="5"/>
      <c r="AE166" s="1"/>
      <c r="AG166" s="1"/>
      <c r="AH166" s="1"/>
      <c r="AI166" s="1"/>
      <c r="AJ166" s="1"/>
      <c r="AK166" s="1"/>
      <c r="AL166" s="1"/>
      <c r="AM166" s="1"/>
      <c r="AN166" s="5"/>
      <c r="AP166" s="1"/>
      <c r="AQ166" s="1"/>
      <c r="AR166" s="1"/>
      <c r="AS166" s="1"/>
      <c r="AT166" s="1"/>
      <c r="AU166" s="1"/>
      <c r="AV166" s="1"/>
      <c r="AW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2:65" x14ac:dyDescent="0.3">
      <c r="B167" s="7"/>
      <c r="C167" s="8"/>
      <c r="D167" s="8"/>
      <c r="E167" s="8"/>
      <c r="F167" s="1"/>
      <c r="G167" s="1"/>
      <c r="H167" s="1"/>
      <c r="I167" s="1"/>
      <c r="J167" s="8"/>
      <c r="K167" s="1"/>
      <c r="L167" s="1"/>
      <c r="N167" s="7"/>
      <c r="P167" s="6"/>
      <c r="Q167" s="6"/>
      <c r="R167" s="6"/>
      <c r="S167" s="5"/>
      <c r="T167" s="6"/>
      <c r="U167" s="1"/>
      <c r="V167" s="1"/>
      <c r="X167" s="5"/>
      <c r="Y167" s="1"/>
      <c r="Z167" s="1"/>
      <c r="AA167" s="5"/>
      <c r="AB167" s="1"/>
      <c r="AC167" s="1"/>
      <c r="AD167" s="5"/>
      <c r="AE167" s="1"/>
      <c r="AG167" s="1"/>
      <c r="AH167" s="1"/>
      <c r="AI167" s="1"/>
      <c r="AJ167" s="1"/>
      <c r="AK167" s="1"/>
      <c r="AL167" s="1"/>
      <c r="AM167" s="1"/>
      <c r="AN167" s="5"/>
      <c r="AP167" s="1"/>
      <c r="AQ167" s="1"/>
      <c r="AR167" s="1"/>
      <c r="AS167" s="1"/>
      <c r="AT167" s="1"/>
      <c r="AU167" s="1"/>
      <c r="AV167" s="1"/>
      <c r="AW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2:65" x14ac:dyDescent="0.3">
      <c r="B168" s="7"/>
      <c r="C168" s="8"/>
      <c r="D168" s="8"/>
      <c r="E168" s="8"/>
      <c r="F168" s="1"/>
      <c r="G168" s="1"/>
      <c r="H168" s="1"/>
      <c r="I168" s="1"/>
      <c r="J168" s="8"/>
      <c r="K168" s="1"/>
      <c r="L168" s="1"/>
      <c r="N168" s="7"/>
      <c r="P168" s="6"/>
      <c r="Q168" s="6"/>
      <c r="R168" s="6"/>
      <c r="S168" s="5"/>
      <c r="T168" s="6"/>
      <c r="U168" s="1"/>
      <c r="V168" s="1"/>
      <c r="X168" s="5"/>
      <c r="Y168" s="1"/>
      <c r="Z168" s="1"/>
      <c r="AA168" s="5"/>
      <c r="AB168" s="1"/>
      <c r="AC168" s="1"/>
      <c r="AD168" s="5"/>
      <c r="AE168" s="1"/>
      <c r="AG168" s="1"/>
      <c r="AH168" s="1"/>
      <c r="AI168" s="1"/>
      <c r="AJ168" s="1"/>
      <c r="AK168" s="1"/>
      <c r="AL168" s="1"/>
      <c r="AM168" s="1"/>
      <c r="AN168" s="5"/>
      <c r="AP168" s="1"/>
      <c r="AQ168" s="1"/>
      <c r="AR168" s="1"/>
      <c r="AS168" s="1"/>
      <c r="AT168" s="1"/>
      <c r="AU168" s="1"/>
      <c r="AV168" s="1"/>
      <c r="AW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2:65" x14ac:dyDescent="0.3">
      <c r="B169" s="7"/>
      <c r="C169" s="8"/>
      <c r="D169" s="8"/>
      <c r="E169" s="8"/>
      <c r="F169" s="1"/>
      <c r="G169" s="1"/>
      <c r="H169" s="1"/>
      <c r="I169" s="1"/>
      <c r="J169" s="8"/>
      <c r="K169" s="1"/>
      <c r="L169" s="1"/>
      <c r="N169" s="7"/>
      <c r="P169" s="6"/>
      <c r="Q169" s="6"/>
      <c r="R169" s="6"/>
      <c r="S169" s="5"/>
      <c r="T169" s="6"/>
      <c r="U169" s="1"/>
      <c r="V169" s="1"/>
      <c r="X169" s="5"/>
      <c r="Y169" s="1"/>
      <c r="Z169" s="1"/>
      <c r="AA169" s="5"/>
      <c r="AB169" s="1"/>
      <c r="AC169" s="1"/>
      <c r="AD169" s="5"/>
      <c r="AE169" s="1"/>
      <c r="AG169" s="1"/>
      <c r="AH169" s="1"/>
      <c r="AI169" s="1"/>
      <c r="AJ169" s="1"/>
      <c r="AK169" s="1"/>
      <c r="AL169" s="1"/>
      <c r="AM169" s="1"/>
      <c r="AN169" s="5"/>
      <c r="AP169" s="1"/>
      <c r="AQ169" s="1"/>
      <c r="AR169" s="1"/>
      <c r="AS169" s="1"/>
      <c r="AT169" s="1"/>
      <c r="AU169" s="1"/>
      <c r="AV169" s="1"/>
      <c r="AW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2:65" x14ac:dyDescent="0.3">
      <c r="B170" s="7"/>
      <c r="C170" s="8"/>
      <c r="D170" s="8"/>
      <c r="E170" s="8"/>
      <c r="J170" s="8"/>
      <c r="K170" s="1"/>
      <c r="N170" s="7"/>
      <c r="P170" s="6"/>
      <c r="Q170" s="6"/>
      <c r="R170" s="6"/>
      <c r="S170" s="5"/>
      <c r="T170" s="6"/>
      <c r="U170" s="1"/>
      <c r="V170" s="1"/>
      <c r="X170" s="5"/>
      <c r="Y170" s="1"/>
      <c r="Z170" s="1"/>
      <c r="AA170" s="5"/>
      <c r="AB170" s="1"/>
      <c r="AC170" s="1"/>
      <c r="AD170" s="5"/>
      <c r="AE170" s="1"/>
      <c r="AG170" s="1"/>
      <c r="AH170" s="1"/>
      <c r="AI170" s="1"/>
      <c r="AJ170" s="1"/>
      <c r="AN170" s="2"/>
      <c r="BC170" s="1"/>
    </row>
    <row r="171" spans="2:65" x14ac:dyDescent="0.3">
      <c r="B171" s="7"/>
      <c r="C171" s="8"/>
      <c r="D171" s="8"/>
      <c r="E171" s="8"/>
      <c r="J171" s="8"/>
      <c r="K171" s="1"/>
      <c r="N171" s="7"/>
      <c r="P171" s="6"/>
      <c r="Q171" s="6"/>
      <c r="R171" s="6"/>
      <c r="S171" s="5"/>
      <c r="T171" s="6"/>
      <c r="U171" s="1"/>
      <c r="V171" s="1"/>
      <c r="X171" s="5"/>
      <c r="Y171" s="1"/>
      <c r="Z171" s="1"/>
      <c r="AA171" s="5"/>
      <c r="AB171" s="1"/>
      <c r="AC171" s="1"/>
      <c r="AD171" s="5"/>
      <c r="AE171" s="1"/>
      <c r="AG171" s="1"/>
      <c r="AH171" s="1"/>
      <c r="AI171" s="1"/>
      <c r="AJ171" s="1"/>
      <c r="AN171" s="2"/>
      <c r="BC171" s="1"/>
    </row>
    <row r="172" spans="2:65" x14ac:dyDescent="0.3">
      <c r="B172" s="7"/>
      <c r="C172" s="8"/>
      <c r="D172" s="8"/>
      <c r="E172" s="8"/>
      <c r="J172" s="8"/>
      <c r="K172" s="1"/>
      <c r="N172" s="7"/>
      <c r="P172" s="6"/>
      <c r="Q172" s="6"/>
      <c r="R172" s="6"/>
      <c r="S172" s="5"/>
      <c r="T172" s="6"/>
      <c r="U172" s="1"/>
      <c r="V172" s="1"/>
      <c r="X172" s="5"/>
      <c r="Y172" s="1"/>
      <c r="Z172" s="1"/>
      <c r="AA172" s="5"/>
      <c r="AB172" s="1"/>
      <c r="AC172" s="1"/>
      <c r="AD172" s="5"/>
      <c r="AE172" s="1"/>
      <c r="AG172" s="1"/>
      <c r="AH172" s="1"/>
      <c r="AI172" s="1"/>
      <c r="AJ172" s="1"/>
      <c r="AN172" s="2"/>
      <c r="BC172" s="1"/>
    </row>
    <row r="173" spans="2:65" x14ac:dyDescent="0.3">
      <c r="B173" s="7"/>
      <c r="C173" s="8"/>
      <c r="D173" s="8"/>
      <c r="E173" s="8"/>
      <c r="J173" s="8"/>
      <c r="K173" s="1"/>
      <c r="N173" s="7"/>
      <c r="P173" s="6"/>
      <c r="Q173" s="6"/>
      <c r="R173" s="6"/>
      <c r="S173" s="5"/>
      <c r="T173" s="6"/>
      <c r="U173" s="1"/>
      <c r="V173" s="1"/>
      <c r="X173" s="5"/>
      <c r="Y173" s="1"/>
      <c r="Z173" s="1"/>
      <c r="AA173" s="5"/>
      <c r="AB173" s="1"/>
      <c r="AC173" s="1"/>
      <c r="AD173" s="5"/>
      <c r="AE173" s="1"/>
      <c r="AG173" s="1"/>
      <c r="AH173" s="1"/>
      <c r="AI173" s="1"/>
      <c r="AJ173" s="1"/>
      <c r="AN173" s="2"/>
      <c r="BC173" s="1"/>
    </row>
    <row r="174" spans="2:65" x14ac:dyDescent="0.3">
      <c r="B174" s="7"/>
      <c r="C174" s="8"/>
      <c r="D174" s="8"/>
      <c r="E174" s="8"/>
      <c r="J174" s="8"/>
      <c r="K174" s="1"/>
      <c r="N174" s="7"/>
      <c r="P174" s="6"/>
      <c r="Q174" s="6"/>
      <c r="R174" s="6"/>
      <c r="S174" s="5"/>
      <c r="T174" s="6"/>
      <c r="U174" s="1"/>
      <c r="V174" s="1"/>
      <c r="X174" s="5"/>
      <c r="Y174" s="1"/>
      <c r="Z174" s="1"/>
      <c r="AA174" s="5"/>
      <c r="AB174" s="1"/>
      <c r="AC174" s="1"/>
      <c r="AD174" s="5"/>
      <c r="AE174" s="1"/>
      <c r="AG174" s="1"/>
      <c r="AH174" s="1"/>
      <c r="AI174" s="1"/>
      <c r="AJ174" s="1"/>
      <c r="AN174" s="2"/>
      <c r="BC174" s="1"/>
    </row>
    <row r="175" spans="2:65" x14ac:dyDescent="0.3">
      <c r="B175" s="7"/>
      <c r="C175" s="8"/>
      <c r="D175" s="8"/>
      <c r="E175" s="8"/>
      <c r="J175" s="8"/>
      <c r="K175" s="1"/>
      <c r="N175" s="7"/>
      <c r="P175" s="6"/>
      <c r="Q175" s="6"/>
      <c r="R175" s="6"/>
      <c r="S175" s="5"/>
      <c r="T175" s="6"/>
      <c r="U175" s="1"/>
      <c r="V175" s="1"/>
      <c r="X175" s="5"/>
      <c r="Y175" s="1"/>
      <c r="Z175" s="1"/>
      <c r="AA175" s="5"/>
      <c r="AB175" s="1"/>
      <c r="AC175" s="1"/>
      <c r="AD175" s="5"/>
      <c r="AE175" s="1"/>
      <c r="AG175" s="1"/>
      <c r="AH175" s="1"/>
      <c r="AI175" s="1"/>
      <c r="AJ175" s="1"/>
      <c r="AN175" s="2"/>
      <c r="BC175" s="1"/>
    </row>
    <row r="176" spans="2:65" x14ac:dyDescent="0.3">
      <c r="B176" s="7"/>
      <c r="C176" s="8"/>
      <c r="D176" s="8"/>
      <c r="E176" s="8"/>
      <c r="J176" s="8"/>
      <c r="K176" s="1"/>
      <c r="N176" s="7"/>
      <c r="P176" s="6"/>
      <c r="Q176" s="6"/>
      <c r="R176" s="6"/>
      <c r="S176" s="5"/>
      <c r="T176" s="6"/>
      <c r="U176" s="1"/>
      <c r="V176" s="1"/>
      <c r="X176" s="5"/>
      <c r="Y176" s="1"/>
      <c r="Z176" s="1"/>
      <c r="AA176" s="5"/>
      <c r="AB176" s="1"/>
      <c r="AC176" s="1"/>
      <c r="AD176" s="5"/>
      <c r="AE176" s="1"/>
      <c r="AG176" s="1"/>
      <c r="AH176" s="1"/>
      <c r="AI176" s="1"/>
      <c r="AJ176" s="1"/>
      <c r="AN176" s="2"/>
      <c r="BC176" s="1"/>
    </row>
    <row r="177" spans="2:55" x14ac:dyDescent="0.3">
      <c r="B177" s="7"/>
      <c r="C177" s="8"/>
      <c r="D177" s="8"/>
      <c r="E177" s="8"/>
      <c r="J177" s="8"/>
      <c r="K177" s="1"/>
      <c r="N177" s="7"/>
      <c r="P177" s="6"/>
      <c r="Q177" s="6"/>
      <c r="R177" s="6"/>
      <c r="S177" s="5"/>
      <c r="T177" s="6"/>
      <c r="U177" s="1"/>
      <c r="V177" s="1"/>
      <c r="X177" s="5"/>
      <c r="Y177" s="1"/>
      <c r="Z177" s="1"/>
      <c r="AA177" s="5"/>
      <c r="AB177" s="1"/>
      <c r="AC177" s="1"/>
      <c r="AD177" s="5"/>
      <c r="AE177" s="1"/>
      <c r="AG177" s="1"/>
      <c r="AH177" s="1"/>
      <c r="AI177" s="1"/>
      <c r="AJ177" s="1"/>
      <c r="AN177" s="2"/>
      <c r="BC177" s="1"/>
    </row>
    <row r="178" spans="2:55" x14ac:dyDescent="0.3">
      <c r="B178" s="7"/>
      <c r="C178" s="8"/>
      <c r="D178" s="8"/>
      <c r="E178" s="8"/>
      <c r="J178" s="8"/>
      <c r="K178" s="1"/>
      <c r="N178" s="7"/>
      <c r="P178" s="6"/>
      <c r="Q178" s="6"/>
      <c r="R178" s="6"/>
      <c r="S178" s="5"/>
      <c r="T178" s="6"/>
      <c r="U178" s="1"/>
      <c r="V178" s="1"/>
      <c r="X178" s="5"/>
      <c r="Y178" s="1"/>
      <c r="Z178" s="1"/>
      <c r="AA178" s="5"/>
      <c r="AB178" s="1"/>
      <c r="AC178" s="1"/>
      <c r="AD178" s="5"/>
      <c r="AE178" s="1"/>
      <c r="AG178" s="1"/>
      <c r="AH178" s="1"/>
      <c r="AI178" s="1"/>
      <c r="AJ178" s="1"/>
      <c r="AN178" s="2"/>
      <c r="BC178" s="1"/>
    </row>
    <row r="179" spans="2:55" x14ac:dyDescent="0.3">
      <c r="B179" s="7"/>
      <c r="C179" s="8"/>
      <c r="D179" s="8"/>
      <c r="E179" s="8"/>
      <c r="J179" s="8"/>
      <c r="K179" s="1"/>
      <c r="N179" s="7"/>
      <c r="P179" s="6"/>
      <c r="Q179" s="6"/>
      <c r="R179" s="6"/>
      <c r="S179" s="5"/>
      <c r="T179" s="6"/>
      <c r="U179" s="1"/>
      <c r="V179" s="1"/>
      <c r="X179" s="5"/>
      <c r="Y179" s="1"/>
      <c r="Z179" s="1"/>
      <c r="AA179" s="5"/>
      <c r="AB179" s="1"/>
      <c r="AC179" s="1"/>
      <c r="AD179" s="5"/>
      <c r="AE179" s="1"/>
      <c r="AG179" s="1"/>
      <c r="AH179" s="1"/>
      <c r="AI179" s="1"/>
      <c r="AJ179" s="1"/>
      <c r="AN179" s="2"/>
      <c r="BC179" s="1"/>
    </row>
    <row r="180" spans="2:55" x14ac:dyDescent="0.3">
      <c r="B180" s="7"/>
      <c r="C180" s="8"/>
      <c r="D180" s="8"/>
      <c r="E180" s="8"/>
      <c r="J180" s="8"/>
      <c r="K180" s="1"/>
      <c r="N180" s="7"/>
      <c r="P180" s="6"/>
      <c r="Q180" s="6"/>
      <c r="R180" s="6"/>
      <c r="S180" s="5"/>
      <c r="T180" s="6"/>
      <c r="U180" s="1"/>
      <c r="V180" s="1"/>
      <c r="X180" s="5"/>
      <c r="Y180" s="1"/>
      <c r="Z180" s="1"/>
      <c r="AA180" s="5"/>
      <c r="AB180" s="1"/>
      <c r="AC180" s="1"/>
      <c r="AD180" s="5"/>
      <c r="AE180" s="1"/>
      <c r="AG180" s="1"/>
      <c r="AH180" s="1"/>
      <c r="AI180" s="1"/>
      <c r="AJ180" s="1"/>
      <c r="AN180" s="2"/>
      <c r="BC180" s="1"/>
    </row>
    <row r="181" spans="2:55" x14ac:dyDescent="0.3">
      <c r="B181" s="7"/>
      <c r="C181" s="8"/>
      <c r="D181" s="8"/>
      <c r="E181" s="8"/>
      <c r="J181" s="8"/>
      <c r="K181" s="1"/>
      <c r="N181" s="7"/>
      <c r="P181" s="6"/>
      <c r="Q181" s="6"/>
      <c r="R181" s="6"/>
      <c r="S181" s="5"/>
      <c r="T181" s="6"/>
      <c r="U181" s="1"/>
      <c r="V181" s="1"/>
      <c r="X181" s="5"/>
      <c r="Y181" s="1"/>
      <c r="Z181" s="1"/>
      <c r="AA181" s="5"/>
      <c r="AB181" s="1"/>
      <c r="AC181" s="1"/>
      <c r="AD181" s="5"/>
      <c r="AE181" s="1"/>
      <c r="AG181" s="1"/>
      <c r="AH181" s="1"/>
      <c r="AI181" s="1"/>
      <c r="AJ181" s="1"/>
      <c r="AN181" s="2"/>
      <c r="BC181" s="1"/>
    </row>
    <row r="182" spans="2:55" x14ac:dyDescent="0.3">
      <c r="B182" s="7"/>
      <c r="C182" s="8"/>
      <c r="D182" s="8"/>
      <c r="E182" s="8"/>
      <c r="J182" s="8"/>
      <c r="K182" s="1"/>
      <c r="N182" s="7"/>
      <c r="P182" s="6"/>
      <c r="Q182" s="6"/>
      <c r="R182" s="6"/>
      <c r="S182" s="5"/>
      <c r="T182" s="6"/>
      <c r="U182" s="1"/>
      <c r="V182" s="1"/>
      <c r="X182" s="5"/>
      <c r="Y182" s="1"/>
      <c r="Z182" s="1"/>
      <c r="AA182" s="5"/>
      <c r="AB182" s="1"/>
      <c r="AC182" s="1"/>
      <c r="AD182" s="5"/>
      <c r="AE182" s="1"/>
      <c r="AG182" s="1"/>
      <c r="AH182" s="1"/>
      <c r="AI182" s="1"/>
      <c r="AJ182" s="1"/>
      <c r="AN182" s="2"/>
      <c r="BC182" s="1"/>
    </row>
    <row r="183" spans="2:55" x14ac:dyDescent="0.3">
      <c r="B183" s="7"/>
      <c r="C183" s="8"/>
      <c r="D183" s="8"/>
      <c r="E183" s="8"/>
      <c r="J183" s="8"/>
      <c r="K183" s="1"/>
      <c r="N183" s="7"/>
      <c r="P183" s="6"/>
      <c r="Q183" s="6"/>
      <c r="R183" s="6"/>
      <c r="S183" s="5"/>
      <c r="T183" s="6"/>
      <c r="U183" s="1"/>
      <c r="V183" s="1"/>
      <c r="X183" s="5"/>
      <c r="Y183" s="1"/>
      <c r="Z183" s="1"/>
      <c r="AA183" s="5"/>
      <c r="AB183" s="1"/>
      <c r="AC183" s="1"/>
      <c r="AD183" s="5"/>
      <c r="AE183" s="1"/>
      <c r="AG183" s="1"/>
      <c r="AH183" s="1"/>
      <c r="AI183" s="1"/>
      <c r="AJ183" s="1"/>
      <c r="AN183" s="2"/>
      <c r="BC183" s="1"/>
    </row>
    <row r="184" spans="2:55" x14ac:dyDescent="0.3">
      <c r="B184" s="7"/>
      <c r="C184" s="8"/>
      <c r="D184" s="8"/>
      <c r="E184" s="8"/>
      <c r="J184" s="8"/>
      <c r="K184" s="1"/>
      <c r="N184" s="7"/>
      <c r="P184" s="6"/>
      <c r="Q184" s="6"/>
      <c r="R184" s="6"/>
      <c r="S184" s="5"/>
      <c r="T184" s="6"/>
      <c r="U184" s="1"/>
      <c r="V184" s="1"/>
      <c r="X184" s="5"/>
      <c r="Y184" s="1"/>
      <c r="Z184" s="1"/>
      <c r="AA184" s="5"/>
      <c r="AB184" s="1"/>
      <c r="AC184" s="1"/>
      <c r="AD184" s="5"/>
      <c r="AE184" s="1"/>
      <c r="AG184" s="1"/>
      <c r="AH184" s="1"/>
      <c r="AI184" s="1"/>
      <c r="AJ184" s="1"/>
      <c r="AN184" s="2"/>
      <c r="BC184" s="1"/>
    </row>
    <row r="185" spans="2:55" x14ac:dyDescent="0.3">
      <c r="B185" s="7"/>
      <c r="C185" s="8"/>
      <c r="D185" s="8"/>
      <c r="E185" s="8"/>
      <c r="J185" s="8"/>
      <c r="K185" s="1"/>
      <c r="N185" s="7"/>
      <c r="P185" s="6"/>
      <c r="Q185" s="6"/>
      <c r="R185" s="6"/>
      <c r="S185" s="5"/>
      <c r="T185" s="6"/>
      <c r="U185" s="1"/>
      <c r="V185" s="1"/>
      <c r="X185" s="5"/>
      <c r="Y185" s="1"/>
      <c r="Z185" s="1"/>
      <c r="AA185" s="5"/>
      <c r="AB185" s="1"/>
      <c r="AC185" s="1"/>
      <c r="AD185" s="5"/>
      <c r="AE185" s="1"/>
      <c r="AG185" s="1"/>
      <c r="AH185" s="1"/>
      <c r="AI185" s="1"/>
      <c r="AJ185" s="1"/>
      <c r="AN185" s="2"/>
      <c r="BC185" s="1"/>
    </row>
    <row r="186" spans="2:55" x14ac:dyDescent="0.3">
      <c r="B186" s="7"/>
      <c r="C186" s="8"/>
      <c r="D186" s="8"/>
      <c r="E186" s="8"/>
      <c r="J186" s="8"/>
      <c r="K186" s="1"/>
      <c r="N186" s="7"/>
      <c r="P186" s="6"/>
      <c r="Q186" s="6"/>
      <c r="R186" s="6"/>
      <c r="S186" s="5"/>
      <c r="T186" s="6"/>
      <c r="U186" s="1"/>
      <c r="V186" s="1"/>
      <c r="X186" s="5"/>
      <c r="Y186" s="1"/>
      <c r="Z186" s="1"/>
      <c r="AA186" s="5"/>
      <c r="AB186" s="1"/>
      <c r="AC186" s="1"/>
      <c r="AD186" s="5"/>
      <c r="AE186" s="1"/>
      <c r="AG186" s="1"/>
      <c r="AH186" s="1"/>
      <c r="AI186" s="1"/>
      <c r="AJ186" s="1"/>
      <c r="AN186" s="2"/>
      <c r="BC186" s="1"/>
    </row>
    <row r="187" spans="2:55" x14ac:dyDescent="0.3">
      <c r="B187" s="7"/>
      <c r="C187" s="8"/>
      <c r="D187" s="8"/>
      <c r="E187" s="8"/>
      <c r="J187" s="8"/>
      <c r="K187" s="1"/>
      <c r="N187" s="7"/>
      <c r="P187" s="6"/>
      <c r="Q187" s="6"/>
      <c r="R187" s="6"/>
      <c r="S187" s="5"/>
      <c r="T187" s="6"/>
      <c r="U187" s="1"/>
      <c r="V187" s="1"/>
      <c r="X187" s="5"/>
      <c r="Y187" s="1"/>
      <c r="Z187" s="1"/>
      <c r="AA187" s="5"/>
      <c r="AB187" s="1"/>
      <c r="AC187" s="1"/>
      <c r="AD187" s="5"/>
      <c r="AE187" s="1"/>
      <c r="AG187" s="1"/>
      <c r="AH187" s="1"/>
      <c r="AI187" s="1"/>
      <c r="AJ187" s="1"/>
      <c r="AN187" s="2"/>
      <c r="BC187" s="1"/>
    </row>
    <row r="188" spans="2:55" x14ac:dyDescent="0.3">
      <c r="B188" s="7"/>
      <c r="C188" s="8"/>
      <c r="D188" s="8"/>
      <c r="E188" s="8"/>
      <c r="J188" s="8"/>
      <c r="K188" s="1"/>
      <c r="N188" s="7"/>
      <c r="P188" s="6"/>
      <c r="Q188" s="6"/>
      <c r="R188" s="6"/>
      <c r="S188" s="5"/>
      <c r="T188" s="6"/>
      <c r="U188" s="1"/>
      <c r="V188" s="1"/>
      <c r="X188" s="5"/>
      <c r="Y188" s="1"/>
      <c r="Z188" s="1"/>
      <c r="AA188" s="5"/>
      <c r="AB188" s="1"/>
      <c r="AC188" s="1"/>
      <c r="AD188" s="5"/>
      <c r="AE188" s="1"/>
      <c r="AG188" s="1"/>
      <c r="AH188" s="1"/>
      <c r="AI188" s="1"/>
      <c r="AJ188" s="1"/>
      <c r="AN188" s="2"/>
      <c r="BC188" s="1"/>
    </row>
    <row r="189" spans="2:55" x14ac:dyDescent="0.3">
      <c r="B189" s="7"/>
      <c r="C189" s="8"/>
      <c r="D189" s="8"/>
      <c r="E189" s="8"/>
      <c r="J189" s="8"/>
      <c r="K189" s="1"/>
      <c r="N189" s="7"/>
      <c r="P189" s="6"/>
      <c r="Q189" s="6"/>
      <c r="R189" s="6"/>
      <c r="S189" s="5"/>
      <c r="T189" s="6"/>
      <c r="U189" s="1"/>
      <c r="V189" s="1"/>
      <c r="X189" s="5"/>
      <c r="Y189" s="1"/>
      <c r="Z189" s="1"/>
      <c r="AA189" s="5"/>
      <c r="AB189" s="1"/>
      <c r="AC189" s="1"/>
      <c r="AD189" s="5"/>
      <c r="AE189" s="1"/>
      <c r="AG189" s="1"/>
      <c r="AH189" s="1"/>
      <c r="AI189" s="1"/>
      <c r="AJ189" s="1"/>
      <c r="AN189" s="2"/>
      <c r="BC189" s="1"/>
    </row>
    <row r="190" spans="2:55" x14ac:dyDescent="0.3">
      <c r="B190" s="7"/>
      <c r="C190" s="8"/>
      <c r="D190" s="8"/>
      <c r="E190" s="8"/>
      <c r="J190" s="8"/>
      <c r="K190" s="1"/>
      <c r="N190" s="7"/>
      <c r="P190" s="6"/>
      <c r="Q190" s="6"/>
      <c r="R190" s="6"/>
      <c r="S190" s="5"/>
      <c r="T190" s="6"/>
      <c r="U190" s="1"/>
      <c r="V190" s="1"/>
      <c r="X190" s="5"/>
      <c r="Y190" s="1"/>
      <c r="Z190" s="1"/>
      <c r="AA190" s="5"/>
      <c r="AB190" s="1"/>
      <c r="AC190" s="1"/>
      <c r="AD190" s="5"/>
      <c r="AE190" s="1"/>
      <c r="AG190" s="1"/>
      <c r="AH190" s="1"/>
      <c r="AI190" s="1"/>
      <c r="AJ190" s="1"/>
      <c r="AN190" s="2"/>
      <c r="BC190" s="1"/>
    </row>
    <row r="191" spans="2:55" x14ac:dyDescent="0.3">
      <c r="B191" s="7"/>
      <c r="C191" s="8"/>
      <c r="D191" s="8"/>
      <c r="E191" s="8"/>
      <c r="J191" s="8"/>
      <c r="K191" s="1"/>
      <c r="N191" s="7"/>
      <c r="P191" s="6"/>
      <c r="Q191" s="6"/>
      <c r="R191" s="6"/>
      <c r="S191" s="5"/>
      <c r="T191" s="6"/>
      <c r="U191" s="1"/>
      <c r="V191" s="1"/>
      <c r="X191" s="5"/>
      <c r="Y191" s="1"/>
      <c r="Z191" s="1"/>
      <c r="AA191" s="5"/>
      <c r="AB191" s="1"/>
      <c r="AC191" s="1"/>
      <c r="AD191" s="5"/>
      <c r="AE191" s="1"/>
      <c r="AG191" s="1"/>
      <c r="AH191" s="1"/>
      <c r="AI191" s="1"/>
      <c r="AJ191" s="1"/>
      <c r="AN191" s="2"/>
      <c r="BC191" s="1"/>
    </row>
    <row r="192" spans="2:55" x14ac:dyDescent="0.3">
      <c r="B192" s="7"/>
      <c r="C192" s="8"/>
      <c r="D192" s="8"/>
      <c r="E192" s="8"/>
      <c r="J192" s="8"/>
      <c r="K192" s="1"/>
      <c r="N192" s="7"/>
      <c r="P192" s="6"/>
      <c r="Q192" s="6"/>
      <c r="R192" s="6"/>
      <c r="S192" s="5"/>
      <c r="T192" s="6"/>
      <c r="U192" s="1"/>
      <c r="V192" s="1"/>
      <c r="X192" s="5"/>
      <c r="Y192" s="1"/>
      <c r="Z192" s="1"/>
      <c r="AA192" s="5"/>
      <c r="AB192" s="1"/>
      <c r="AC192" s="1"/>
      <c r="AD192" s="5"/>
      <c r="AE192" s="1"/>
      <c r="AG192" s="1"/>
      <c r="AH192" s="1"/>
      <c r="AI192" s="1"/>
      <c r="AJ192" s="1"/>
      <c r="AN192" s="2"/>
      <c r="BC192" s="1"/>
    </row>
    <row r="193" spans="2:55" x14ac:dyDescent="0.3">
      <c r="B193" s="7"/>
      <c r="C193" s="8"/>
      <c r="D193" s="8"/>
      <c r="E193" s="8"/>
      <c r="J193" s="8"/>
      <c r="K193" s="1"/>
      <c r="N193" s="7"/>
      <c r="P193" s="6"/>
      <c r="Q193" s="6"/>
      <c r="R193" s="6"/>
      <c r="S193" s="5"/>
      <c r="T193" s="6"/>
      <c r="U193" s="1"/>
      <c r="V193" s="1"/>
      <c r="X193" s="5"/>
      <c r="Y193" s="1"/>
      <c r="Z193" s="1"/>
      <c r="AA193" s="5"/>
      <c r="AB193" s="1"/>
      <c r="AC193" s="1"/>
      <c r="AD193" s="5"/>
      <c r="AE193" s="1"/>
      <c r="AG193" s="1"/>
      <c r="AH193" s="1"/>
      <c r="AI193" s="1"/>
      <c r="AJ193" s="1"/>
      <c r="AN193" s="2"/>
      <c r="BC193" s="1"/>
    </row>
    <row r="194" spans="2:55" x14ac:dyDescent="0.3">
      <c r="B194" s="7"/>
      <c r="C194" s="8"/>
      <c r="D194" s="8"/>
      <c r="E194" s="8"/>
      <c r="J194" s="8"/>
      <c r="K194" s="1"/>
      <c r="N194" s="7"/>
      <c r="P194" s="6"/>
      <c r="Q194" s="6"/>
      <c r="R194" s="6"/>
      <c r="S194" s="5"/>
      <c r="T194" s="6"/>
      <c r="U194" s="1"/>
      <c r="V194" s="1"/>
      <c r="X194" s="5"/>
      <c r="Y194" s="1"/>
      <c r="Z194" s="1"/>
      <c r="AA194" s="5"/>
      <c r="AB194" s="1"/>
      <c r="AC194" s="1"/>
      <c r="AD194" s="5"/>
      <c r="AE194" s="1"/>
      <c r="AG194" s="1"/>
      <c r="AH194" s="1"/>
      <c r="AI194" s="1"/>
      <c r="AJ194" s="1"/>
      <c r="AN194" s="2"/>
      <c r="BC194" s="1"/>
    </row>
    <row r="195" spans="2:55" x14ac:dyDescent="0.3">
      <c r="B195" s="7"/>
      <c r="C195" s="8"/>
      <c r="D195" s="8"/>
      <c r="E195" s="8"/>
      <c r="J195" s="8"/>
      <c r="K195" s="1"/>
      <c r="N195" s="7"/>
      <c r="P195" s="6"/>
      <c r="Q195" s="6"/>
      <c r="R195" s="6"/>
      <c r="S195" s="5"/>
      <c r="T195" s="6"/>
      <c r="U195" s="1"/>
      <c r="V195" s="1"/>
      <c r="X195" s="5"/>
      <c r="Y195" s="1"/>
      <c r="Z195" s="1"/>
      <c r="AA195" s="5"/>
      <c r="AB195" s="1"/>
      <c r="AC195" s="1"/>
      <c r="AD195" s="5"/>
      <c r="AE195" s="1"/>
      <c r="AG195" s="1"/>
      <c r="AH195" s="1"/>
      <c r="AI195" s="1"/>
      <c r="AJ195" s="1"/>
      <c r="AN195" s="2"/>
      <c r="BC195" s="1"/>
    </row>
    <row r="196" spans="2:55" x14ac:dyDescent="0.3">
      <c r="B196" s="7"/>
      <c r="C196" s="8"/>
      <c r="D196" s="8"/>
      <c r="E196" s="8"/>
      <c r="J196" s="8"/>
      <c r="K196" s="1"/>
      <c r="N196" s="7"/>
      <c r="P196" s="6"/>
      <c r="Q196" s="6"/>
      <c r="R196" s="6"/>
      <c r="S196" s="5"/>
      <c r="T196" s="6"/>
      <c r="U196" s="1"/>
      <c r="V196" s="1"/>
      <c r="X196" s="5"/>
      <c r="Y196" s="1"/>
      <c r="Z196" s="1"/>
      <c r="AA196" s="5"/>
      <c r="AB196" s="1"/>
      <c r="AC196" s="1"/>
      <c r="AD196" s="5"/>
      <c r="AE196" s="1"/>
      <c r="AG196" s="1"/>
      <c r="AH196" s="1"/>
      <c r="AI196" s="1"/>
      <c r="AJ196" s="1"/>
      <c r="AN196" s="2"/>
      <c r="BC196" s="1"/>
    </row>
    <row r="197" spans="2:55" x14ac:dyDescent="0.3">
      <c r="B197" s="7"/>
      <c r="C197" s="8"/>
      <c r="D197" s="8"/>
      <c r="E197" s="8"/>
      <c r="J197" s="8"/>
      <c r="K197" s="1"/>
      <c r="N197" s="7"/>
      <c r="P197" s="6"/>
      <c r="Q197" s="6"/>
      <c r="R197" s="6"/>
      <c r="S197" s="5"/>
      <c r="T197" s="6"/>
      <c r="U197" s="1"/>
      <c r="V197" s="1"/>
      <c r="X197" s="5"/>
      <c r="Y197" s="1"/>
      <c r="Z197" s="1"/>
      <c r="AA197" s="5"/>
      <c r="AB197" s="1"/>
      <c r="AC197" s="1"/>
      <c r="AD197" s="5"/>
      <c r="AE197" s="1"/>
      <c r="AG197" s="1"/>
      <c r="AH197" s="1"/>
      <c r="AI197" s="1"/>
      <c r="AJ197" s="1"/>
      <c r="AN197" s="2"/>
      <c r="BC197" s="1"/>
    </row>
    <row r="198" spans="2:55" x14ac:dyDescent="0.3">
      <c r="B198" s="7"/>
      <c r="C198" s="8"/>
      <c r="D198" s="8"/>
      <c r="E198" s="8"/>
      <c r="J198" s="8"/>
      <c r="K198" s="1"/>
      <c r="N198" s="7"/>
      <c r="P198" s="6"/>
      <c r="Q198" s="6"/>
      <c r="R198" s="6"/>
      <c r="S198" s="5"/>
      <c r="T198" s="6"/>
      <c r="U198" s="1"/>
      <c r="V198" s="1"/>
      <c r="X198" s="5"/>
      <c r="Y198" s="1"/>
      <c r="Z198" s="1"/>
      <c r="AA198" s="5"/>
      <c r="AB198" s="1"/>
      <c r="AC198" s="1"/>
      <c r="AD198" s="5"/>
      <c r="AE198" s="1"/>
      <c r="AG198" s="1"/>
      <c r="AH198" s="1"/>
      <c r="AI198" s="1"/>
      <c r="AJ198" s="1"/>
      <c r="AN198" s="2"/>
      <c r="BC198" s="1"/>
    </row>
    <row r="199" spans="2:55" x14ac:dyDescent="0.3">
      <c r="B199" s="7"/>
      <c r="C199" s="8"/>
      <c r="D199" s="8"/>
      <c r="E199" s="8"/>
      <c r="J199" s="8"/>
      <c r="K199" s="1"/>
      <c r="N199" s="7"/>
      <c r="P199" s="6"/>
      <c r="Q199" s="6"/>
      <c r="R199" s="6"/>
      <c r="S199" s="5"/>
      <c r="T199" s="6"/>
      <c r="U199" s="1"/>
      <c r="V199" s="1"/>
      <c r="X199" s="5"/>
      <c r="Y199" s="1"/>
      <c r="Z199" s="1"/>
      <c r="AA199" s="5"/>
      <c r="AB199" s="1"/>
      <c r="AC199" s="1"/>
      <c r="AD199" s="5"/>
      <c r="AE199" s="1"/>
      <c r="AG199" s="1"/>
      <c r="AH199" s="1"/>
      <c r="AI199" s="1"/>
      <c r="AJ199" s="1"/>
      <c r="AN199" s="2"/>
      <c r="BC199" s="1"/>
    </row>
    <row r="200" spans="2:55" x14ac:dyDescent="0.3">
      <c r="B200" s="7"/>
      <c r="C200" s="8"/>
      <c r="D200" s="8"/>
      <c r="E200" s="8"/>
      <c r="J200" s="8"/>
      <c r="K200" s="1"/>
      <c r="N200" s="7"/>
      <c r="P200" s="6"/>
      <c r="Q200" s="6"/>
      <c r="R200" s="6"/>
      <c r="S200" s="5"/>
      <c r="T200" s="6"/>
      <c r="U200" s="1"/>
      <c r="V200" s="1"/>
      <c r="X200" s="5"/>
      <c r="Y200" s="1"/>
      <c r="Z200" s="1"/>
      <c r="AA200" s="5"/>
      <c r="AB200" s="1"/>
      <c r="AC200" s="1"/>
      <c r="AD200" s="5"/>
      <c r="AE200" s="1"/>
      <c r="AG200" s="1"/>
      <c r="AH200" s="1"/>
      <c r="AI200" s="1"/>
      <c r="AJ200" s="1"/>
      <c r="AN200" s="2"/>
      <c r="BC200" s="1"/>
    </row>
    <row r="201" spans="2:55" x14ac:dyDescent="0.3">
      <c r="B201" s="7"/>
      <c r="C201" s="8"/>
      <c r="D201" s="8"/>
      <c r="E201" s="8"/>
      <c r="J201" s="8"/>
      <c r="K201" s="1"/>
      <c r="N201" s="7"/>
      <c r="P201" s="6"/>
      <c r="Q201" s="6"/>
      <c r="R201" s="6"/>
      <c r="S201" s="5"/>
      <c r="T201" s="6"/>
      <c r="U201" s="1"/>
      <c r="V201" s="1"/>
      <c r="X201" s="5"/>
      <c r="Y201" s="1"/>
      <c r="Z201" s="1"/>
      <c r="AA201" s="5"/>
      <c r="AB201" s="1"/>
      <c r="AC201" s="1"/>
      <c r="AD201" s="5"/>
      <c r="AE201" s="1"/>
      <c r="AG201" s="1"/>
      <c r="AH201" s="1"/>
      <c r="AI201" s="1"/>
      <c r="AJ201" s="1"/>
      <c r="AN201" s="2"/>
      <c r="BC201" s="1"/>
    </row>
    <row r="202" spans="2:55" x14ac:dyDescent="0.3">
      <c r="B202" s="7"/>
      <c r="C202" s="8"/>
      <c r="D202" s="8"/>
      <c r="E202" s="8"/>
      <c r="J202" s="8"/>
      <c r="K202" s="1"/>
      <c r="N202" s="7"/>
      <c r="P202" s="6"/>
      <c r="Q202" s="6"/>
      <c r="R202" s="6"/>
      <c r="S202" s="5"/>
      <c r="T202" s="6"/>
      <c r="U202" s="1"/>
      <c r="V202" s="1"/>
      <c r="X202" s="5"/>
      <c r="Y202" s="1"/>
      <c r="Z202" s="1"/>
      <c r="AA202" s="5"/>
      <c r="AB202" s="1"/>
      <c r="AC202" s="1"/>
      <c r="AD202" s="5"/>
      <c r="AE202" s="1"/>
      <c r="AG202" s="1"/>
      <c r="AH202" s="1"/>
      <c r="AI202" s="1"/>
      <c r="AJ202" s="1"/>
      <c r="AN202" s="2"/>
      <c r="BC202" s="1"/>
    </row>
    <row r="203" spans="2:55" x14ac:dyDescent="0.3">
      <c r="B203" s="7"/>
      <c r="C203" s="8"/>
      <c r="D203" s="8"/>
      <c r="E203" s="8"/>
      <c r="J203" s="8"/>
      <c r="K203" s="1"/>
      <c r="N203" s="7"/>
      <c r="P203" s="6"/>
      <c r="Q203" s="6"/>
      <c r="R203" s="6"/>
      <c r="S203" s="5"/>
      <c r="T203" s="6"/>
      <c r="U203" s="1"/>
      <c r="V203" s="1"/>
      <c r="Y203" s="1"/>
      <c r="Z203" s="1"/>
      <c r="AA203" s="5"/>
      <c r="AB203" s="1"/>
      <c r="AC203" s="1"/>
      <c r="AD203" s="5"/>
      <c r="AE203" s="1"/>
      <c r="AG203" s="1"/>
      <c r="AH203" s="1"/>
      <c r="AI203" s="1"/>
      <c r="AJ203" s="1"/>
      <c r="BC203" s="1"/>
    </row>
    <row r="204" spans="2:55" x14ac:dyDescent="0.3">
      <c r="B204" s="7"/>
      <c r="C204" s="8"/>
      <c r="D204" s="8"/>
      <c r="E204" s="8"/>
      <c r="J204" s="8"/>
      <c r="K204" s="1"/>
      <c r="N204" s="7"/>
      <c r="P204" s="6"/>
      <c r="Q204" s="6"/>
      <c r="R204" s="6"/>
      <c r="S204" s="5"/>
      <c r="T204" s="6"/>
      <c r="U204" s="1"/>
      <c r="V204" s="1"/>
      <c r="Y204" s="1"/>
      <c r="Z204" s="1"/>
      <c r="AA204" s="5"/>
      <c r="AB204" s="1"/>
      <c r="AC204" s="1"/>
      <c r="AD204" s="5"/>
      <c r="AE204" s="1"/>
      <c r="AG204" s="1"/>
      <c r="AH204" s="1"/>
      <c r="AI204" s="1"/>
      <c r="AJ204" s="1"/>
      <c r="BC204" s="1"/>
    </row>
    <row r="205" spans="2:55" x14ac:dyDescent="0.3">
      <c r="B205" s="7"/>
      <c r="C205" s="8"/>
      <c r="D205" s="8"/>
      <c r="E205" s="8"/>
      <c r="J205" s="8"/>
      <c r="K205" s="1"/>
      <c r="N205" s="7"/>
      <c r="P205" s="6"/>
      <c r="Q205" s="6"/>
      <c r="R205" s="6"/>
      <c r="S205" s="5"/>
      <c r="T205" s="6"/>
      <c r="U205" s="1"/>
      <c r="V205" s="1"/>
      <c r="Y205" s="1"/>
      <c r="Z205" s="1"/>
      <c r="AA205" s="5"/>
      <c r="AB205" s="1"/>
      <c r="AC205" s="1"/>
      <c r="AD205" s="5"/>
      <c r="AE205" s="1"/>
      <c r="AG205" s="1"/>
      <c r="AH205" s="1"/>
      <c r="AI205" s="1"/>
      <c r="AJ205" s="1"/>
      <c r="BC205" s="1"/>
    </row>
    <row r="206" spans="2:55" x14ac:dyDescent="0.3">
      <c r="B206" s="7"/>
      <c r="C206" s="8"/>
      <c r="D206" s="8"/>
      <c r="E206" s="8"/>
      <c r="J206" s="8"/>
      <c r="K206" s="1"/>
      <c r="N206" s="7"/>
      <c r="P206" s="6"/>
      <c r="Q206" s="6"/>
      <c r="R206" s="6"/>
      <c r="S206" s="5"/>
      <c r="T206" s="6"/>
      <c r="U206" s="1"/>
      <c r="V206" s="1"/>
      <c r="Y206" s="1"/>
      <c r="Z206" s="1"/>
      <c r="AA206" s="5"/>
      <c r="AB206" s="1"/>
      <c r="AC206" s="1"/>
      <c r="AD206" s="5"/>
      <c r="AE206" s="1"/>
      <c r="AG206" s="1"/>
      <c r="AH206" s="1"/>
      <c r="AI206" s="1"/>
      <c r="AJ206" s="1"/>
      <c r="BC206" s="1"/>
    </row>
    <row r="207" spans="2:55" x14ac:dyDescent="0.3">
      <c r="B207" s="7"/>
      <c r="C207" s="8"/>
      <c r="D207" s="8"/>
      <c r="E207" s="8"/>
      <c r="J207" s="8"/>
      <c r="K207" s="1"/>
      <c r="N207" s="7"/>
      <c r="P207" s="6"/>
      <c r="Q207" s="6"/>
      <c r="R207" s="6"/>
      <c r="S207" s="5"/>
      <c r="T207" s="6"/>
      <c r="U207" s="1"/>
      <c r="V207" s="1"/>
      <c r="Y207" s="1"/>
      <c r="Z207" s="1"/>
      <c r="AA207" s="5"/>
      <c r="AB207" s="1"/>
      <c r="AC207" s="1"/>
      <c r="AD207" s="5"/>
      <c r="AE207" s="1"/>
      <c r="AG207" s="1"/>
      <c r="AH207" s="1"/>
      <c r="AI207" s="1"/>
      <c r="AJ207" s="1"/>
      <c r="BC207" s="1"/>
    </row>
    <row r="208" spans="2:55" x14ac:dyDescent="0.3">
      <c r="B208" s="7"/>
      <c r="C208" s="8"/>
      <c r="D208" s="8"/>
      <c r="E208" s="8"/>
      <c r="J208" s="8"/>
      <c r="K208" s="1"/>
      <c r="N208" s="7"/>
      <c r="P208" s="6"/>
      <c r="Q208" s="6"/>
      <c r="R208" s="6"/>
      <c r="S208" s="5"/>
      <c r="T208" s="6"/>
      <c r="U208" s="1"/>
      <c r="V208" s="1"/>
      <c r="Y208" s="1"/>
      <c r="Z208" s="1"/>
      <c r="AA208" s="5"/>
      <c r="AB208" s="1"/>
      <c r="AC208" s="1"/>
      <c r="AD208" s="5"/>
      <c r="AE208" s="1"/>
      <c r="AG208" s="1"/>
      <c r="AH208" s="1"/>
      <c r="AI208" s="1"/>
      <c r="AJ208" s="1"/>
      <c r="BC208" s="1"/>
    </row>
    <row r="209" spans="2:55" x14ac:dyDescent="0.3">
      <c r="B209" s="7"/>
      <c r="C209" s="8"/>
      <c r="D209" s="8"/>
      <c r="E209" s="8"/>
      <c r="J209" s="8"/>
      <c r="K209" s="1"/>
      <c r="N209" s="7"/>
      <c r="P209" s="6"/>
      <c r="Q209" s="6"/>
      <c r="R209" s="6"/>
      <c r="S209" s="5"/>
      <c r="T209" s="6"/>
      <c r="U209" s="1"/>
      <c r="V209" s="1"/>
      <c r="Y209" s="1"/>
      <c r="Z209" s="1"/>
      <c r="AA209" s="5"/>
      <c r="AB209" s="1"/>
      <c r="AC209" s="1"/>
      <c r="AD209" s="5"/>
      <c r="AE209" s="1"/>
      <c r="AG209" s="1"/>
      <c r="AH209" s="1"/>
      <c r="AI209" s="1"/>
      <c r="AJ209" s="1"/>
      <c r="BC209" s="1"/>
    </row>
    <row r="210" spans="2:55" x14ac:dyDescent="0.3">
      <c r="B210" s="7"/>
      <c r="C210" s="8"/>
      <c r="D210" s="8"/>
      <c r="E210" s="8"/>
      <c r="J210" s="8"/>
      <c r="K210" s="1"/>
      <c r="N210" s="7"/>
      <c r="P210" s="6"/>
      <c r="Q210" s="6"/>
      <c r="R210" s="6"/>
      <c r="S210" s="5"/>
      <c r="T210" s="6"/>
      <c r="U210" s="1"/>
      <c r="V210" s="1"/>
      <c r="Y210" s="1"/>
      <c r="Z210" s="1"/>
      <c r="AA210" s="5"/>
      <c r="AB210" s="1"/>
      <c r="AC210" s="1"/>
      <c r="AD210" s="5"/>
      <c r="AE210" s="1"/>
      <c r="AG210" s="1"/>
      <c r="AH210" s="1"/>
      <c r="AI210" s="1"/>
      <c r="AJ210" s="1"/>
      <c r="BC210" s="1"/>
    </row>
    <row r="211" spans="2:55" x14ac:dyDescent="0.3">
      <c r="B211" s="7"/>
      <c r="C211" s="8"/>
      <c r="D211" s="8"/>
      <c r="E211" s="8"/>
      <c r="J211" s="8"/>
      <c r="K211" s="1"/>
      <c r="N211" s="7"/>
      <c r="P211" s="6"/>
      <c r="Q211" s="6"/>
      <c r="R211" s="6"/>
      <c r="S211" s="5"/>
      <c r="T211" s="6"/>
      <c r="U211" s="1"/>
      <c r="V211" s="1"/>
      <c r="Y211" s="1"/>
      <c r="Z211" s="1"/>
      <c r="AA211" s="5"/>
      <c r="AB211" s="1"/>
      <c r="AC211" s="1"/>
      <c r="AD211" s="5"/>
      <c r="AE211" s="1"/>
      <c r="AG211" s="1"/>
      <c r="AH211" s="1"/>
      <c r="AI211" s="1"/>
      <c r="AJ211" s="1"/>
      <c r="BC211" s="1"/>
    </row>
    <row r="212" spans="2:55" x14ac:dyDescent="0.3">
      <c r="B212" s="7"/>
      <c r="C212" s="8"/>
      <c r="D212" s="8"/>
      <c r="E212" s="8"/>
      <c r="J212" s="8"/>
      <c r="K212" s="1"/>
      <c r="N212" s="7"/>
      <c r="P212" s="6"/>
      <c r="Q212" s="6"/>
      <c r="R212" s="6"/>
      <c r="S212" s="5"/>
      <c r="T212" s="6"/>
      <c r="U212" s="1"/>
      <c r="V212" s="1"/>
      <c r="Y212" s="1"/>
      <c r="Z212" s="1"/>
      <c r="AA212" s="5"/>
      <c r="AB212" s="1"/>
      <c r="AC212" s="1"/>
      <c r="AD212" s="5"/>
      <c r="AE212" s="1"/>
      <c r="AG212" s="1"/>
      <c r="AH212" s="1"/>
      <c r="AI212" s="1"/>
      <c r="AJ212" s="1"/>
      <c r="BC212" s="1"/>
    </row>
    <row r="213" spans="2:55" x14ac:dyDescent="0.3">
      <c r="B213" s="7"/>
      <c r="C213" s="8"/>
      <c r="D213" s="8"/>
      <c r="E213" s="8"/>
      <c r="J213" s="8"/>
      <c r="K213" s="1"/>
      <c r="N213" s="7"/>
      <c r="P213" s="6"/>
      <c r="Q213" s="6"/>
      <c r="R213" s="6"/>
      <c r="S213" s="5"/>
      <c r="T213" s="6"/>
      <c r="U213" s="1"/>
      <c r="V213" s="1"/>
      <c r="Y213" s="1"/>
      <c r="Z213" s="1"/>
      <c r="AA213" s="5"/>
      <c r="AB213" s="1"/>
      <c r="AC213" s="1"/>
      <c r="AD213" s="5"/>
      <c r="AE213" s="1"/>
      <c r="AG213" s="1"/>
      <c r="AH213" s="1"/>
      <c r="AI213" s="1"/>
      <c r="AJ213" s="1"/>
      <c r="BC213" s="1"/>
    </row>
    <row r="214" spans="2:55" x14ac:dyDescent="0.3">
      <c r="B214" s="7"/>
      <c r="C214" s="8"/>
      <c r="D214" s="8"/>
      <c r="E214" s="8"/>
      <c r="J214" s="8"/>
      <c r="K214" s="1"/>
      <c r="N214" s="7"/>
      <c r="P214" s="6"/>
      <c r="Q214" s="6"/>
      <c r="R214" s="6"/>
      <c r="S214" s="5"/>
      <c r="T214" s="6"/>
      <c r="U214" s="1"/>
      <c r="V214" s="1"/>
      <c r="Y214" s="1"/>
      <c r="Z214" s="1"/>
      <c r="AA214" s="5"/>
      <c r="AB214" s="1"/>
      <c r="AC214" s="1"/>
      <c r="AD214" s="5"/>
      <c r="AE214" s="1"/>
      <c r="AG214" s="1"/>
      <c r="AH214" s="1"/>
      <c r="AI214" s="1"/>
      <c r="AJ214" s="1"/>
      <c r="BC214" s="1"/>
    </row>
    <row r="215" spans="2:55" x14ac:dyDescent="0.3">
      <c r="B215" s="7"/>
      <c r="C215" s="8"/>
      <c r="D215" s="8"/>
      <c r="E215" s="8"/>
      <c r="J215" s="8"/>
      <c r="K215" s="1"/>
      <c r="N215" s="7"/>
      <c r="P215" s="6"/>
      <c r="Q215" s="6"/>
      <c r="R215" s="6"/>
      <c r="S215" s="5"/>
      <c r="T215" s="6"/>
      <c r="U215" s="1"/>
      <c r="V215" s="1"/>
      <c r="Y215" s="1"/>
      <c r="Z215" s="1"/>
      <c r="AA215" s="5"/>
      <c r="AB215" s="1"/>
      <c r="AC215" s="1"/>
      <c r="AD215" s="5"/>
      <c r="AE215" s="1"/>
      <c r="AG215" s="1"/>
      <c r="AH215" s="1"/>
      <c r="AI215" s="1"/>
      <c r="AJ215" s="1"/>
      <c r="BC215" s="1"/>
    </row>
    <row r="216" spans="2:55" x14ac:dyDescent="0.3">
      <c r="B216" s="7"/>
      <c r="C216" s="8"/>
      <c r="D216" s="8"/>
      <c r="E216" s="8"/>
      <c r="J216" s="8"/>
      <c r="K216" s="1"/>
      <c r="N216" s="7"/>
      <c r="P216" s="6"/>
      <c r="Q216" s="6"/>
      <c r="R216" s="6"/>
      <c r="S216" s="5"/>
      <c r="T216" s="6"/>
      <c r="U216" s="1"/>
      <c r="V216" s="1"/>
      <c r="Y216" s="1"/>
      <c r="Z216" s="1"/>
      <c r="AA216" s="5"/>
      <c r="AB216" s="1"/>
      <c r="AC216" s="1"/>
      <c r="AD216" s="5"/>
      <c r="AE216" s="1"/>
      <c r="AG216" s="1"/>
      <c r="AH216" s="1"/>
      <c r="AI216" s="1"/>
      <c r="AJ216" s="1"/>
      <c r="BC216" s="1"/>
    </row>
    <row r="217" spans="2:55" x14ac:dyDescent="0.3">
      <c r="B217" s="7"/>
      <c r="C217" s="8"/>
      <c r="D217" s="8"/>
      <c r="E217" s="8"/>
      <c r="J217" s="8"/>
      <c r="K217" s="1"/>
      <c r="N217" s="7"/>
      <c r="P217" s="6"/>
      <c r="Q217" s="6"/>
      <c r="R217" s="6"/>
      <c r="S217" s="5"/>
      <c r="T217" s="6"/>
      <c r="U217" s="1"/>
      <c r="V217" s="1"/>
      <c r="Y217" s="1"/>
      <c r="Z217" s="1"/>
      <c r="AA217" s="5"/>
      <c r="AB217" s="1"/>
      <c r="AC217" s="1"/>
      <c r="AD217" s="5"/>
      <c r="AE217" s="1"/>
      <c r="AG217" s="1"/>
      <c r="AH217" s="1"/>
      <c r="AI217" s="1"/>
      <c r="AJ217" s="1"/>
      <c r="BC217" s="1"/>
    </row>
    <row r="218" spans="2:55" x14ac:dyDescent="0.3">
      <c r="B218" s="7"/>
      <c r="C218" s="8"/>
      <c r="D218" s="8"/>
      <c r="E218" s="8"/>
      <c r="J218" s="8"/>
      <c r="K218" s="1"/>
      <c r="N218" s="7"/>
      <c r="P218" s="6"/>
      <c r="Q218" s="6"/>
      <c r="R218" s="6"/>
      <c r="S218" s="5"/>
      <c r="T218" s="6"/>
      <c r="U218" s="1"/>
      <c r="V218" s="1"/>
      <c r="Y218" s="1"/>
      <c r="Z218" s="1"/>
      <c r="AA218" s="5"/>
      <c r="AB218" s="1"/>
      <c r="AC218" s="1"/>
      <c r="AD218" s="5"/>
      <c r="AE218" s="1"/>
      <c r="AG218" s="1"/>
      <c r="AH218" s="1"/>
      <c r="AI218" s="1"/>
      <c r="AJ218" s="1"/>
      <c r="BC218" s="1"/>
    </row>
    <row r="219" spans="2:55" x14ac:dyDescent="0.3">
      <c r="B219" s="7"/>
      <c r="C219" s="8"/>
      <c r="D219" s="8"/>
      <c r="E219" s="8"/>
      <c r="J219" s="8"/>
      <c r="K219" s="1"/>
      <c r="N219" s="7"/>
      <c r="P219" s="6"/>
      <c r="Q219" s="6"/>
      <c r="R219" s="6"/>
      <c r="S219" s="5"/>
      <c r="T219" s="6"/>
      <c r="U219" s="1"/>
      <c r="V219" s="1"/>
      <c r="Y219" s="1"/>
      <c r="Z219" s="1"/>
      <c r="AA219" s="5"/>
      <c r="AB219" s="1"/>
      <c r="AC219" s="1"/>
      <c r="AD219" s="5"/>
      <c r="AE219" s="1"/>
      <c r="AG219" s="1"/>
      <c r="AH219" s="1"/>
      <c r="AI219" s="1"/>
      <c r="AJ219" s="1"/>
      <c r="BC219" s="1"/>
    </row>
    <row r="220" spans="2:55" x14ac:dyDescent="0.3">
      <c r="B220" s="7"/>
      <c r="C220" s="8"/>
      <c r="D220" s="8"/>
      <c r="E220" s="8"/>
      <c r="J220" s="8"/>
      <c r="K220" s="1"/>
      <c r="N220" s="7"/>
      <c r="P220" s="6"/>
      <c r="Q220" s="6"/>
      <c r="R220" s="6"/>
      <c r="S220" s="5"/>
      <c r="T220" s="6"/>
      <c r="U220" s="1"/>
      <c r="V220" s="1"/>
      <c r="Y220" s="1"/>
      <c r="Z220" s="1"/>
      <c r="AA220" s="5"/>
      <c r="AB220" s="1"/>
      <c r="AC220" s="1"/>
      <c r="AD220" s="5"/>
      <c r="AE220" s="1"/>
      <c r="AG220" s="1"/>
      <c r="AH220" s="1"/>
      <c r="AI220" s="1"/>
      <c r="AJ220" s="1"/>
      <c r="BC220" s="1"/>
    </row>
    <row r="221" spans="2:55" x14ac:dyDescent="0.3">
      <c r="B221" s="7"/>
      <c r="C221" s="8"/>
      <c r="D221" s="8"/>
      <c r="E221" s="8"/>
      <c r="J221" s="8"/>
      <c r="K221" s="1"/>
      <c r="N221" s="7"/>
      <c r="P221" s="6"/>
      <c r="Q221" s="6"/>
      <c r="R221" s="6"/>
      <c r="S221" s="5"/>
      <c r="T221" s="6"/>
      <c r="U221" s="1"/>
      <c r="V221" s="1"/>
      <c r="Y221" s="1"/>
      <c r="Z221" s="1"/>
      <c r="AA221" s="5"/>
      <c r="AB221" s="1"/>
      <c r="AC221" s="1"/>
      <c r="AD221" s="5"/>
      <c r="AE221" s="1"/>
      <c r="AG221" s="1"/>
      <c r="AH221" s="1"/>
      <c r="AI221" s="1"/>
      <c r="AJ221" s="1"/>
      <c r="BC221" s="1"/>
    </row>
    <row r="222" spans="2:55" x14ac:dyDescent="0.3">
      <c r="B222" s="7"/>
      <c r="C222" s="8"/>
      <c r="D222" s="8"/>
      <c r="E222" s="8"/>
      <c r="J222" s="8"/>
      <c r="K222" s="1"/>
      <c r="N222" s="7"/>
      <c r="P222" s="6"/>
      <c r="Q222" s="6"/>
      <c r="R222" s="6"/>
      <c r="S222" s="5"/>
      <c r="T222" s="6"/>
      <c r="U222" s="1"/>
      <c r="V222" s="1"/>
      <c r="Y222" s="1"/>
      <c r="Z222" s="1"/>
      <c r="AA222" s="5"/>
      <c r="AB222" s="1"/>
      <c r="AC222" s="1"/>
      <c r="AD222" s="5"/>
      <c r="AE222" s="1"/>
      <c r="AG222" s="1"/>
      <c r="AH222" s="1"/>
      <c r="AI222" s="1"/>
      <c r="AJ222" s="1"/>
      <c r="BC222" s="1"/>
    </row>
    <row r="223" spans="2:55" x14ac:dyDescent="0.3">
      <c r="B223" s="7"/>
      <c r="C223" s="8"/>
      <c r="D223" s="8"/>
      <c r="E223" s="8"/>
      <c r="J223" s="8"/>
      <c r="K223" s="1"/>
      <c r="N223" s="7"/>
      <c r="P223" s="6"/>
      <c r="Q223" s="6"/>
      <c r="R223" s="6"/>
      <c r="S223" s="5"/>
      <c r="T223" s="6"/>
      <c r="U223" s="1"/>
      <c r="V223" s="1"/>
      <c r="Y223" s="1"/>
      <c r="Z223" s="1"/>
      <c r="AA223" s="5"/>
      <c r="AB223" s="1"/>
      <c r="AC223" s="1"/>
      <c r="AD223" s="5"/>
      <c r="AE223" s="1"/>
      <c r="AG223" s="1"/>
      <c r="AH223" s="1"/>
      <c r="AI223" s="1"/>
      <c r="AJ223" s="1"/>
      <c r="BC223" s="1"/>
    </row>
    <row r="224" spans="2:55" x14ac:dyDescent="0.3">
      <c r="B224" s="7"/>
      <c r="C224" s="8"/>
      <c r="D224" s="8"/>
      <c r="E224" s="8"/>
      <c r="J224" s="8"/>
      <c r="K224" s="1"/>
      <c r="N224" s="7"/>
      <c r="P224" s="6"/>
      <c r="Q224" s="6"/>
      <c r="R224" s="6"/>
      <c r="S224" s="5"/>
      <c r="T224" s="6"/>
      <c r="U224" s="1"/>
      <c r="V224" s="1"/>
      <c r="Y224" s="1"/>
      <c r="Z224" s="1"/>
      <c r="AA224" s="5"/>
      <c r="AB224" s="1"/>
      <c r="AC224" s="1"/>
      <c r="AD224" s="5"/>
      <c r="AE224" s="1"/>
      <c r="AG224" s="1"/>
      <c r="AH224" s="1"/>
      <c r="AI224" s="1"/>
      <c r="AJ224" s="1"/>
      <c r="BC224" s="1"/>
    </row>
    <row r="225" spans="2:55" x14ac:dyDescent="0.3">
      <c r="B225" s="7"/>
      <c r="C225" s="8"/>
      <c r="D225" s="8"/>
      <c r="E225" s="8"/>
      <c r="J225" s="8"/>
      <c r="K225" s="1"/>
      <c r="N225" s="7"/>
      <c r="P225" s="6"/>
      <c r="Q225" s="6"/>
      <c r="R225" s="6"/>
      <c r="S225" s="5"/>
      <c r="T225" s="6"/>
      <c r="U225" s="1"/>
      <c r="V225" s="1"/>
      <c r="Y225" s="1"/>
      <c r="Z225" s="1"/>
      <c r="AA225" s="5"/>
      <c r="AB225" s="1"/>
      <c r="AC225" s="1"/>
      <c r="AD225" s="5"/>
      <c r="AE225" s="1"/>
      <c r="AG225" s="1"/>
      <c r="AH225" s="1"/>
      <c r="AI225" s="1"/>
      <c r="AJ225" s="1"/>
      <c r="BC225" s="1"/>
    </row>
    <row r="226" spans="2:55" x14ac:dyDescent="0.3">
      <c r="B226" s="7"/>
      <c r="C226" s="8"/>
      <c r="D226" s="8"/>
      <c r="E226" s="8"/>
      <c r="J226" s="8"/>
      <c r="K226" s="1"/>
      <c r="N226" s="7"/>
      <c r="P226" s="6"/>
      <c r="Q226" s="6"/>
      <c r="R226" s="6"/>
      <c r="S226" s="5"/>
      <c r="T226" s="6"/>
      <c r="U226" s="1"/>
      <c r="V226" s="1"/>
      <c r="Y226" s="1"/>
      <c r="Z226" s="1"/>
      <c r="AA226" s="5"/>
      <c r="AB226" s="1"/>
      <c r="AC226" s="1"/>
      <c r="AD226" s="5"/>
      <c r="AE226" s="1"/>
      <c r="AG226" s="1"/>
      <c r="AH226" s="1"/>
      <c r="AI226" s="1"/>
      <c r="AJ226" s="1"/>
      <c r="BC226" s="1"/>
    </row>
    <row r="227" spans="2:55" x14ac:dyDescent="0.3">
      <c r="B227" s="7"/>
      <c r="C227" s="8"/>
      <c r="D227" s="8"/>
      <c r="E227" s="8"/>
      <c r="J227" s="8"/>
      <c r="K227" s="1"/>
      <c r="N227" s="7"/>
      <c r="P227" s="6"/>
      <c r="Q227" s="6"/>
      <c r="R227" s="6"/>
      <c r="S227" s="5"/>
      <c r="T227" s="6"/>
      <c r="U227" s="1"/>
      <c r="V227" s="1"/>
      <c r="Y227" s="1"/>
      <c r="Z227" s="1"/>
      <c r="AA227" s="5"/>
      <c r="AB227" s="1"/>
      <c r="AC227" s="1"/>
      <c r="AD227" s="5"/>
      <c r="AE227" s="1"/>
      <c r="AG227" s="1"/>
      <c r="AH227" s="1"/>
      <c r="AI227" s="1"/>
      <c r="AJ227" s="1"/>
      <c r="BC227" s="1"/>
    </row>
    <row r="228" spans="2:55" x14ac:dyDescent="0.3">
      <c r="B228" s="7"/>
      <c r="C228" s="8"/>
      <c r="D228" s="8"/>
      <c r="E228" s="8"/>
      <c r="J228" s="8"/>
      <c r="K228" s="1"/>
      <c r="N228" s="7"/>
      <c r="P228" s="6"/>
      <c r="Q228" s="6"/>
      <c r="R228" s="6"/>
      <c r="S228" s="5"/>
      <c r="T228" s="6"/>
      <c r="U228" s="1"/>
      <c r="V228" s="1"/>
      <c r="Y228" s="1"/>
      <c r="Z228" s="1"/>
      <c r="AA228" s="5"/>
      <c r="AB228" s="1"/>
      <c r="AC228" s="1"/>
      <c r="AD228" s="5"/>
      <c r="AE228" s="1"/>
      <c r="AG228" s="1"/>
      <c r="AH228" s="1"/>
      <c r="AI228" s="1"/>
      <c r="AJ228" s="1"/>
      <c r="BC228" s="1"/>
    </row>
    <row r="229" spans="2:55" x14ac:dyDescent="0.3">
      <c r="B229" s="7"/>
      <c r="C229" s="8"/>
      <c r="D229" s="8"/>
      <c r="E229" s="8"/>
      <c r="J229" s="8"/>
      <c r="K229" s="1"/>
      <c r="N229" s="7"/>
      <c r="P229" s="6"/>
      <c r="Q229" s="6"/>
      <c r="R229" s="6"/>
      <c r="S229" s="5"/>
      <c r="T229" s="6"/>
      <c r="U229" s="1"/>
      <c r="V229" s="1"/>
      <c r="Y229" s="1"/>
      <c r="Z229" s="1"/>
      <c r="AA229" s="5"/>
      <c r="AB229" s="1"/>
      <c r="AC229" s="1"/>
      <c r="AD229" s="5"/>
      <c r="AE229" s="1"/>
      <c r="AG229" s="1"/>
      <c r="AH229" s="1"/>
      <c r="AI229" s="1"/>
      <c r="AJ229" s="1"/>
      <c r="BC229" s="1"/>
    </row>
    <row r="230" spans="2:55" x14ac:dyDescent="0.3">
      <c r="B230" s="7"/>
      <c r="C230" s="8"/>
      <c r="D230" s="8"/>
      <c r="E230" s="8"/>
      <c r="J230" s="8"/>
      <c r="K230" s="1"/>
      <c r="N230" s="7"/>
      <c r="P230" s="6"/>
      <c r="Q230" s="6"/>
      <c r="R230" s="6"/>
      <c r="S230" s="5"/>
      <c r="T230" s="6"/>
      <c r="U230" s="1"/>
      <c r="V230" s="1"/>
      <c r="Y230" s="1"/>
      <c r="Z230" s="1"/>
      <c r="AA230" s="5"/>
      <c r="AB230" s="1"/>
      <c r="AC230" s="1"/>
      <c r="AD230" s="5"/>
      <c r="AE230" s="1"/>
      <c r="AG230" s="1"/>
      <c r="AH230" s="1"/>
      <c r="AI230" s="1"/>
      <c r="AJ230" s="1"/>
      <c r="BC230" s="1"/>
    </row>
    <row r="231" spans="2:55" x14ac:dyDescent="0.3">
      <c r="B231" s="7"/>
      <c r="C231" s="8"/>
      <c r="D231" s="8"/>
      <c r="E231" s="8"/>
      <c r="J231" s="8"/>
      <c r="K231" s="1"/>
      <c r="N231" s="7"/>
      <c r="P231" s="6"/>
      <c r="Q231" s="6"/>
      <c r="R231" s="6"/>
      <c r="S231" s="5"/>
      <c r="T231" s="6"/>
      <c r="U231" s="1"/>
      <c r="V231" s="1"/>
      <c r="Y231" s="1"/>
      <c r="Z231" s="1"/>
      <c r="AA231" s="5"/>
      <c r="AB231" s="1"/>
      <c r="AC231" s="1"/>
      <c r="AD231" s="5"/>
      <c r="AE231" s="1"/>
      <c r="AG231" s="1"/>
      <c r="AH231" s="1"/>
      <c r="AI231" s="1"/>
      <c r="AJ231" s="1"/>
      <c r="BC231" s="1"/>
    </row>
    <row r="232" spans="2:55" x14ac:dyDescent="0.3">
      <c r="K232" s="1"/>
      <c r="P232" s="6"/>
      <c r="Q232" s="6"/>
      <c r="R232" s="6"/>
      <c r="S232" s="5"/>
      <c r="T232" s="6"/>
      <c r="U232" s="1"/>
      <c r="V232" s="1"/>
      <c r="Y232" s="1"/>
      <c r="Z232" s="1"/>
      <c r="AA232" s="5"/>
      <c r="AB232" s="1"/>
      <c r="AC232" s="1"/>
      <c r="AD232" s="5"/>
      <c r="AE232" s="1"/>
      <c r="AG232" s="1"/>
      <c r="AH232" s="1"/>
      <c r="AI232" s="1"/>
      <c r="AJ232" s="1"/>
      <c r="BC232" s="1"/>
    </row>
    <row r="233" spans="2:55" x14ac:dyDescent="0.3">
      <c r="K233" s="1"/>
      <c r="P233" s="6"/>
      <c r="Q233" s="6"/>
      <c r="R233" s="6"/>
      <c r="S233" s="5"/>
      <c r="T233" s="6"/>
      <c r="U233" s="1"/>
      <c r="V233" s="1"/>
      <c r="Y233" s="1"/>
      <c r="Z233" s="1"/>
      <c r="AA233" s="5"/>
      <c r="AB233" s="1"/>
      <c r="AC233" s="1"/>
      <c r="AD233" s="5"/>
      <c r="AE233" s="1"/>
      <c r="AG233" s="1"/>
      <c r="AH233" s="1"/>
      <c r="AI233" s="1"/>
      <c r="AJ233" s="1"/>
      <c r="BC233" s="1"/>
    </row>
    <row r="234" spans="2:55" x14ac:dyDescent="0.3">
      <c r="K234" s="1"/>
      <c r="P234" s="6"/>
      <c r="Q234" s="6"/>
      <c r="R234" s="6"/>
      <c r="S234" s="5"/>
      <c r="T234" s="6"/>
      <c r="U234" s="1"/>
      <c r="V234" s="1"/>
      <c r="Y234" s="1"/>
      <c r="Z234" s="1"/>
      <c r="AA234" s="5"/>
      <c r="AB234" s="1"/>
      <c r="AC234" s="1"/>
      <c r="AD234" s="5"/>
      <c r="AE234" s="1"/>
      <c r="AG234" s="1"/>
      <c r="AH234" s="1"/>
      <c r="AI234" s="1"/>
      <c r="AJ234" s="1"/>
      <c r="BC234" s="1"/>
    </row>
    <row r="235" spans="2:55" x14ac:dyDescent="0.3">
      <c r="K235" s="1"/>
      <c r="P235" s="6"/>
      <c r="Q235" s="6"/>
      <c r="R235" s="6"/>
      <c r="S235" s="5"/>
      <c r="T235" s="6"/>
      <c r="U235" s="1"/>
      <c r="V235" s="1"/>
      <c r="Y235" s="1"/>
      <c r="Z235" s="1"/>
      <c r="AA235" s="5"/>
      <c r="AB235" s="1"/>
      <c r="AC235" s="1"/>
      <c r="AD235" s="5"/>
      <c r="AE235" s="1"/>
      <c r="AG235" s="1"/>
      <c r="AH235" s="1"/>
      <c r="AI235" s="1"/>
      <c r="AJ235" s="1"/>
      <c r="BC235" s="1"/>
    </row>
    <row r="236" spans="2:55" x14ac:dyDescent="0.3">
      <c r="K236" s="1"/>
      <c r="P236" s="6"/>
      <c r="Q236" s="6"/>
      <c r="R236" s="6"/>
      <c r="S236" s="5"/>
      <c r="T236" s="6"/>
      <c r="U236" s="1"/>
      <c r="V236" s="1"/>
      <c r="Y236" s="1"/>
      <c r="Z236" s="1"/>
      <c r="AA236" s="5"/>
      <c r="AB236" s="1"/>
      <c r="AC236" s="1"/>
      <c r="AD236" s="5"/>
      <c r="AE236" s="1"/>
      <c r="AG236" s="1"/>
      <c r="AH236" s="1"/>
      <c r="AI236" s="1"/>
      <c r="AJ236" s="1"/>
      <c r="BC236" s="1"/>
    </row>
    <row r="237" spans="2:55" x14ac:dyDescent="0.3">
      <c r="K237" s="1"/>
      <c r="P237" s="6"/>
      <c r="Q237" s="6"/>
      <c r="R237" s="6"/>
      <c r="S237" s="5"/>
      <c r="T237" s="6"/>
      <c r="U237" s="1"/>
      <c r="V237" s="1"/>
      <c r="Y237" s="1"/>
      <c r="Z237" s="1"/>
      <c r="AA237" s="5"/>
      <c r="AB237" s="1"/>
      <c r="AC237" s="1"/>
      <c r="AD237" s="5"/>
      <c r="AE237" s="1"/>
      <c r="AG237" s="1"/>
      <c r="AH237" s="1"/>
      <c r="AI237" s="1"/>
      <c r="AJ237" s="1"/>
      <c r="BC237" s="1"/>
    </row>
    <row r="238" spans="2:55" x14ac:dyDescent="0.3">
      <c r="K238" s="1"/>
      <c r="P238" s="6"/>
      <c r="Q238" s="6"/>
      <c r="R238" s="6"/>
      <c r="S238" s="5"/>
      <c r="T238" s="6"/>
      <c r="U238" s="1"/>
      <c r="V238" s="1"/>
      <c r="Y238" s="1"/>
      <c r="Z238" s="1"/>
      <c r="AA238" s="5"/>
      <c r="AB238" s="1"/>
      <c r="AC238" s="1"/>
      <c r="AD238" s="5"/>
      <c r="AE238" s="1"/>
      <c r="AG238" s="1"/>
      <c r="AH238" s="1"/>
      <c r="AI238" s="1"/>
      <c r="AJ238" s="1"/>
      <c r="BC238" s="1"/>
    </row>
    <row r="239" spans="2:55" x14ac:dyDescent="0.3">
      <c r="K239" s="1"/>
      <c r="P239" s="6"/>
      <c r="Q239" s="6"/>
      <c r="R239" s="6"/>
      <c r="S239" s="5"/>
      <c r="T239" s="6"/>
      <c r="U239" s="1"/>
      <c r="V239" s="1"/>
      <c r="Y239" s="1"/>
      <c r="Z239" s="1"/>
      <c r="AA239" s="5"/>
      <c r="AB239" s="1"/>
      <c r="AC239" s="1"/>
      <c r="AD239" s="5"/>
      <c r="AE239" s="1"/>
      <c r="AG239" s="1"/>
      <c r="AH239" s="1"/>
      <c r="AI239" s="1"/>
      <c r="AJ239" s="1"/>
      <c r="BC239" s="1"/>
    </row>
    <row r="240" spans="2:55" x14ac:dyDescent="0.3">
      <c r="K240" s="1"/>
      <c r="P240" s="6"/>
      <c r="Q240" s="6"/>
      <c r="R240" s="6"/>
      <c r="S240" s="5"/>
      <c r="T240" s="6"/>
      <c r="U240" s="1"/>
      <c r="V240" s="1"/>
      <c r="Y240" s="1"/>
      <c r="Z240" s="1"/>
      <c r="AA240" s="5"/>
      <c r="AB240" s="1"/>
      <c r="AC240" s="1"/>
      <c r="AD240" s="5"/>
      <c r="AE240" s="1"/>
      <c r="AG240" s="1"/>
      <c r="AH240" s="1"/>
      <c r="AI240" s="1"/>
      <c r="AJ240" s="1"/>
      <c r="BC240" s="1"/>
    </row>
    <row r="241" spans="11:55" x14ac:dyDescent="0.3">
      <c r="K241" s="1"/>
      <c r="P241" s="6"/>
      <c r="Q241" s="6"/>
      <c r="R241" s="6"/>
      <c r="S241" s="5"/>
      <c r="T241" s="6"/>
      <c r="U241" s="1"/>
      <c r="V241" s="1"/>
      <c r="Y241" s="1"/>
      <c r="Z241" s="1"/>
      <c r="AA241" s="5"/>
      <c r="AB241" s="1"/>
      <c r="AC241" s="1"/>
      <c r="AD241" s="5"/>
      <c r="AE241" s="1"/>
      <c r="AG241" s="1"/>
      <c r="AH241" s="1"/>
      <c r="AI241" s="1"/>
      <c r="AJ241" s="1"/>
      <c r="BC241" s="1"/>
    </row>
    <row r="242" spans="11:55" x14ac:dyDescent="0.3">
      <c r="K242" s="1"/>
      <c r="P242" s="6"/>
      <c r="Q242" s="6"/>
      <c r="R242" s="6"/>
      <c r="S242" s="5"/>
      <c r="T242" s="6"/>
      <c r="U242" s="1"/>
      <c r="V242" s="1"/>
      <c r="Y242" s="1"/>
      <c r="Z242" s="1"/>
      <c r="AA242" s="5"/>
      <c r="AB242" s="1"/>
      <c r="AC242" s="1"/>
      <c r="AD242" s="5"/>
      <c r="AE242" s="1"/>
      <c r="AG242" s="1"/>
      <c r="AH242" s="1"/>
      <c r="AI242" s="1"/>
      <c r="AJ242" s="1"/>
      <c r="BC242" s="1"/>
    </row>
    <row r="243" spans="11:55" x14ac:dyDescent="0.3">
      <c r="K243" s="1"/>
      <c r="P243" s="6"/>
      <c r="Q243" s="6"/>
      <c r="R243" s="6"/>
      <c r="S243" s="5"/>
      <c r="T243" s="6"/>
      <c r="U243" s="1"/>
      <c r="V243" s="1"/>
      <c r="Y243" s="1"/>
      <c r="Z243" s="1"/>
      <c r="AA243" s="5"/>
      <c r="AB243" s="1"/>
      <c r="AC243" s="1"/>
      <c r="AD243" s="5"/>
      <c r="AE243" s="1"/>
      <c r="AG243" s="1"/>
      <c r="AH243" s="1"/>
      <c r="AI243" s="1"/>
      <c r="AJ243" s="1"/>
      <c r="BC243" s="1"/>
    </row>
    <row r="244" spans="11:55" x14ac:dyDescent="0.3">
      <c r="K244" s="1"/>
      <c r="P244" s="6"/>
      <c r="Q244" s="6"/>
      <c r="R244" s="6"/>
      <c r="S244" s="5"/>
      <c r="T244" s="6"/>
      <c r="U244" s="1"/>
      <c r="V244" s="1"/>
      <c r="Y244" s="1"/>
      <c r="Z244" s="1"/>
      <c r="AA244" s="5"/>
      <c r="AB244" s="1"/>
      <c r="AC244" s="1"/>
      <c r="AD244" s="5"/>
      <c r="AE244" s="1"/>
      <c r="AG244" s="1"/>
      <c r="AH244" s="1"/>
      <c r="AI244" s="1"/>
      <c r="AJ244" s="1"/>
      <c r="BC244" s="1"/>
    </row>
    <row r="245" spans="11:55" x14ac:dyDescent="0.3">
      <c r="K245" s="1"/>
      <c r="P245" s="6"/>
      <c r="Q245" s="6"/>
      <c r="R245" s="6"/>
      <c r="S245" s="5"/>
      <c r="T245" s="6"/>
      <c r="U245" s="1"/>
      <c r="V245" s="1"/>
      <c r="Y245" s="1"/>
      <c r="Z245" s="1"/>
      <c r="AA245" s="5"/>
      <c r="AB245" s="1"/>
      <c r="AC245" s="1"/>
      <c r="AD245" s="5"/>
      <c r="AE245" s="1"/>
      <c r="AG245" s="1"/>
      <c r="AH245" s="1"/>
      <c r="AI245" s="1"/>
      <c r="AJ245" s="1"/>
      <c r="BC245" s="1"/>
    </row>
    <row r="246" spans="11:55" x14ac:dyDescent="0.3">
      <c r="K246" s="1"/>
      <c r="P246" s="6"/>
      <c r="Q246" s="6"/>
      <c r="R246" s="6"/>
      <c r="S246" s="5"/>
      <c r="T246" s="6"/>
      <c r="U246" s="1"/>
      <c r="V246" s="1"/>
      <c r="Y246" s="1"/>
      <c r="Z246" s="1"/>
      <c r="AA246" s="5"/>
      <c r="AB246" s="1"/>
      <c r="AC246" s="1"/>
      <c r="AD246" s="5"/>
      <c r="AE246" s="1"/>
      <c r="AG246" s="1"/>
      <c r="AH246" s="1"/>
      <c r="AI246" s="1"/>
      <c r="AJ246" s="1"/>
      <c r="BC246" s="1"/>
    </row>
    <row r="247" spans="11:55" x14ac:dyDescent="0.3">
      <c r="K247" s="1"/>
      <c r="P247" s="6"/>
      <c r="Q247" s="6"/>
      <c r="R247" s="6"/>
      <c r="S247" s="5"/>
      <c r="T247" s="6"/>
      <c r="U247" s="1"/>
      <c r="V247" s="1"/>
      <c r="Y247" s="1"/>
      <c r="Z247" s="1"/>
      <c r="AA247" s="5"/>
      <c r="AB247" s="1"/>
      <c r="AC247" s="1"/>
      <c r="AD247" s="5"/>
      <c r="AE247" s="1"/>
      <c r="AG247" s="1"/>
      <c r="AH247" s="1"/>
      <c r="AI247" s="1"/>
      <c r="AJ247" s="1"/>
      <c r="BC247" s="1"/>
    </row>
    <row r="248" spans="11:55" x14ac:dyDescent="0.3">
      <c r="K248" s="1"/>
      <c r="P248" s="6"/>
      <c r="Q248" s="6"/>
      <c r="R248" s="6"/>
      <c r="S248" s="5"/>
      <c r="T248" s="6"/>
      <c r="U248" s="1"/>
      <c r="V248" s="1"/>
      <c r="Y248" s="1"/>
      <c r="Z248" s="1"/>
      <c r="AA248" s="5"/>
      <c r="AB248" s="1"/>
      <c r="AC248" s="1"/>
      <c r="AD248" s="5"/>
      <c r="AE248" s="1"/>
      <c r="AG248" s="1"/>
      <c r="AH248" s="1"/>
      <c r="AI248" s="1"/>
      <c r="AJ248" s="1"/>
      <c r="BC248" s="1"/>
    </row>
    <row r="249" spans="11:55" x14ac:dyDescent="0.3">
      <c r="K249" s="1"/>
      <c r="P249" s="6"/>
      <c r="Q249" s="6"/>
      <c r="R249" s="6"/>
      <c r="S249" s="5"/>
      <c r="T249" s="6"/>
      <c r="U249" s="1"/>
      <c r="V249" s="1"/>
      <c r="Y249" s="1"/>
      <c r="Z249" s="1"/>
      <c r="AA249" s="5"/>
      <c r="AB249" s="1"/>
      <c r="AC249" s="1"/>
      <c r="AD249" s="5"/>
      <c r="AE249" s="1"/>
      <c r="AG249" s="1"/>
      <c r="AH249" s="1"/>
      <c r="AI249" s="1"/>
      <c r="AJ249" s="1"/>
      <c r="BC249" s="1"/>
    </row>
    <row r="250" spans="11:55" x14ac:dyDescent="0.3">
      <c r="K250" s="1"/>
      <c r="P250" s="6"/>
      <c r="Q250" s="6"/>
      <c r="R250" s="6"/>
      <c r="S250" s="5"/>
      <c r="T250" s="6"/>
      <c r="U250" s="1"/>
      <c r="V250" s="1"/>
      <c r="Y250" s="1"/>
      <c r="Z250" s="1"/>
      <c r="AA250" s="5"/>
      <c r="AB250" s="1"/>
      <c r="AC250" s="1"/>
      <c r="AD250" s="5"/>
      <c r="AE250" s="1"/>
      <c r="AG250" s="1"/>
      <c r="AH250" s="1"/>
      <c r="AI250" s="1"/>
      <c r="AJ250" s="1"/>
      <c r="BC250" s="1"/>
    </row>
    <row r="251" spans="11:55" x14ac:dyDescent="0.3">
      <c r="K251" s="1"/>
      <c r="P251" s="6"/>
      <c r="Q251" s="6"/>
      <c r="R251" s="6"/>
      <c r="S251" s="5"/>
      <c r="T251" s="6"/>
      <c r="U251" s="1"/>
      <c r="V251" s="1"/>
      <c r="Y251" s="1"/>
      <c r="Z251" s="1"/>
      <c r="AA251" s="5"/>
      <c r="AB251" s="1"/>
      <c r="AC251" s="1"/>
      <c r="AD251" s="5"/>
      <c r="AE251" s="1"/>
      <c r="AG251" s="1"/>
      <c r="AH251" s="1"/>
      <c r="AI251" s="1"/>
      <c r="AJ251" s="1"/>
      <c r="BC251" s="1"/>
    </row>
    <row r="252" spans="11:55" x14ac:dyDescent="0.3">
      <c r="K252" s="1"/>
      <c r="P252" s="6"/>
      <c r="Q252" s="6"/>
      <c r="R252" s="6"/>
      <c r="S252" s="5"/>
      <c r="T252" s="6"/>
      <c r="U252" s="1"/>
      <c r="V252" s="1"/>
      <c r="Y252" s="1"/>
      <c r="Z252" s="1"/>
      <c r="AA252" s="5"/>
      <c r="AB252" s="1"/>
      <c r="AC252" s="1"/>
      <c r="AD252" s="5"/>
      <c r="AE252" s="1"/>
      <c r="AG252" s="1"/>
      <c r="AH252" s="1"/>
      <c r="AI252" s="1"/>
      <c r="AJ252" s="1"/>
      <c r="BC252" s="1"/>
    </row>
    <row r="253" spans="11:55" x14ac:dyDescent="0.3">
      <c r="K253" s="1"/>
      <c r="P253" s="6"/>
      <c r="Q253" s="6"/>
      <c r="R253" s="6"/>
      <c r="S253" s="5"/>
      <c r="T253" s="6"/>
      <c r="U253" s="1"/>
      <c r="V253" s="1"/>
      <c r="Y253" s="1"/>
      <c r="Z253" s="1"/>
      <c r="AA253" s="5"/>
      <c r="AB253" s="1"/>
      <c r="AC253" s="1"/>
      <c r="AD253" s="5"/>
      <c r="AE253" s="1"/>
      <c r="AG253" s="1"/>
      <c r="AH253" s="1"/>
      <c r="AI253" s="1"/>
      <c r="AJ253" s="1"/>
      <c r="BC253" s="1"/>
    </row>
    <row r="254" spans="11:55" x14ac:dyDescent="0.3">
      <c r="K254" s="1"/>
      <c r="P254" s="6"/>
      <c r="Q254" s="6"/>
      <c r="R254" s="6"/>
      <c r="S254" s="5"/>
      <c r="T254" s="6"/>
      <c r="U254" s="1"/>
      <c r="V254" s="1"/>
      <c r="Y254" s="1"/>
      <c r="Z254" s="1"/>
      <c r="AA254" s="5"/>
      <c r="AB254" s="1"/>
      <c r="AC254" s="1"/>
      <c r="AD254" s="5"/>
      <c r="AE254" s="1"/>
      <c r="AG254" s="1"/>
      <c r="AH254" s="1"/>
      <c r="AI254" s="1"/>
      <c r="AJ254" s="1"/>
      <c r="BC254" s="1"/>
    </row>
    <row r="255" spans="11:55" x14ac:dyDescent="0.3">
      <c r="K255" s="1"/>
      <c r="P255" s="6"/>
      <c r="Q255" s="6"/>
      <c r="R255" s="6"/>
      <c r="S255" s="5"/>
      <c r="T255" s="6"/>
      <c r="U255" s="1"/>
      <c r="V255" s="1"/>
      <c r="Y255" s="1"/>
      <c r="Z255" s="1"/>
      <c r="AA255" s="5"/>
      <c r="AB255" s="1"/>
      <c r="AC255" s="1"/>
      <c r="AD255" s="5"/>
      <c r="AE255" s="1"/>
      <c r="AG255" s="1"/>
      <c r="AH255" s="1"/>
      <c r="AI255" s="1"/>
      <c r="AJ255" s="1"/>
      <c r="BC255" s="1"/>
    </row>
    <row r="256" spans="11:55" x14ac:dyDescent="0.3">
      <c r="K256" s="1"/>
      <c r="P256" s="6"/>
      <c r="Q256" s="6"/>
      <c r="R256" s="6"/>
      <c r="S256" s="5"/>
      <c r="T256" s="6"/>
      <c r="U256" s="1"/>
      <c r="V256" s="1"/>
      <c r="Y256" s="1"/>
      <c r="Z256" s="1"/>
      <c r="AA256" s="5"/>
      <c r="AB256" s="1"/>
      <c r="AC256" s="1"/>
      <c r="AD256" s="5"/>
      <c r="AE256" s="1"/>
      <c r="AG256" s="1"/>
      <c r="AH256" s="1"/>
      <c r="AI256" s="1"/>
      <c r="AJ256" s="1"/>
      <c r="BC256" s="1"/>
    </row>
    <row r="257" spans="11:55" x14ac:dyDescent="0.3">
      <c r="K257" s="1"/>
      <c r="P257" s="6"/>
      <c r="Q257" s="6"/>
      <c r="R257" s="6"/>
      <c r="S257" s="5"/>
      <c r="T257" s="6"/>
      <c r="U257" s="1"/>
      <c r="V257" s="1"/>
      <c r="Y257" s="1"/>
      <c r="Z257" s="1"/>
      <c r="AA257" s="5"/>
      <c r="AB257" s="1"/>
      <c r="AC257" s="1"/>
      <c r="AD257" s="5"/>
      <c r="AE257" s="1"/>
      <c r="AG257" s="1"/>
      <c r="AH257" s="1"/>
      <c r="AI257" s="1"/>
      <c r="AJ257" s="1"/>
      <c r="BC257" s="1"/>
    </row>
    <row r="258" spans="11:55" x14ac:dyDescent="0.3">
      <c r="K258" s="1"/>
      <c r="P258" s="6"/>
      <c r="Q258" s="6"/>
      <c r="R258" s="6"/>
      <c r="S258" s="5"/>
      <c r="T258" s="6"/>
      <c r="U258" s="1"/>
      <c r="V258" s="1"/>
      <c r="Y258" s="1"/>
      <c r="Z258" s="1"/>
      <c r="AA258" s="5"/>
      <c r="AB258" s="1"/>
      <c r="AC258" s="1"/>
      <c r="AD258" s="5"/>
      <c r="AE258" s="1"/>
      <c r="AG258" s="1"/>
      <c r="AH258" s="1"/>
      <c r="AI258" s="1"/>
      <c r="AJ258" s="1"/>
      <c r="BC258" s="1"/>
    </row>
    <row r="259" spans="11:55" x14ac:dyDescent="0.3">
      <c r="K259" s="1"/>
      <c r="P259" s="6"/>
      <c r="Q259" s="6"/>
      <c r="R259" s="6"/>
      <c r="S259" s="5"/>
      <c r="T259" s="6"/>
      <c r="U259" s="1"/>
      <c r="V259" s="1"/>
      <c r="Y259" s="1"/>
      <c r="Z259" s="1"/>
      <c r="AA259" s="5"/>
      <c r="AB259" s="1"/>
      <c r="AC259" s="1"/>
      <c r="AD259" s="5"/>
      <c r="AE259" s="1"/>
      <c r="AG259" s="1"/>
      <c r="AH259" s="1"/>
      <c r="AI259" s="1"/>
      <c r="AJ259" s="1"/>
      <c r="BC259" s="1"/>
    </row>
    <row r="260" spans="11:55" x14ac:dyDescent="0.3">
      <c r="K260" s="1"/>
      <c r="P260" s="6"/>
      <c r="Q260" s="6"/>
      <c r="R260" s="6"/>
      <c r="S260" s="5"/>
      <c r="T260" s="6"/>
      <c r="U260" s="1"/>
      <c r="V260" s="1"/>
      <c r="Y260" s="1"/>
      <c r="Z260" s="1"/>
      <c r="AA260" s="5"/>
      <c r="AB260" s="1"/>
      <c r="AC260" s="1"/>
      <c r="AD260" s="5"/>
      <c r="AE260" s="1"/>
      <c r="AG260" s="1"/>
      <c r="AH260" s="1"/>
      <c r="AI260" s="1"/>
      <c r="AJ260" s="1"/>
      <c r="BC260" s="1"/>
    </row>
    <row r="261" spans="11:55" x14ac:dyDescent="0.3">
      <c r="K261" s="1"/>
      <c r="P261" s="6"/>
      <c r="Q261" s="6"/>
      <c r="R261" s="6"/>
      <c r="S261" s="5"/>
      <c r="T261" s="6"/>
      <c r="U261" s="1"/>
      <c r="V261" s="1"/>
      <c r="Y261" s="1"/>
      <c r="Z261" s="1"/>
      <c r="AA261" s="5"/>
      <c r="AB261" s="1"/>
      <c r="AC261" s="1"/>
      <c r="AD261" s="5"/>
      <c r="AE261" s="1"/>
      <c r="AG261" s="1"/>
      <c r="AH261" s="1"/>
      <c r="AI261" s="1"/>
      <c r="AJ261" s="1"/>
      <c r="BC261" s="1"/>
    </row>
    <row r="262" spans="11:55" x14ac:dyDescent="0.3">
      <c r="K262" s="1"/>
      <c r="P262" s="6"/>
      <c r="Q262" s="6"/>
      <c r="R262" s="6"/>
      <c r="S262" s="5"/>
      <c r="T262" s="6"/>
      <c r="U262" s="1"/>
      <c r="V262" s="1"/>
      <c r="Y262" s="1"/>
      <c r="Z262" s="1"/>
      <c r="AA262" s="5"/>
      <c r="AB262" s="1"/>
      <c r="AC262" s="1"/>
      <c r="AD262" s="5"/>
      <c r="AE262" s="1"/>
      <c r="AG262" s="1"/>
      <c r="AH262" s="1"/>
      <c r="AI262" s="1"/>
      <c r="AJ262" s="1"/>
      <c r="BC262" s="1"/>
    </row>
    <row r="263" spans="11:55" x14ac:dyDescent="0.3">
      <c r="K263" s="1"/>
      <c r="P263" s="6"/>
      <c r="Q263" s="6"/>
      <c r="R263" s="6"/>
      <c r="S263" s="5"/>
      <c r="T263" s="6"/>
      <c r="U263" s="1"/>
      <c r="V263" s="1"/>
      <c r="Y263" s="1"/>
      <c r="Z263" s="1"/>
      <c r="AA263" s="5"/>
      <c r="AB263" s="1"/>
      <c r="AC263" s="1"/>
      <c r="AD263" s="5"/>
      <c r="AE263" s="1"/>
      <c r="AG263" s="1"/>
      <c r="AH263" s="1"/>
      <c r="AI263" s="1"/>
      <c r="AJ263" s="1"/>
      <c r="BC263" s="1"/>
    </row>
    <row r="264" spans="11:55" x14ac:dyDescent="0.3">
      <c r="K264" s="1"/>
      <c r="P264" s="6"/>
      <c r="Q264" s="6"/>
      <c r="R264" s="6"/>
      <c r="S264" s="5"/>
      <c r="T264" s="6"/>
      <c r="U264" s="1"/>
      <c r="V264" s="1"/>
      <c r="Y264" s="1"/>
      <c r="Z264" s="1"/>
      <c r="AA264" s="5"/>
      <c r="AB264" s="1"/>
      <c r="AC264" s="1"/>
      <c r="AD264" s="5"/>
      <c r="AE264" s="1"/>
      <c r="AG264" s="1"/>
      <c r="AH264" s="1"/>
      <c r="AI264" s="1"/>
      <c r="AJ264" s="1"/>
      <c r="BC264" s="1"/>
    </row>
    <row r="265" spans="11:55" x14ac:dyDescent="0.3">
      <c r="K265" s="1"/>
      <c r="P265" s="6"/>
      <c r="Q265" s="6"/>
      <c r="R265" s="6"/>
      <c r="S265" s="5"/>
      <c r="T265" s="6"/>
      <c r="U265" s="1"/>
      <c r="V265" s="1"/>
      <c r="Y265" s="1"/>
      <c r="Z265" s="1"/>
      <c r="AA265" s="5"/>
      <c r="AB265" s="1"/>
      <c r="AC265" s="1"/>
      <c r="AD265" s="5"/>
      <c r="AE265" s="1"/>
      <c r="AG265" s="1"/>
      <c r="AH265" s="1"/>
      <c r="AI265" s="1"/>
      <c r="AJ265" s="1"/>
      <c r="BC265" s="1"/>
    </row>
    <row r="266" spans="11:55" x14ac:dyDescent="0.3">
      <c r="K266" s="1"/>
      <c r="P266" s="6"/>
      <c r="Q266" s="6"/>
      <c r="R266" s="6"/>
      <c r="S266" s="5"/>
      <c r="T266" s="6"/>
      <c r="U266" s="1"/>
      <c r="V266" s="1"/>
      <c r="Y266" s="1"/>
      <c r="Z266" s="1"/>
      <c r="AA266" s="5"/>
      <c r="AB266" s="1"/>
      <c r="AC266" s="1"/>
      <c r="AD266" s="5"/>
      <c r="AE266" s="1"/>
      <c r="AG266" s="1"/>
      <c r="AH266" s="1"/>
      <c r="AI266" s="1"/>
      <c r="AJ266" s="1"/>
      <c r="BC266" s="1"/>
    </row>
    <row r="267" spans="11:55" x14ac:dyDescent="0.3">
      <c r="K267" s="1"/>
      <c r="P267" s="6"/>
      <c r="Q267" s="6"/>
      <c r="R267" s="6"/>
      <c r="S267" s="5"/>
      <c r="T267" s="6"/>
      <c r="U267" s="1"/>
      <c r="V267" s="1"/>
      <c r="Y267" s="1"/>
      <c r="Z267" s="1"/>
      <c r="AA267" s="5"/>
      <c r="AB267" s="1"/>
      <c r="AC267" s="1"/>
      <c r="AD267" s="5"/>
      <c r="AE267" s="1"/>
      <c r="AG267" s="1"/>
      <c r="AH267" s="1"/>
      <c r="AI267" s="1"/>
      <c r="AJ267" s="1"/>
      <c r="BC267" s="1"/>
    </row>
    <row r="268" spans="11:55" x14ac:dyDescent="0.3">
      <c r="K268" s="1"/>
      <c r="P268" s="6"/>
      <c r="Q268" s="6"/>
      <c r="R268" s="6"/>
      <c r="S268" s="5"/>
      <c r="T268" s="6"/>
      <c r="U268" s="1"/>
      <c r="V268" s="1"/>
      <c r="Y268" s="1"/>
      <c r="Z268" s="1"/>
      <c r="AA268" s="5"/>
      <c r="AB268" s="1"/>
      <c r="AC268" s="1"/>
      <c r="AD268" s="5"/>
      <c r="AE268" s="1"/>
      <c r="AG268" s="1"/>
      <c r="AH268" s="1"/>
      <c r="AI268" s="1"/>
      <c r="AJ268" s="1"/>
      <c r="BC268" s="1"/>
    </row>
    <row r="269" spans="11:55" x14ac:dyDescent="0.3">
      <c r="K269" s="1"/>
      <c r="P269" s="6"/>
      <c r="Q269" s="6"/>
      <c r="R269" s="6"/>
      <c r="S269" s="5"/>
      <c r="T269" s="6"/>
      <c r="U269" s="1"/>
      <c r="V269" s="1"/>
      <c r="Y269" s="1"/>
      <c r="Z269" s="1"/>
      <c r="AA269" s="5"/>
      <c r="AB269" s="1"/>
      <c r="AC269" s="1"/>
      <c r="AD269" s="5"/>
      <c r="AE269" s="1"/>
      <c r="AG269" s="1"/>
      <c r="AH269" s="1"/>
      <c r="AI269" s="1"/>
      <c r="AJ269" s="1"/>
      <c r="BC269" s="1"/>
    </row>
    <row r="270" spans="11:55" x14ac:dyDescent="0.3">
      <c r="K270" s="1"/>
      <c r="P270" s="6"/>
      <c r="Q270" s="6"/>
      <c r="R270" s="6"/>
      <c r="S270" s="5"/>
      <c r="T270" s="6"/>
      <c r="U270" s="1"/>
      <c r="V270" s="1"/>
      <c r="Y270" s="1"/>
      <c r="Z270" s="1"/>
      <c r="AA270" s="5"/>
      <c r="AB270" s="1"/>
      <c r="AC270" s="1"/>
      <c r="AD270" s="5"/>
      <c r="AE270" s="1"/>
      <c r="AG270" s="1"/>
      <c r="AH270" s="1"/>
      <c r="AI270" s="1"/>
      <c r="AJ270" s="1"/>
      <c r="BC270" s="1"/>
    </row>
    <row r="271" spans="11:55" x14ac:dyDescent="0.3">
      <c r="K271" s="1"/>
      <c r="P271" s="6"/>
      <c r="Q271" s="6"/>
      <c r="R271" s="6"/>
      <c r="S271" s="5"/>
      <c r="T271" s="6"/>
      <c r="U271" s="1"/>
      <c r="V271" s="1"/>
      <c r="Y271" s="1"/>
      <c r="Z271" s="1"/>
      <c r="AA271" s="5"/>
      <c r="AB271" s="1"/>
      <c r="AC271" s="1"/>
      <c r="AD271" s="5"/>
      <c r="AE271" s="1"/>
      <c r="AG271" s="1"/>
      <c r="AH271" s="1"/>
      <c r="AI271" s="1"/>
      <c r="AJ271" s="1"/>
      <c r="BC271" s="1"/>
    </row>
    <row r="272" spans="11:55" x14ac:dyDescent="0.3">
      <c r="K272" s="1"/>
      <c r="P272" s="6"/>
      <c r="Q272" s="6"/>
      <c r="R272" s="6"/>
      <c r="S272" s="5"/>
      <c r="T272" s="6"/>
      <c r="U272" s="1"/>
      <c r="V272" s="1"/>
      <c r="Y272" s="1"/>
      <c r="Z272" s="1"/>
      <c r="AA272" s="5"/>
      <c r="AB272" s="1"/>
      <c r="AC272" s="1"/>
      <c r="AD272" s="5"/>
      <c r="AE272" s="1"/>
      <c r="AG272" s="1"/>
      <c r="AH272" s="1"/>
      <c r="AI272" s="1"/>
      <c r="AJ272" s="1"/>
      <c r="BC272" s="1"/>
    </row>
    <row r="273" spans="11:55" x14ac:dyDescent="0.3">
      <c r="K273" s="1"/>
      <c r="P273" s="6"/>
      <c r="Q273" s="6"/>
      <c r="R273" s="6"/>
      <c r="S273" s="5"/>
      <c r="T273" s="6"/>
      <c r="U273" s="1"/>
      <c r="V273" s="1"/>
      <c r="Y273" s="1"/>
      <c r="Z273" s="1"/>
      <c r="AA273" s="5"/>
      <c r="AB273" s="1"/>
      <c r="AC273" s="1"/>
      <c r="AD273" s="5"/>
      <c r="AE273" s="1"/>
      <c r="AG273" s="1"/>
      <c r="AH273" s="1"/>
      <c r="AI273" s="1"/>
      <c r="AJ273" s="1"/>
      <c r="BC273" s="1"/>
    </row>
    <row r="274" spans="11:55" x14ac:dyDescent="0.3">
      <c r="K274" s="1"/>
      <c r="P274" s="6"/>
      <c r="Q274" s="6"/>
      <c r="R274" s="6"/>
      <c r="S274" s="5"/>
      <c r="T274" s="6"/>
      <c r="U274" s="1"/>
      <c r="V274" s="1"/>
      <c r="Y274" s="1"/>
      <c r="Z274" s="1"/>
      <c r="AA274" s="5"/>
      <c r="AB274" s="1"/>
      <c r="AC274" s="1"/>
      <c r="AD274" s="5"/>
      <c r="AE274" s="1"/>
      <c r="AG274" s="1"/>
      <c r="AH274" s="1"/>
      <c r="AI274" s="1"/>
      <c r="AJ274" s="1"/>
      <c r="BC274" s="1"/>
    </row>
    <row r="275" spans="11:55" x14ac:dyDescent="0.3">
      <c r="K275" s="1"/>
      <c r="P275" s="6"/>
      <c r="Q275" s="6"/>
      <c r="R275" s="6"/>
      <c r="S275" s="5"/>
      <c r="T275" s="6"/>
      <c r="U275" s="1"/>
      <c r="V275" s="1"/>
      <c r="Y275" s="1"/>
      <c r="Z275" s="1"/>
      <c r="AA275" s="5"/>
      <c r="AB275" s="1"/>
      <c r="AC275" s="1"/>
      <c r="AD275" s="5"/>
      <c r="AE275" s="1"/>
      <c r="AG275" s="1"/>
      <c r="AH275" s="1"/>
      <c r="AI275" s="1"/>
      <c r="AJ275" s="1"/>
      <c r="BC275" s="1"/>
    </row>
    <row r="276" spans="11:55" x14ac:dyDescent="0.3">
      <c r="K276" s="1"/>
      <c r="P276" s="6"/>
      <c r="Q276" s="6"/>
      <c r="R276" s="6"/>
      <c r="S276" s="5"/>
      <c r="T276" s="6"/>
      <c r="U276" s="1"/>
      <c r="V276" s="1"/>
      <c r="Y276" s="1"/>
      <c r="Z276" s="1"/>
      <c r="AA276" s="5"/>
      <c r="AB276" s="1"/>
      <c r="AC276" s="1"/>
      <c r="AD276" s="5"/>
      <c r="AE276" s="1"/>
      <c r="AG276" s="1"/>
      <c r="AH276" s="1"/>
      <c r="AI276" s="1"/>
      <c r="AJ276" s="1"/>
      <c r="BC276" s="1"/>
    </row>
    <row r="277" spans="11:55" x14ac:dyDescent="0.3">
      <c r="K277" s="1"/>
      <c r="P277" s="6"/>
      <c r="Q277" s="6"/>
      <c r="R277" s="6"/>
      <c r="S277" s="5"/>
      <c r="T277" s="6"/>
      <c r="U277" s="1"/>
      <c r="V277" s="1"/>
      <c r="Y277" s="1"/>
      <c r="Z277" s="1"/>
      <c r="AA277" s="5"/>
      <c r="AB277" s="1"/>
      <c r="AC277" s="1"/>
      <c r="AD277" s="5"/>
      <c r="AE277" s="1"/>
      <c r="AG277" s="1"/>
      <c r="AH277" s="1"/>
      <c r="AI277" s="1"/>
      <c r="AJ277" s="1"/>
      <c r="BC277" s="1"/>
    </row>
    <row r="278" spans="11:55" x14ac:dyDescent="0.3">
      <c r="K278" s="1"/>
      <c r="P278" s="6"/>
      <c r="Q278" s="6"/>
      <c r="R278" s="6"/>
      <c r="S278" s="5"/>
      <c r="T278" s="6"/>
      <c r="U278" s="1"/>
      <c r="V278" s="1"/>
      <c r="Y278" s="1"/>
      <c r="Z278" s="1"/>
      <c r="AA278" s="5"/>
      <c r="AB278" s="1"/>
      <c r="AC278" s="1"/>
      <c r="AD278" s="5"/>
      <c r="AE278" s="1"/>
      <c r="AG278" s="1"/>
      <c r="AH278" s="1"/>
      <c r="AI278" s="1"/>
      <c r="AJ278" s="1"/>
      <c r="BC278" s="1"/>
    </row>
    <row r="279" spans="11:55" x14ac:dyDescent="0.3">
      <c r="K279" s="1"/>
      <c r="P279" s="6"/>
      <c r="Q279" s="6"/>
      <c r="R279" s="6"/>
      <c r="S279" s="5"/>
      <c r="T279" s="6"/>
      <c r="U279" s="1"/>
      <c r="V279" s="1"/>
      <c r="Y279" s="1"/>
      <c r="Z279" s="1"/>
      <c r="AA279" s="5"/>
      <c r="AB279" s="1"/>
      <c r="AC279" s="1"/>
      <c r="AD279" s="5"/>
      <c r="AE279" s="1"/>
      <c r="AG279" s="1"/>
      <c r="AH279" s="1"/>
      <c r="AI279" s="1"/>
      <c r="AJ279" s="1"/>
      <c r="BC279" s="1"/>
    </row>
    <row r="280" spans="11:55" x14ac:dyDescent="0.3">
      <c r="K280" s="1"/>
      <c r="P280" s="6"/>
      <c r="Q280" s="6"/>
      <c r="R280" s="6"/>
      <c r="S280" s="5"/>
      <c r="T280" s="6"/>
      <c r="U280" s="1"/>
      <c r="V280" s="1"/>
      <c r="Y280" s="1"/>
      <c r="Z280" s="1"/>
      <c r="AA280" s="5"/>
      <c r="AB280" s="1"/>
      <c r="AC280" s="1"/>
      <c r="AD280" s="5"/>
      <c r="AE280" s="1"/>
      <c r="AG280" s="1"/>
      <c r="AH280" s="1"/>
      <c r="AI280" s="1"/>
      <c r="AJ280" s="1"/>
      <c r="BC280" s="1"/>
    </row>
    <row r="281" spans="11:55" x14ac:dyDescent="0.3">
      <c r="K281" s="1"/>
      <c r="P281" s="6"/>
      <c r="Q281" s="6"/>
      <c r="R281" s="6"/>
      <c r="S281" s="5"/>
      <c r="T281" s="6"/>
      <c r="U281" s="1"/>
      <c r="V281" s="1"/>
      <c r="Y281" s="1"/>
      <c r="Z281" s="1"/>
      <c r="AA281" s="5"/>
      <c r="AB281" s="1"/>
      <c r="AC281" s="1"/>
      <c r="AD281" s="5"/>
      <c r="AE281" s="1"/>
      <c r="AG281" s="1"/>
      <c r="AH281" s="1"/>
      <c r="AI281" s="1"/>
      <c r="AJ281" s="1"/>
      <c r="BC281" s="1"/>
    </row>
    <row r="282" spans="11:55" x14ac:dyDescent="0.3">
      <c r="K282" s="1"/>
      <c r="P282" s="6"/>
      <c r="Q282" s="6"/>
      <c r="R282" s="6"/>
      <c r="S282" s="5"/>
      <c r="T282" s="6"/>
      <c r="U282" s="1"/>
      <c r="V282" s="1"/>
      <c r="Y282" s="1"/>
      <c r="Z282" s="1"/>
      <c r="AA282" s="5"/>
      <c r="AB282" s="1"/>
      <c r="AC282" s="1"/>
      <c r="AD282" s="5"/>
      <c r="AE282" s="1"/>
      <c r="AG282" s="1"/>
      <c r="AH282" s="1"/>
      <c r="AI282" s="1"/>
      <c r="AJ282" s="1"/>
      <c r="BC282" s="1"/>
    </row>
    <row r="283" spans="11:55" x14ac:dyDescent="0.3">
      <c r="K283" s="1"/>
      <c r="P283" s="6"/>
      <c r="Q283" s="6"/>
      <c r="R283" s="6"/>
      <c r="S283" s="5"/>
      <c r="T283" s="6"/>
      <c r="U283" s="1"/>
      <c r="V283" s="1"/>
      <c r="Y283" s="1"/>
      <c r="Z283" s="1"/>
      <c r="AA283" s="5"/>
      <c r="AB283" s="1"/>
      <c r="AC283" s="1"/>
      <c r="AD283" s="5"/>
      <c r="AE283" s="1"/>
      <c r="AG283" s="1"/>
      <c r="AH283" s="1"/>
      <c r="AI283" s="1"/>
      <c r="AJ283" s="1"/>
      <c r="BC283" s="1"/>
    </row>
    <row r="284" spans="11:55" x14ac:dyDescent="0.3">
      <c r="K284" s="1"/>
      <c r="P284" s="6"/>
      <c r="Q284" s="6"/>
      <c r="R284" s="6"/>
      <c r="S284" s="5"/>
      <c r="T284" s="6"/>
      <c r="U284" s="1"/>
      <c r="V284" s="1"/>
      <c r="Y284" s="1"/>
      <c r="Z284" s="1"/>
      <c r="AA284" s="5"/>
      <c r="AB284" s="1"/>
      <c r="AC284" s="1"/>
      <c r="AD284" s="5"/>
      <c r="AE284" s="1"/>
      <c r="AG284" s="1"/>
      <c r="AH284" s="1"/>
      <c r="AI284" s="1"/>
      <c r="AJ284" s="1"/>
      <c r="BC284" s="1"/>
    </row>
    <row r="285" spans="11:55" x14ac:dyDescent="0.3">
      <c r="K285" s="1"/>
      <c r="P285" s="6"/>
      <c r="Q285" s="6"/>
      <c r="R285" s="6"/>
      <c r="S285" s="5"/>
      <c r="T285" s="6"/>
      <c r="U285" s="1"/>
      <c r="V285" s="1"/>
      <c r="Y285" s="1"/>
      <c r="Z285" s="1"/>
      <c r="AA285" s="5"/>
      <c r="AB285" s="1"/>
      <c r="AC285" s="1"/>
      <c r="AD285" s="5"/>
      <c r="AE285" s="1"/>
      <c r="AG285" s="1"/>
      <c r="AH285" s="1"/>
      <c r="AI285" s="1"/>
      <c r="AJ285" s="1"/>
      <c r="BC285" s="1"/>
    </row>
    <row r="286" spans="11:55" x14ac:dyDescent="0.3">
      <c r="K286" s="1"/>
      <c r="P286" s="6"/>
      <c r="Q286" s="6"/>
      <c r="R286" s="6"/>
      <c r="S286" s="5"/>
      <c r="T286" s="6"/>
      <c r="U286" s="1"/>
      <c r="V286" s="1"/>
      <c r="Y286" s="1"/>
      <c r="Z286" s="1"/>
      <c r="AA286" s="5"/>
      <c r="AB286" s="1"/>
      <c r="AC286" s="1"/>
      <c r="AD286" s="5"/>
      <c r="AE286" s="1"/>
      <c r="AG286" s="1"/>
      <c r="AH286" s="1"/>
      <c r="AI286" s="1"/>
      <c r="AJ286" s="1"/>
      <c r="BC286" s="1"/>
    </row>
    <row r="287" spans="11:55" x14ac:dyDescent="0.3">
      <c r="K287" s="1"/>
      <c r="P287" s="6"/>
      <c r="Q287" s="6"/>
      <c r="R287" s="6"/>
      <c r="S287" s="5"/>
      <c r="T287" s="6"/>
      <c r="U287" s="1"/>
      <c r="V287" s="1"/>
      <c r="Y287" s="1"/>
      <c r="Z287" s="1"/>
      <c r="AA287" s="5"/>
      <c r="AB287" s="1"/>
      <c r="AC287" s="1"/>
      <c r="AD287" s="5"/>
      <c r="AE287" s="1"/>
      <c r="AG287" s="1"/>
      <c r="AH287" s="1"/>
      <c r="AI287" s="1"/>
      <c r="AJ287" s="1"/>
      <c r="BC287" s="1"/>
    </row>
    <row r="288" spans="11:55" x14ac:dyDescent="0.3">
      <c r="K288" s="1"/>
      <c r="P288" s="6"/>
      <c r="Q288" s="6"/>
      <c r="R288" s="6"/>
      <c r="S288" s="5"/>
      <c r="T288" s="6"/>
      <c r="U288" s="1"/>
      <c r="V288" s="1"/>
      <c r="Y288" s="1"/>
      <c r="Z288" s="1"/>
      <c r="AA288" s="5"/>
      <c r="AB288" s="1"/>
      <c r="AC288" s="1"/>
      <c r="AD288" s="5"/>
      <c r="AE288" s="1"/>
      <c r="AG288" s="1"/>
      <c r="AH288" s="1"/>
      <c r="AI288" s="1"/>
      <c r="AJ288" s="1"/>
      <c r="BC288" s="1"/>
    </row>
    <row r="289" spans="11:55" x14ac:dyDescent="0.3">
      <c r="K289" s="1"/>
      <c r="P289" s="6"/>
      <c r="Q289" s="6"/>
      <c r="R289" s="6"/>
      <c r="S289" s="5"/>
      <c r="T289" s="6"/>
      <c r="U289" s="1"/>
      <c r="V289" s="1"/>
      <c r="Y289" s="1"/>
      <c r="Z289" s="1"/>
      <c r="AA289" s="5"/>
      <c r="AB289" s="1"/>
      <c r="AC289" s="1"/>
      <c r="AD289" s="5"/>
      <c r="AE289" s="1"/>
      <c r="AG289" s="1"/>
      <c r="AH289" s="1"/>
      <c r="AI289" s="1"/>
      <c r="AJ289" s="1"/>
      <c r="BC289" s="1"/>
    </row>
    <row r="290" spans="11:55" x14ac:dyDescent="0.3">
      <c r="K290" s="1"/>
      <c r="P290" s="6"/>
      <c r="Q290" s="6"/>
      <c r="R290" s="6"/>
      <c r="S290" s="5"/>
      <c r="T290" s="6"/>
      <c r="U290" s="1"/>
      <c r="V290" s="1"/>
      <c r="Y290" s="1"/>
      <c r="Z290" s="1"/>
      <c r="AA290" s="5"/>
      <c r="AB290" s="1"/>
      <c r="AC290" s="1"/>
      <c r="AD290" s="5"/>
      <c r="AE290" s="1"/>
      <c r="AG290" s="1"/>
      <c r="AH290" s="1"/>
      <c r="AI290" s="1"/>
      <c r="AJ290" s="1"/>
      <c r="BC290" s="1"/>
    </row>
    <row r="291" spans="11:55" x14ac:dyDescent="0.3">
      <c r="K291" s="1"/>
      <c r="P291" s="6"/>
      <c r="Q291" s="6"/>
      <c r="R291" s="6"/>
      <c r="S291" s="5"/>
      <c r="T291" s="6"/>
      <c r="U291" s="1"/>
      <c r="V291" s="1"/>
      <c r="Y291" s="1"/>
      <c r="Z291" s="1"/>
      <c r="AA291" s="5"/>
      <c r="AB291" s="1"/>
      <c r="AC291" s="1"/>
      <c r="AD291" s="5"/>
      <c r="AE291" s="1"/>
      <c r="AG291" s="1"/>
      <c r="AH291" s="1"/>
      <c r="AI291" s="1"/>
      <c r="AJ291" s="1"/>
      <c r="BC291" s="1"/>
    </row>
    <row r="292" spans="11:55" x14ac:dyDescent="0.3">
      <c r="K292" s="1"/>
      <c r="P292" s="6"/>
      <c r="Q292" s="6"/>
      <c r="R292" s="6"/>
      <c r="S292" s="5"/>
      <c r="T292" s="6"/>
      <c r="U292" s="1"/>
      <c r="V292" s="1"/>
      <c r="Y292" s="1"/>
      <c r="Z292" s="1"/>
      <c r="AA292" s="5"/>
      <c r="AB292" s="1"/>
      <c r="AC292" s="1"/>
      <c r="AD292" s="5"/>
      <c r="AE292" s="1"/>
      <c r="AG292" s="1"/>
      <c r="AH292" s="1"/>
      <c r="AI292" s="1"/>
      <c r="AJ292" s="1"/>
      <c r="BC292" s="1"/>
    </row>
    <row r="293" spans="11:55" x14ac:dyDescent="0.3">
      <c r="K293" s="1"/>
      <c r="P293" s="6"/>
      <c r="Q293" s="6"/>
      <c r="R293" s="6"/>
      <c r="S293" s="5"/>
      <c r="T293" s="6"/>
      <c r="U293" s="1"/>
      <c r="V293" s="1"/>
      <c r="Y293" s="1"/>
      <c r="Z293" s="1"/>
      <c r="AA293" s="5"/>
      <c r="AB293" s="1"/>
      <c r="AC293" s="1"/>
      <c r="AD293" s="5"/>
      <c r="AE293" s="1"/>
      <c r="AG293" s="1"/>
      <c r="AH293" s="1"/>
      <c r="AI293" s="1"/>
      <c r="AJ293" s="1"/>
      <c r="BC293" s="1"/>
    </row>
    <row r="294" spans="11:55" x14ac:dyDescent="0.3">
      <c r="K294" s="1"/>
      <c r="P294" s="6"/>
      <c r="Q294" s="6"/>
      <c r="R294" s="6"/>
      <c r="S294" s="5"/>
      <c r="T294" s="6"/>
      <c r="U294" s="1"/>
      <c r="V294" s="1"/>
      <c r="Y294" s="1"/>
      <c r="Z294" s="1"/>
      <c r="AA294" s="5"/>
      <c r="AB294" s="1"/>
      <c r="AC294" s="1"/>
      <c r="AD294" s="5"/>
      <c r="AE294" s="1"/>
      <c r="AG294" s="1"/>
      <c r="AH294" s="1"/>
      <c r="AI294" s="1"/>
      <c r="AJ294" s="1"/>
      <c r="BC294" s="1"/>
    </row>
    <row r="295" spans="11:55" x14ac:dyDescent="0.3">
      <c r="K295" s="1"/>
      <c r="P295" s="6"/>
      <c r="Q295" s="6"/>
      <c r="R295" s="6"/>
      <c r="S295" s="5"/>
      <c r="T295" s="6"/>
      <c r="U295" s="1"/>
      <c r="V295" s="1"/>
      <c r="Y295" s="1"/>
      <c r="Z295" s="1"/>
      <c r="AA295" s="5"/>
      <c r="AB295" s="1"/>
      <c r="AC295" s="1"/>
      <c r="AD295" s="5"/>
      <c r="AE295" s="1"/>
      <c r="AG295" s="1"/>
      <c r="AH295" s="1"/>
      <c r="AI295" s="1"/>
      <c r="AJ295" s="1"/>
      <c r="BC295" s="1"/>
    </row>
    <row r="296" spans="11:55" x14ac:dyDescent="0.3">
      <c r="K296" s="1"/>
      <c r="P296" s="6"/>
      <c r="Q296" s="6"/>
      <c r="R296" s="6"/>
      <c r="S296" s="5"/>
      <c r="T296" s="6"/>
      <c r="U296" s="1"/>
      <c r="V296" s="1"/>
      <c r="Y296" s="1"/>
      <c r="Z296" s="1"/>
      <c r="AA296" s="5"/>
      <c r="AB296" s="1"/>
      <c r="AC296" s="1"/>
      <c r="AD296" s="5"/>
      <c r="AE296" s="1"/>
      <c r="AG296" s="1"/>
      <c r="AH296" s="1"/>
      <c r="AI296" s="1"/>
      <c r="AJ296" s="1"/>
      <c r="BC296" s="1"/>
    </row>
    <row r="297" spans="11:55" x14ac:dyDescent="0.3">
      <c r="K297" s="1"/>
      <c r="P297" s="6"/>
      <c r="Q297" s="6"/>
      <c r="R297" s="6"/>
      <c r="S297" s="5"/>
      <c r="T297" s="6"/>
      <c r="U297" s="1"/>
      <c r="V297" s="1"/>
      <c r="Y297" s="1"/>
      <c r="Z297" s="1"/>
      <c r="AA297" s="5"/>
      <c r="AB297" s="1"/>
      <c r="AC297" s="1"/>
      <c r="AD297" s="5"/>
      <c r="AE297" s="1"/>
      <c r="AG297" s="1"/>
      <c r="AH297" s="1"/>
      <c r="AI297" s="1"/>
      <c r="AJ297" s="1"/>
      <c r="BC297" s="1"/>
    </row>
    <row r="298" spans="11:55" x14ac:dyDescent="0.3">
      <c r="K298" s="1"/>
      <c r="P298" s="6"/>
      <c r="Q298" s="6"/>
      <c r="R298" s="6"/>
      <c r="S298" s="5"/>
      <c r="T298" s="6"/>
      <c r="U298" s="1"/>
      <c r="V298" s="1"/>
      <c r="Y298" s="1"/>
      <c r="Z298" s="1"/>
      <c r="AA298" s="5"/>
      <c r="AB298" s="1"/>
      <c r="AC298" s="1"/>
      <c r="AD298" s="5"/>
      <c r="AE298" s="1"/>
      <c r="AG298" s="1"/>
      <c r="AH298" s="1"/>
      <c r="AI298" s="1"/>
      <c r="AJ298" s="1"/>
      <c r="BC298" s="1"/>
    </row>
    <row r="299" spans="11:55" x14ac:dyDescent="0.3">
      <c r="K299" s="1"/>
      <c r="P299" s="6"/>
      <c r="Q299" s="6"/>
      <c r="R299" s="6"/>
      <c r="S299" s="5"/>
      <c r="T299" s="6"/>
      <c r="U299" s="1"/>
      <c r="V299" s="1"/>
      <c r="Y299" s="1"/>
      <c r="Z299" s="1"/>
      <c r="AA299" s="5"/>
      <c r="AB299" s="1"/>
      <c r="AC299" s="1"/>
      <c r="AD299" s="5"/>
      <c r="AE299" s="1"/>
      <c r="AG299" s="1"/>
      <c r="AH299" s="1"/>
      <c r="AI299" s="1"/>
      <c r="AJ299" s="1"/>
      <c r="BC299" s="1"/>
    </row>
    <row r="300" spans="11:55" x14ac:dyDescent="0.3">
      <c r="K300" s="1"/>
      <c r="P300" s="6"/>
      <c r="Q300" s="6"/>
      <c r="R300" s="6"/>
      <c r="S300" s="5"/>
      <c r="T300" s="6"/>
      <c r="U300" s="1"/>
      <c r="V300" s="1"/>
      <c r="Y300" s="1"/>
      <c r="Z300" s="1"/>
      <c r="AA300" s="5"/>
      <c r="AB300" s="1"/>
      <c r="AC300" s="1"/>
      <c r="AD300" s="5"/>
      <c r="AE300" s="1"/>
      <c r="AG300" s="1"/>
      <c r="AH300" s="1"/>
      <c r="AI300" s="1"/>
      <c r="AJ300" s="1"/>
      <c r="BC300" s="1"/>
    </row>
    <row r="301" spans="11:55" x14ac:dyDescent="0.3">
      <c r="K301" s="1"/>
      <c r="P301" s="6"/>
      <c r="Q301" s="6"/>
      <c r="R301" s="6"/>
      <c r="S301" s="5"/>
      <c r="T301" s="6"/>
      <c r="U301" s="1"/>
      <c r="V301" s="1"/>
      <c r="Y301" s="1"/>
      <c r="Z301" s="1"/>
      <c r="AA301" s="5"/>
      <c r="AB301" s="1"/>
      <c r="AC301" s="1"/>
      <c r="AD301" s="5"/>
      <c r="AE301" s="1"/>
      <c r="AG301" s="1"/>
      <c r="AH301" s="1"/>
      <c r="AI301" s="1"/>
      <c r="AJ301" s="1"/>
      <c r="BC301" s="1"/>
    </row>
    <row r="302" spans="11:55" x14ac:dyDescent="0.3">
      <c r="K302" s="1"/>
      <c r="P302" s="6"/>
      <c r="Q302" s="6"/>
      <c r="R302" s="6"/>
      <c r="S302" s="5"/>
      <c r="T302" s="6"/>
      <c r="U302" s="1"/>
      <c r="V302" s="1"/>
      <c r="Y302" s="1"/>
      <c r="Z302" s="1"/>
      <c r="AA302" s="5"/>
      <c r="AB302" s="1"/>
      <c r="AC302" s="1"/>
      <c r="AD302" s="5"/>
      <c r="AE302" s="1"/>
      <c r="AG302" s="1"/>
      <c r="AH302" s="1"/>
      <c r="AI302" s="1"/>
      <c r="AJ302" s="1"/>
      <c r="BC302" s="1"/>
    </row>
    <row r="303" spans="11:55" x14ac:dyDescent="0.3">
      <c r="K303" s="1"/>
      <c r="P303" s="6"/>
      <c r="Q303" s="6"/>
      <c r="R303" s="6"/>
      <c r="S303" s="5"/>
      <c r="T303" s="6"/>
      <c r="U303" s="1"/>
      <c r="V303" s="1"/>
      <c r="AA303" s="5"/>
      <c r="AB303" s="1"/>
      <c r="AD303" s="1"/>
      <c r="AE303" s="1"/>
      <c r="AH303" s="1"/>
      <c r="AI303" s="1"/>
    </row>
    <row r="304" spans="11:55" x14ac:dyDescent="0.3">
      <c r="K304" s="1"/>
      <c r="P304" s="6"/>
      <c r="Q304" s="6"/>
      <c r="R304" s="6"/>
      <c r="S304" s="5"/>
      <c r="T304" s="6"/>
      <c r="U304" s="1"/>
      <c r="V304" s="1"/>
      <c r="AB304" s="1"/>
      <c r="AD304" s="1"/>
      <c r="AE304" s="1"/>
      <c r="AH304" s="1"/>
      <c r="AI304" s="1"/>
    </row>
    <row r="305" spans="11:35" x14ac:dyDescent="0.3">
      <c r="K305" s="1"/>
      <c r="P305" s="6"/>
      <c r="Q305" s="6"/>
      <c r="R305" s="6"/>
      <c r="S305" s="5"/>
      <c r="T305" s="6"/>
      <c r="U305" s="1"/>
      <c r="V305" s="1"/>
      <c r="AB305" s="1"/>
      <c r="AD305" s="1"/>
      <c r="AE305" s="1"/>
      <c r="AH305" s="1"/>
      <c r="AI305" s="1"/>
    </row>
    <row r="306" spans="11:35" x14ac:dyDescent="0.3">
      <c r="K306" s="1"/>
      <c r="P306" s="6"/>
      <c r="Q306" s="6"/>
      <c r="R306" s="6"/>
      <c r="S306" s="5"/>
      <c r="T306" s="6"/>
      <c r="U306" s="1"/>
      <c r="V306" s="1"/>
      <c r="AB306" s="1"/>
      <c r="AD306" s="1"/>
      <c r="AE306" s="1"/>
      <c r="AH306" s="1"/>
      <c r="AI306" s="1"/>
    </row>
    <row r="307" spans="11:35" x14ac:dyDescent="0.3">
      <c r="K307" s="1"/>
      <c r="P307" s="6"/>
      <c r="Q307" s="6"/>
      <c r="R307" s="6"/>
      <c r="S307" s="5"/>
      <c r="T307" s="6"/>
      <c r="U307" s="1"/>
      <c r="V307" s="1"/>
      <c r="AB307" s="1"/>
      <c r="AD307" s="1"/>
      <c r="AE307" s="1"/>
      <c r="AH307" s="1"/>
      <c r="AI307" s="1"/>
    </row>
    <row r="308" spans="11:35" x14ac:dyDescent="0.3">
      <c r="K308" s="1"/>
      <c r="P308" s="6"/>
      <c r="Q308" s="6"/>
      <c r="R308" s="6"/>
      <c r="S308" s="5"/>
      <c r="T308" s="6"/>
      <c r="U308" s="1"/>
      <c r="V308" s="1"/>
      <c r="AB308" s="1"/>
      <c r="AD308" s="1"/>
      <c r="AE308" s="1"/>
      <c r="AH308" s="1"/>
      <c r="AI308" s="1"/>
    </row>
    <row r="309" spans="11:35" x14ac:dyDescent="0.3">
      <c r="K309" s="1"/>
      <c r="P309" s="6"/>
      <c r="Q309" s="6"/>
      <c r="R309" s="6"/>
      <c r="S309" s="5"/>
      <c r="T309" s="6"/>
      <c r="U309" s="1"/>
      <c r="V309" s="1"/>
      <c r="AB309" s="1"/>
      <c r="AD309" s="1"/>
      <c r="AE309" s="1"/>
      <c r="AH309" s="1"/>
      <c r="AI309" s="1"/>
    </row>
    <row r="310" spans="11:35" x14ac:dyDescent="0.3">
      <c r="K310" s="1"/>
      <c r="P310" s="6"/>
      <c r="Q310" s="6"/>
      <c r="R310" s="6"/>
      <c r="S310" s="5"/>
      <c r="T310" s="6"/>
      <c r="U310" s="1"/>
      <c r="V310" s="1"/>
      <c r="AB310" s="1"/>
      <c r="AD310" s="1"/>
      <c r="AE310" s="1"/>
      <c r="AH310" s="1"/>
      <c r="AI310" s="1"/>
    </row>
    <row r="311" spans="11:35" x14ac:dyDescent="0.3">
      <c r="K311" s="1"/>
      <c r="P311" s="6"/>
      <c r="Q311" s="6"/>
      <c r="R311" s="6"/>
      <c r="S311" s="5"/>
      <c r="T311" s="6"/>
      <c r="U311" s="1"/>
      <c r="V311" s="1"/>
      <c r="AB311" s="1"/>
      <c r="AD311" s="1"/>
      <c r="AE311" s="1"/>
      <c r="AH311" s="1"/>
      <c r="AI311" s="1"/>
    </row>
    <row r="312" spans="11:35" x14ac:dyDescent="0.3">
      <c r="K312" s="1"/>
      <c r="P312" s="6"/>
      <c r="Q312" s="6"/>
      <c r="R312" s="6"/>
      <c r="S312" s="5"/>
      <c r="T312" s="6"/>
      <c r="U312" s="1"/>
      <c r="V312" s="1"/>
      <c r="AB312" s="1"/>
      <c r="AD312" s="1"/>
      <c r="AE312" s="1"/>
      <c r="AH312" s="1"/>
      <c r="AI312" s="1"/>
    </row>
    <row r="313" spans="11:35" x14ac:dyDescent="0.3">
      <c r="K313" s="1"/>
      <c r="P313" s="6"/>
      <c r="Q313" s="6"/>
      <c r="R313" s="6"/>
      <c r="S313" s="5"/>
      <c r="T313" s="6"/>
      <c r="U313" s="1"/>
      <c r="V313" s="1"/>
      <c r="AB313" s="1"/>
      <c r="AD313" s="1"/>
      <c r="AE313" s="1"/>
      <c r="AH313" s="1"/>
      <c r="AI313" s="1"/>
    </row>
    <row r="314" spans="11:35" x14ac:dyDescent="0.3">
      <c r="K314" s="1"/>
      <c r="P314" s="6"/>
      <c r="Q314" s="6"/>
      <c r="R314" s="6"/>
      <c r="S314" s="5"/>
      <c r="T314" s="6"/>
      <c r="U314" s="1"/>
      <c r="V314" s="1"/>
      <c r="AB314" s="1"/>
      <c r="AD314" s="1"/>
      <c r="AE314" s="1"/>
      <c r="AH314" s="1"/>
      <c r="AI314" s="1"/>
    </row>
    <row r="315" spans="11:35" x14ac:dyDescent="0.3">
      <c r="K315" s="1"/>
      <c r="P315" s="6"/>
      <c r="Q315" s="6"/>
      <c r="R315" s="6"/>
      <c r="S315" s="5"/>
      <c r="T315" s="6"/>
      <c r="U315" s="1"/>
      <c r="V315" s="1"/>
      <c r="AB315" s="1"/>
      <c r="AD315" s="1"/>
      <c r="AE315" s="1"/>
      <c r="AH315" s="1"/>
      <c r="AI315" s="1"/>
    </row>
    <row r="316" spans="11:35" x14ac:dyDescent="0.3">
      <c r="K316" s="1"/>
      <c r="P316" s="6"/>
      <c r="Q316" s="6"/>
      <c r="R316" s="6"/>
      <c r="S316" s="5"/>
      <c r="T316" s="6"/>
      <c r="U316" s="1"/>
      <c r="V316" s="1"/>
      <c r="AB316" s="1"/>
      <c r="AD316" s="1"/>
      <c r="AE316" s="1"/>
      <c r="AH316" s="1"/>
      <c r="AI316" s="1"/>
    </row>
    <row r="317" spans="11:35" x14ac:dyDescent="0.3">
      <c r="K317" s="1"/>
      <c r="P317" s="6"/>
      <c r="Q317" s="6"/>
      <c r="R317" s="6"/>
      <c r="S317" s="5"/>
      <c r="T317" s="6"/>
      <c r="U317" s="1"/>
      <c r="V317" s="1"/>
      <c r="AB317" s="1"/>
      <c r="AD317" s="1"/>
      <c r="AE317" s="1"/>
      <c r="AH317" s="1"/>
      <c r="AI317" s="1"/>
    </row>
    <row r="318" spans="11:35" x14ac:dyDescent="0.3">
      <c r="K318" s="1"/>
      <c r="P318" s="6"/>
      <c r="Q318" s="6"/>
      <c r="R318" s="6"/>
      <c r="S318" s="5"/>
      <c r="T318" s="6"/>
      <c r="U318" s="1"/>
      <c r="V318" s="1"/>
      <c r="AB318" s="1"/>
      <c r="AD318" s="1"/>
      <c r="AE318" s="1"/>
      <c r="AH318" s="1"/>
      <c r="AI318" s="1"/>
    </row>
    <row r="319" spans="11:35" x14ac:dyDescent="0.3">
      <c r="K319" s="1"/>
      <c r="P319" s="6"/>
      <c r="Q319" s="6"/>
      <c r="R319" s="6"/>
      <c r="S319" s="5"/>
      <c r="T319" s="6"/>
      <c r="U319" s="1"/>
      <c r="V319" s="1"/>
      <c r="AB319" s="1"/>
      <c r="AD319" s="1"/>
      <c r="AE319" s="1"/>
      <c r="AH319" s="1"/>
      <c r="AI319" s="1"/>
    </row>
    <row r="320" spans="11:35" x14ac:dyDescent="0.3">
      <c r="K320" s="1"/>
      <c r="P320" s="6"/>
      <c r="Q320" s="6"/>
      <c r="R320" s="6"/>
      <c r="S320" s="5"/>
      <c r="T320" s="6"/>
      <c r="U320" s="1"/>
      <c r="V320" s="1"/>
      <c r="AB320" s="1"/>
      <c r="AD320" s="1"/>
      <c r="AE320" s="1"/>
      <c r="AH320" s="1"/>
      <c r="AI320" s="1"/>
    </row>
    <row r="321" spans="11:35" x14ac:dyDescent="0.3">
      <c r="K321" s="1"/>
      <c r="P321" s="6"/>
      <c r="Q321" s="6"/>
      <c r="R321" s="6"/>
      <c r="S321" s="5"/>
      <c r="T321" s="6"/>
      <c r="U321" s="1"/>
      <c r="V321" s="1"/>
      <c r="AB321" s="1"/>
      <c r="AD321" s="1"/>
      <c r="AE321" s="1"/>
      <c r="AH321" s="1"/>
      <c r="AI321" s="1"/>
    </row>
    <row r="322" spans="11:35" x14ac:dyDescent="0.3">
      <c r="K322" s="1"/>
      <c r="P322" s="6"/>
      <c r="Q322" s="6"/>
      <c r="R322" s="6"/>
      <c r="S322" s="5"/>
      <c r="T322" s="6"/>
      <c r="U322" s="1"/>
      <c r="V322" s="1"/>
      <c r="AB322" s="1"/>
      <c r="AD322" s="1"/>
      <c r="AE322" s="1"/>
      <c r="AH322" s="1"/>
      <c r="AI322" s="1"/>
    </row>
    <row r="323" spans="11:35" x14ac:dyDescent="0.3">
      <c r="K323" s="1"/>
      <c r="P323" s="6"/>
      <c r="Q323" s="6"/>
      <c r="R323" s="6"/>
      <c r="S323" s="5"/>
      <c r="T323" s="6"/>
      <c r="U323" s="1"/>
      <c r="V323" s="1"/>
      <c r="AB323" s="1"/>
      <c r="AD323" s="1"/>
      <c r="AE323" s="1"/>
      <c r="AH323" s="1"/>
      <c r="AI323" s="1"/>
    </row>
    <row r="324" spans="11:35" x14ac:dyDescent="0.3">
      <c r="K324" s="1"/>
      <c r="P324" s="6"/>
      <c r="Q324" s="6"/>
      <c r="R324" s="6"/>
      <c r="S324" s="5"/>
      <c r="T324" s="6"/>
      <c r="U324" s="1"/>
      <c r="V324" s="1"/>
      <c r="AB324" s="1"/>
      <c r="AD324" s="1"/>
      <c r="AE324" s="1"/>
      <c r="AH324" s="1"/>
      <c r="AI324" s="1"/>
    </row>
    <row r="325" spans="11:35" x14ac:dyDescent="0.3">
      <c r="K325" s="1"/>
      <c r="P325" s="6"/>
      <c r="Q325" s="6"/>
      <c r="R325" s="6"/>
      <c r="S325" s="5"/>
      <c r="T325" s="6"/>
      <c r="U325" s="1"/>
      <c r="V325" s="1"/>
      <c r="AB325" s="1"/>
      <c r="AD325" s="1"/>
      <c r="AE325" s="1"/>
      <c r="AH325" s="1"/>
      <c r="AI325" s="1"/>
    </row>
    <row r="326" spans="11:35" x14ac:dyDescent="0.3">
      <c r="K326" s="1"/>
      <c r="P326" s="6"/>
      <c r="Q326" s="6"/>
      <c r="R326" s="6"/>
      <c r="S326" s="5"/>
      <c r="T326" s="6"/>
      <c r="U326" s="1"/>
      <c r="V326" s="1"/>
      <c r="AB326" s="1"/>
      <c r="AD326" s="1"/>
      <c r="AE326" s="1"/>
      <c r="AH326" s="1"/>
      <c r="AI326" s="1"/>
    </row>
    <row r="327" spans="11:35" x14ac:dyDescent="0.3">
      <c r="K327" s="1"/>
      <c r="P327" s="6"/>
      <c r="Q327" s="6"/>
      <c r="R327" s="6"/>
      <c r="S327" s="5"/>
      <c r="T327" s="6"/>
      <c r="U327" s="1"/>
      <c r="V327" s="1"/>
      <c r="AB327" s="1"/>
      <c r="AD327" s="1"/>
      <c r="AE327" s="1"/>
      <c r="AH327" s="1"/>
      <c r="AI327" s="1"/>
    </row>
    <row r="328" spans="11:35" x14ac:dyDescent="0.3">
      <c r="K328" s="1"/>
      <c r="P328" s="6"/>
      <c r="Q328" s="6"/>
      <c r="R328" s="6"/>
      <c r="S328" s="5"/>
      <c r="T328" s="6"/>
      <c r="U328" s="1"/>
      <c r="V328" s="1"/>
      <c r="AB328" s="1"/>
      <c r="AD328" s="1"/>
      <c r="AE328" s="1"/>
      <c r="AH328" s="1"/>
      <c r="AI328" s="1"/>
    </row>
    <row r="329" spans="11:35" x14ac:dyDescent="0.3">
      <c r="K329" s="1"/>
      <c r="P329" s="6"/>
      <c r="Q329" s="6"/>
      <c r="R329" s="6"/>
      <c r="S329" s="5"/>
      <c r="T329" s="6"/>
      <c r="U329" s="1"/>
      <c r="V329" s="1"/>
      <c r="AB329" s="1"/>
      <c r="AD329" s="1"/>
      <c r="AE329" s="1"/>
      <c r="AH329" s="1"/>
      <c r="AI329" s="1"/>
    </row>
    <row r="330" spans="11:35" x14ac:dyDescent="0.3">
      <c r="K330" s="1"/>
      <c r="P330" s="6"/>
      <c r="Q330" s="6"/>
      <c r="R330" s="6"/>
      <c r="S330" s="5"/>
      <c r="T330" s="6"/>
      <c r="U330" s="1"/>
      <c r="V330" s="1"/>
      <c r="AB330" s="1"/>
      <c r="AD330" s="1"/>
      <c r="AE330" s="1"/>
      <c r="AH330" s="1"/>
      <c r="AI330" s="1"/>
    </row>
    <row r="331" spans="11:35" x14ac:dyDescent="0.3">
      <c r="K331" s="1"/>
      <c r="P331" s="6"/>
      <c r="Q331" s="6"/>
      <c r="R331" s="6"/>
      <c r="S331" s="5"/>
      <c r="T331" s="6"/>
      <c r="U331" s="1"/>
      <c r="V331" s="1"/>
      <c r="AB331" s="1"/>
      <c r="AD331" s="1"/>
      <c r="AE331" s="1"/>
      <c r="AH331" s="1"/>
      <c r="AI331" s="1"/>
    </row>
    <row r="332" spans="11:35" x14ac:dyDescent="0.3">
      <c r="K332" s="1"/>
      <c r="P332" s="6"/>
      <c r="Q332" s="6"/>
      <c r="R332" s="6"/>
      <c r="S332" s="5"/>
      <c r="T332" s="6"/>
      <c r="U332" s="1"/>
      <c r="V332" s="1"/>
      <c r="AB332" s="1"/>
      <c r="AD332" s="1"/>
      <c r="AE332" s="1"/>
      <c r="AH332" s="1"/>
      <c r="AI332" s="1"/>
    </row>
    <row r="333" spans="11:35" x14ac:dyDescent="0.3">
      <c r="K333" s="1"/>
      <c r="P333" s="6"/>
      <c r="Q333" s="6"/>
      <c r="R333" s="6"/>
      <c r="S333" s="5"/>
      <c r="T333" s="6"/>
      <c r="U333" s="1"/>
      <c r="V333" s="1"/>
      <c r="AB333" s="1"/>
      <c r="AD333" s="1"/>
      <c r="AE333" s="1"/>
      <c r="AH333" s="1"/>
      <c r="AI333" s="1"/>
    </row>
    <row r="334" spans="11:35" x14ac:dyDescent="0.3">
      <c r="K334" s="1"/>
      <c r="P334" s="6"/>
      <c r="Q334" s="6"/>
      <c r="R334" s="6"/>
      <c r="S334" s="5"/>
      <c r="T334" s="6"/>
      <c r="U334" s="1"/>
      <c r="V334" s="1"/>
      <c r="AB334" s="1"/>
      <c r="AD334" s="1"/>
      <c r="AE334" s="1"/>
      <c r="AH334" s="1"/>
      <c r="AI334" s="1"/>
    </row>
    <row r="335" spans="11:35" x14ac:dyDescent="0.3">
      <c r="K335" s="1"/>
      <c r="P335" s="6"/>
      <c r="Q335" s="6"/>
      <c r="R335" s="6"/>
      <c r="S335" s="5"/>
      <c r="T335" s="6"/>
      <c r="U335" s="1"/>
      <c r="V335" s="1"/>
      <c r="AB335" s="1"/>
      <c r="AD335" s="1"/>
      <c r="AE335" s="1"/>
      <c r="AH335" s="1"/>
      <c r="AI335" s="1"/>
    </row>
    <row r="336" spans="11:35" x14ac:dyDescent="0.3">
      <c r="K336" s="1"/>
      <c r="P336" s="6"/>
      <c r="Q336" s="6"/>
      <c r="R336" s="6"/>
      <c r="S336" s="5"/>
      <c r="T336" s="6"/>
      <c r="U336" s="1"/>
      <c r="V336" s="1"/>
      <c r="AB336" s="1"/>
      <c r="AD336" s="1"/>
      <c r="AE336" s="1"/>
      <c r="AH336" s="1"/>
      <c r="AI336" s="1"/>
    </row>
    <row r="337" spans="11:35" x14ac:dyDescent="0.3">
      <c r="K337" s="1"/>
      <c r="P337" s="6"/>
      <c r="Q337" s="6"/>
      <c r="R337" s="6"/>
      <c r="S337" s="5"/>
      <c r="T337" s="6"/>
      <c r="U337" s="1"/>
      <c r="V337" s="1"/>
      <c r="AB337" s="1"/>
      <c r="AD337" s="1"/>
      <c r="AE337" s="1"/>
      <c r="AH337" s="1"/>
      <c r="AI337" s="1"/>
    </row>
    <row r="338" spans="11:35" x14ac:dyDescent="0.3">
      <c r="K338" s="1"/>
      <c r="P338" s="6"/>
      <c r="Q338" s="6"/>
      <c r="R338" s="6"/>
      <c r="S338" s="5"/>
      <c r="T338" s="6"/>
      <c r="U338" s="1"/>
      <c r="V338" s="1"/>
      <c r="AB338" s="1"/>
      <c r="AD338" s="1"/>
      <c r="AE338" s="1"/>
      <c r="AH338" s="1"/>
      <c r="AI338" s="1"/>
    </row>
    <row r="339" spans="11:35" x14ac:dyDescent="0.3">
      <c r="K339" s="1"/>
      <c r="P339" s="6"/>
      <c r="Q339" s="6"/>
      <c r="R339" s="6"/>
      <c r="S339" s="5"/>
      <c r="T339" s="6"/>
      <c r="U339" s="1"/>
      <c r="V339" s="1"/>
      <c r="AB339" s="1"/>
      <c r="AD339" s="1"/>
      <c r="AE339" s="1"/>
      <c r="AH339" s="1"/>
      <c r="AI339" s="1"/>
    </row>
    <row r="340" spans="11:35" x14ac:dyDescent="0.3">
      <c r="K340" s="1"/>
      <c r="P340" s="6"/>
      <c r="Q340" s="6"/>
      <c r="R340" s="6"/>
      <c r="S340" s="5"/>
      <c r="T340" s="6"/>
      <c r="U340" s="1"/>
      <c r="V340" s="1"/>
      <c r="AB340" s="1"/>
      <c r="AD340" s="1"/>
      <c r="AE340" s="1"/>
      <c r="AH340" s="1"/>
      <c r="AI340" s="1"/>
    </row>
    <row r="341" spans="11:35" x14ac:dyDescent="0.3">
      <c r="K341" s="1"/>
      <c r="P341" s="6"/>
      <c r="Q341" s="6"/>
      <c r="R341" s="6"/>
      <c r="S341" s="5"/>
      <c r="T341" s="6"/>
      <c r="U341" s="1"/>
      <c r="V341" s="1"/>
      <c r="AB341" s="1"/>
      <c r="AD341" s="1"/>
      <c r="AE341" s="1"/>
      <c r="AH341" s="1"/>
      <c r="AI341" s="1"/>
    </row>
    <row r="342" spans="11:35" x14ac:dyDescent="0.3">
      <c r="K342" s="1"/>
      <c r="P342" s="6"/>
      <c r="Q342" s="6"/>
      <c r="R342" s="6"/>
      <c r="S342" s="5"/>
      <c r="T342" s="6"/>
      <c r="U342" s="1"/>
      <c r="V342" s="1"/>
      <c r="AB342" s="1"/>
      <c r="AD342" s="1"/>
      <c r="AE342" s="1"/>
      <c r="AH342" s="1"/>
      <c r="AI342" s="1"/>
    </row>
    <row r="343" spans="11:35" x14ac:dyDescent="0.3">
      <c r="K343" s="1"/>
      <c r="P343" s="6"/>
      <c r="Q343" s="6"/>
      <c r="R343" s="6"/>
      <c r="S343" s="5"/>
      <c r="T343" s="6"/>
      <c r="U343" s="1"/>
      <c r="V343" s="1"/>
      <c r="AB343" s="1"/>
      <c r="AD343" s="1"/>
      <c r="AE343" s="1"/>
      <c r="AH343" s="1"/>
      <c r="AI343" s="1"/>
    </row>
    <row r="344" spans="11:35" x14ac:dyDescent="0.3">
      <c r="K344" s="1"/>
      <c r="P344" s="6"/>
      <c r="Q344" s="6"/>
      <c r="R344" s="6"/>
      <c r="S344" s="5"/>
      <c r="T344" s="6"/>
      <c r="U344" s="1"/>
      <c r="V344" s="1"/>
      <c r="AB344" s="1"/>
      <c r="AD344" s="1"/>
      <c r="AE344" s="1"/>
      <c r="AH344" s="1"/>
      <c r="AI344" s="1"/>
    </row>
    <row r="345" spans="11:35" x14ac:dyDescent="0.3">
      <c r="K345" s="1"/>
      <c r="P345" s="6"/>
      <c r="Q345" s="6"/>
      <c r="R345" s="6"/>
      <c r="S345" s="5"/>
      <c r="T345" s="6"/>
      <c r="U345" s="1"/>
      <c r="V345" s="1"/>
      <c r="AB345" s="1"/>
      <c r="AD345" s="1"/>
      <c r="AE345" s="1"/>
      <c r="AH345" s="1"/>
      <c r="AI345" s="1"/>
    </row>
    <row r="346" spans="11:35" x14ac:dyDescent="0.3">
      <c r="K346" s="1"/>
      <c r="P346" s="6"/>
      <c r="Q346" s="6"/>
      <c r="R346" s="6"/>
      <c r="S346" s="5"/>
      <c r="T346" s="6"/>
      <c r="U346" s="1"/>
      <c r="V346" s="1"/>
      <c r="AB346" s="1"/>
      <c r="AD346" s="1"/>
      <c r="AE346" s="1"/>
      <c r="AH346" s="1"/>
      <c r="AI346" s="1"/>
    </row>
    <row r="347" spans="11:35" x14ac:dyDescent="0.3">
      <c r="K347" s="1"/>
      <c r="P347" s="6"/>
      <c r="Q347" s="6"/>
      <c r="R347" s="6"/>
      <c r="S347" s="5"/>
      <c r="T347" s="6"/>
      <c r="U347" s="1"/>
      <c r="V347" s="1"/>
      <c r="AB347" s="1"/>
      <c r="AD347" s="1"/>
      <c r="AE347" s="1"/>
      <c r="AH347" s="1"/>
      <c r="AI347" s="1"/>
    </row>
    <row r="348" spans="11:35" x14ac:dyDescent="0.3">
      <c r="K348" s="1"/>
      <c r="P348" s="6"/>
      <c r="Q348" s="6"/>
      <c r="R348" s="6"/>
      <c r="S348" s="5"/>
      <c r="T348" s="6"/>
      <c r="U348" s="1"/>
      <c r="V348" s="1"/>
      <c r="AB348" s="1"/>
      <c r="AD348" s="1"/>
      <c r="AE348" s="1"/>
      <c r="AH348" s="1"/>
      <c r="AI348" s="1"/>
    </row>
    <row r="349" spans="11:35" x14ac:dyDescent="0.3">
      <c r="K349" s="1"/>
      <c r="P349" s="6"/>
      <c r="Q349" s="6"/>
      <c r="R349" s="6"/>
      <c r="S349" s="5"/>
      <c r="T349" s="6"/>
      <c r="U349" s="1"/>
      <c r="V349" s="1"/>
      <c r="AB349" s="1"/>
      <c r="AD349" s="1"/>
      <c r="AE349" s="1"/>
      <c r="AH349" s="1"/>
      <c r="AI349" s="1"/>
    </row>
    <row r="350" spans="11:35" x14ac:dyDescent="0.3">
      <c r="K350" s="1"/>
      <c r="P350" s="6"/>
      <c r="Q350" s="6"/>
      <c r="R350" s="6"/>
      <c r="S350" s="5"/>
      <c r="T350" s="6"/>
      <c r="U350" s="1"/>
      <c r="V350" s="1"/>
      <c r="AB350" s="1"/>
      <c r="AD350" s="1"/>
      <c r="AE350" s="1"/>
      <c r="AH350" s="1"/>
      <c r="AI350" s="1"/>
    </row>
    <row r="351" spans="11:35" x14ac:dyDescent="0.3">
      <c r="K351" s="1"/>
      <c r="P351" s="6"/>
      <c r="Q351" s="6"/>
      <c r="R351" s="6"/>
      <c r="S351" s="5"/>
      <c r="T351" s="6"/>
      <c r="U351" s="1"/>
      <c r="V351" s="1"/>
      <c r="AB351" s="1"/>
      <c r="AD351" s="1"/>
      <c r="AE351" s="1"/>
      <c r="AH351" s="1"/>
      <c r="AI351" s="1"/>
    </row>
    <row r="352" spans="11:35" x14ac:dyDescent="0.3">
      <c r="K352" s="1"/>
      <c r="P352" s="6"/>
      <c r="Q352" s="6"/>
      <c r="R352" s="6"/>
      <c r="S352" s="5"/>
      <c r="T352" s="6"/>
      <c r="U352" s="1"/>
      <c r="V352" s="1"/>
      <c r="AB352" s="1"/>
      <c r="AD352" s="1"/>
      <c r="AE352" s="1"/>
      <c r="AH352" s="1"/>
      <c r="AI352" s="1"/>
    </row>
    <row r="353" spans="11:35" x14ac:dyDescent="0.3">
      <c r="K353" s="1"/>
      <c r="P353" s="6"/>
      <c r="Q353" s="6"/>
      <c r="R353" s="6"/>
      <c r="S353" s="5"/>
      <c r="T353" s="6"/>
      <c r="U353" s="1"/>
      <c r="V353" s="1"/>
      <c r="AB353" s="1"/>
      <c r="AD353" s="1"/>
      <c r="AE353" s="1"/>
      <c r="AH353" s="1"/>
      <c r="AI353" s="1"/>
    </row>
    <row r="354" spans="11:35" x14ac:dyDescent="0.3">
      <c r="K354" s="1"/>
      <c r="P354" s="6"/>
      <c r="Q354" s="6"/>
      <c r="R354" s="6"/>
      <c r="S354" s="5"/>
      <c r="T354" s="6"/>
      <c r="U354" s="1"/>
      <c r="V354" s="1"/>
      <c r="AB354" s="1"/>
      <c r="AD354" s="1"/>
      <c r="AE354" s="1"/>
      <c r="AH354" s="1"/>
      <c r="AI354" s="1"/>
    </row>
    <row r="355" spans="11:35" x14ac:dyDescent="0.3">
      <c r="K355" s="1"/>
      <c r="P355" s="6"/>
      <c r="Q355" s="6"/>
      <c r="R355" s="6"/>
      <c r="S355" s="5"/>
      <c r="T355" s="6"/>
      <c r="U355" s="1"/>
      <c r="V355" s="1"/>
      <c r="AB355" s="1"/>
      <c r="AD355" s="1"/>
      <c r="AE355" s="1"/>
      <c r="AH355" s="1"/>
      <c r="AI355" s="1"/>
    </row>
    <row r="356" spans="11:35" x14ac:dyDescent="0.3">
      <c r="K356" s="1"/>
      <c r="P356" s="6"/>
      <c r="Q356" s="6"/>
      <c r="R356" s="6"/>
      <c r="S356" s="5"/>
      <c r="T356" s="6"/>
      <c r="U356" s="1"/>
      <c r="V356" s="1"/>
      <c r="AB356" s="1"/>
      <c r="AD356" s="1"/>
      <c r="AE356" s="1"/>
      <c r="AH356" s="1"/>
      <c r="AI356" s="1"/>
    </row>
    <row r="357" spans="11:35" x14ac:dyDescent="0.3">
      <c r="K357" s="1"/>
      <c r="P357" s="6"/>
      <c r="Q357" s="6"/>
      <c r="R357" s="6"/>
      <c r="S357" s="5"/>
      <c r="T357" s="6"/>
      <c r="U357" s="1"/>
      <c r="V357" s="1"/>
      <c r="AB357" s="1"/>
      <c r="AD357" s="1"/>
      <c r="AE357" s="1"/>
      <c r="AH357" s="1"/>
      <c r="AI357" s="1"/>
    </row>
    <row r="358" spans="11:35" x14ac:dyDescent="0.3">
      <c r="K358" s="1"/>
      <c r="P358" s="6"/>
      <c r="Q358" s="6"/>
      <c r="R358" s="6"/>
      <c r="S358" s="5"/>
      <c r="T358" s="6"/>
      <c r="U358" s="1"/>
      <c r="V358" s="1"/>
      <c r="AB358" s="1"/>
      <c r="AD358" s="1"/>
      <c r="AE358" s="1"/>
      <c r="AH358" s="1"/>
      <c r="AI358" s="1"/>
    </row>
    <row r="359" spans="11:35" x14ac:dyDescent="0.3">
      <c r="K359" s="1"/>
      <c r="P359" s="6"/>
      <c r="Q359" s="6"/>
      <c r="R359" s="6"/>
      <c r="S359" s="5"/>
      <c r="T359" s="6"/>
      <c r="U359" s="1"/>
      <c r="V359" s="1"/>
      <c r="AB359" s="1"/>
      <c r="AD359" s="1"/>
      <c r="AE359" s="1"/>
      <c r="AH359" s="1"/>
      <c r="AI359" s="1"/>
    </row>
    <row r="360" spans="11:35" x14ac:dyDescent="0.3">
      <c r="K360" s="1"/>
      <c r="P360" s="6"/>
      <c r="Q360" s="6"/>
      <c r="R360" s="6"/>
      <c r="S360" s="5"/>
      <c r="T360" s="6"/>
      <c r="U360" s="1"/>
      <c r="V360" s="1"/>
      <c r="AB360" s="1"/>
      <c r="AD360" s="1"/>
      <c r="AE360" s="1"/>
      <c r="AH360" s="1"/>
      <c r="AI360" s="1"/>
    </row>
    <row r="361" spans="11:35" x14ac:dyDescent="0.3">
      <c r="K361" s="1"/>
      <c r="P361" s="6"/>
      <c r="Q361" s="6"/>
      <c r="R361" s="6"/>
      <c r="S361" s="5"/>
      <c r="T361" s="6"/>
      <c r="U361" s="1"/>
      <c r="V361" s="1"/>
      <c r="AB361" s="1"/>
      <c r="AD361" s="1"/>
      <c r="AE361" s="1"/>
      <c r="AH361" s="1"/>
      <c r="AI361" s="1"/>
    </row>
    <row r="362" spans="11:35" x14ac:dyDescent="0.3">
      <c r="K362" s="1"/>
      <c r="P362" s="6"/>
      <c r="Q362" s="6"/>
      <c r="R362" s="6"/>
      <c r="S362" s="5"/>
      <c r="T362" s="6"/>
      <c r="U362" s="1"/>
      <c r="V362" s="1"/>
      <c r="AB362" s="1"/>
      <c r="AD362" s="1"/>
      <c r="AE362" s="1"/>
      <c r="AH362" s="1"/>
      <c r="AI362" s="1"/>
    </row>
    <row r="363" spans="11:35" x14ac:dyDescent="0.3">
      <c r="K363" s="1"/>
      <c r="P363" s="6"/>
      <c r="Q363" s="6"/>
      <c r="R363" s="6"/>
      <c r="S363" s="5"/>
      <c r="T363" s="6"/>
      <c r="U363" s="1"/>
      <c r="V363" s="1"/>
      <c r="AB363" s="1"/>
      <c r="AD363" s="1"/>
      <c r="AE363" s="1"/>
      <c r="AH363" s="1"/>
      <c r="AI363" s="1"/>
    </row>
    <row r="364" spans="11:35" x14ac:dyDescent="0.3">
      <c r="K364" s="1"/>
      <c r="P364" s="6"/>
      <c r="Q364" s="6"/>
      <c r="R364" s="6"/>
      <c r="S364" s="5"/>
      <c r="T364" s="6"/>
      <c r="U364" s="1"/>
      <c r="V364" s="1"/>
      <c r="AB364" s="1"/>
      <c r="AD364" s="1"/>
      <c r="AE364" s="1"/>
      <c r="AH364" s="1"/>
      <c r="AI364" s="1"/>
    </row>
    <row r="365" spans="11:35" x14ac:dyDescent="0.3">
      <c r="K365" s="1"/>
      <c r="P365" s="6"/>
      <c r="Q365" s="6"/>
      <c r="R365" s="6"/>
      <c r="S365" s="5"/>
      <c r="T365" s="6"/>
      <c r="U365" s="1"/>
      <c r="V365" s="1"/>
      <c r="AB365" s="1"/>
      <c r="AD365" s="1"/>
      <c r="AE365" s="1"/>
      <c r="AH365" s="1"/>
      <c r="AI365" s="1"/>
    </row>
    <row r="366" spans="11:35" x14ac:dyDescent="0.3">
      <c r="K366" s="1"/>
      <c r="P366" s="6"/>
      <c r="Q366" s="6"/>
      <c r="R366" s="6"/>
      <c r="S366" s="5"/>
      <c r="T366" s="6"/>
      <c r="U366" s="1"/>
      <c r="V366" s="1"/>
      <c r="AB366" s="1"/>
      <c r="AD366" s="1"/>
      <c r="AE366" s="1"/>
      <c r="AH366" s="1"/>
      <c r="AI366" s="1"/>
    </row>
    <row r="367" spans="11:35" x14ac:dyDescent="0.3">
      <c r="K367" s="1"/>
      <c r="P367" s="6"/>
      <c r="Q367" s="6"/>
      <c r="R367" s="6"/>
      <c r="S367" s="5"/>
      <c r="T367" s="6"/>
      <c r="U367" s="1"/>
      <c r="V367" s="1"/>
      <c r="AB367" s="1"/>
      <c r="AD367" s="1"/>
      <c r="AE367" s="1"/>
      <c r="AH367" s="1"/>
      <c r="AI367" s="1"/>
    </row>
    <row r="368" spans="11:35" x14ac:dyDescent="0.3">
      <c r="K368" s="1"/>
      <c r="P368" s="6"/>
      <c r="Q368" s="6"/>
      <c r="R368" s="6"/>
      <c r="S368" s="5"/>
      <c r="T368" s="6"/>
      <c r="U368" s="1"/>
      <c r="V368" s="1"/>
      <c r="AB368" s="1"/>
      <c r="AD368" s="1"/>
      <c r="AE368" s="1"/>
      <c r="AH368" s="1"/>
      <c r="AI368" s="1"/>
    </row>
    <row r="369" spans="11:35" x14ac:dyDescent="0.3">
      <c r="K369" s="1"/>
      <c r="P369" s="6"/>
      <c r="Q369" s="6"/>
      <c r="R369" s="6"/>
      <c r="S369" s="5"/>
      <c r="T369" s="6"/>
      <c r="U369" s="1"/>
      <c r="V369" s="1"/>
      <c r="AB369" s="1"/>
      <c r="AD369" s="1"/>
      <c r="AE369" s="1"/>
      <c r="AH369" s="1"/>
      <c r="AI369" s="1"/>
    </row>
    <row r="370" spans="11:35" x14ac:dyDescent="0.3">
      <c r="K370" s="1"/>
      <c r="P370" s="6"/>
      <c r="Q370" s="6"/>
      <c r="R370" s="6"/>
      <c r="S370" s="5"/>
      <c r="T370" s="6"/>
      <c r="U370" s="1"/>
      <c r="V370" s="1"/>
      <c r="AB370" s="1"/>
      <c r="AD370" s="1"/>
      <c r="AE370" s="1"/>
      <c r="AH370" s="1"/>
      <c r="AI370" s="1"/>
    </row>
    <row r="371" spans="11:35" x14ac:dyDescent="0.3">
      <c r="K371" s="1"/>
      <c r="P371" s="6"/>
      <c r="Q371" s="6"/>
      <c r="R371" s="6"/>
      <c r="S371" s="5"/>
      <c r="T371" s="6"/>
      <c r="U371" s="1"/>
      <c r="V371" s="1"/>
      <c r="AB371" s="1"/>
      <c r="AD371" s="1"/>
      <c r="AE371" s="1"/>
      <c r="AH371" s="1"/>
      <c r="AI371" s="1"/>
    </row>
    <row r="372" spans="11:35" x14ac:dyDescent="0.3">
      <c r="K372" s="1"/>
      <c r="P372" s="6"/>
      <c r="Q372" s="6"/>
      <c r="R372" s="6"/>
      <c r="S372" s="5"/>
      <c r="T372" s="6"/>
      <c r="U372" s="1"/>
      <c r="V372" s="1"/>
      <c r="AB372" s="1"/>
      <c r="AD372" s="1"/>
      <c r="AE372" s="1"/>
      <c r="AH372" s="1"/>
      <c r="AI372" s="1"/>
    </row>
    <row r="373" spans="11:35" x14ac:dyDescent="0.3">
      <c r="K373" s="1"/>
      <c r="P373" s="6"/>
      <c r="Q373" s="6"/>
      <c r="R373" s="6"/>
      <c r="S373" s="5"/>
      <c r="T373" s="6"/>
      <c r="U373" s="1"/>
      <c r="V373" s="1"/>
      <c r="AB373" s="1"/>
      <c r="AD373" s="1"/>
      <c r="AE373" s="1"/>
      <c r="AH373" s="1"/>
      <c r="AI373" s="1"/>
    </row>
    <row r="374" spans="11:35" x14ac:dyDescent="0.3">
      <c r="K374" s="1"/>
      <c r="P374" s="6"/>
      <c r="Q374" s="6"/>
      <c r="R374" s="6"/>
      <c r="S374" s="5"/>
      <c r="T374" s="6"/>
      <c r="U374" s="1"/>
      <c r="V374" s="1"/>
      <c r="AB374" s="1"/>
      <c r="AD374" s="1"/>
      <c r="AE374" s="1"/>
      <c r="AH374" s="1"/>
      <c r="AI374" s="1"/>
    </row>
    <row r="375" spans="11:35" x14ac:dyDescent="0.3">
      <c r="K375" s="1"/>
      <c r="P375" s="6"/>
      <c r="Q375" s="6"/>
      <c r="R375" s="6"/>
      <c r="S375" s="5"/>
      <c r="T375" s="6"/>
      <c r="U375" s="1"/>
      <c r="V375" s="1"/>
      <c r="AB375" s="1"/>
      <c r="AD375" s="1"/>
      <c r="AE375" s="1"/>
      <c r="AH375" s="1"/>
      <c r="AI375" s="1"/>
    </row>
    <row r="376" spans="11:35" x14ac:dyDescent="0.3">
      <c r="K376" s="1"/>
      <c r="P376" s="6"/>
      <c r="Q376" s="6"/>
      <c r="R376" s="6"/>
      <c r="S376" s="5"/>
      <c r="T376" s="6"/>
      <c r="U376" s="1"/>
      <c r="V376" s="1"/>
      <c r="AB376" s="1"/>
      <c r="AD376" s="1"/>
      <c r="AE376" s="1"/>
      <c r="AH376" s="1"/>
      <c r="AI376" s="1"/>
    </row>
    <row r="377" spans="11:35" x14ac:dyDescent="0.3">
      <c r="K377" s="1"/>
      <c r="P377" s="6"/>
      <c r="Q377" s="6"/>
      <c r="R377" s="6"/>
      <c r="S377" s="5"/>
      <c r="T377" s="6"/>
      <c r="U377" s="1"/>
      <c r="V377" s="1"/>
      <c r="AB377" s="1"/>
      <c r="AD377" s="1"/>
      <c r="AE377" s="1"/>
      <c r="AH377" s="1"/>
      <c r="AI377" s="1"/>
    </row>
    <row r="378" spans="11:35" x14ac:dyDescent="0.3">
      <c r="K378" s="1"/>
      <c r="P378" s="6"/>
      <c r="Q378" s="6"/>
      <c r="R378" s="6"/>
      <c r="S378" s="5"/>
      <c r="T378" s="6"/>
      <c r="U378" s="1"/>
      <c r="V378" s="1"/>
      <c r="AB378" s="1"/>
      <c r="AD378" s="1"/>
      <c r="AE378" s="1"/>
      <c r="AH378" s="1"/>
      <c r="AI378" s="1"/>
    </row>
    <row r="379" spans="11:35" x14ac:dyDescent="0.3">
      <c r="K379" s="1"/>
      <c r="P379" s="6"/>
      <c r="Q379" s="6"/>
      <c r="R379" s="6"/>
      <c r="S379" s="5"/>
      <c r="T379" s="6"/>
      <c r="U379" s="1"/>
      <c r="V379" s="1"/>
      <c r="AB379" s="1"/>
      <c r="AD379" s="1"/>
      <c r="AE379" s="1"/>
      <c r="AH379" s="1"/>
      <c r="AI379" s="1"/>
    </row>
    <row r="380" spans="11:35" x14ac:dyDescent="0.3">
      <c r="K380" s="1"/>
      <c r="P380" s="6"/>
      <c r="Q380" s="6"/>
      <c r="R380" s="6"/>
      <c r="S380" s="5"/>
      <c r="T380" s="6"/>
      <c r="U380" s="1"/>
      <c r="V380" s="1"/>
      <c r="AB380" s="1"/>
      <c r="AD380" s="1"/>
      <c r="AE380" s="1"/>
      <c r="AH380" s="1"/>
      <c r="AI380" s="1"/>
    </row>
    <row r="381" spans="11:35" x14ac:dyDescent="0.3">
      <c r="K381" s="1"/>
      <c r="P381" s="6"/>
      <c r="Q381" s="6"/>
      <c r="R381" s="6"/>
      <c r="S381" s="5"/>
      <c r="T381" s="6"/>
      <c r="U381" s="1"/>
      <c r="V381" s="1"/>
      <c r="AB381" s="1"/>
      <c r="AD381" s="1"/>
      <c r="AE381" s="1"/>
      <c r="AH381" s="1"/>
      <c r="AI381" s="1"/>
    </row>
    <row r="382" spans="11:35" x14ac:dyDescent="0.3">
      <c r="K382" s="1"/>
      <c r="P382" s="6"/>
      <c r="Q382" s="6"/>
      <c r="R382" s="6"/>
      <c r="S382" s="5"/>
      <c r="T382" s="6"/>
      <c r="U382" s="1"/>
      <c r="V382" s="1"/>
      <c r="AB382" s="1"/>
      <c r="AD382" s="1"/>
      <c r="AE382" s="1"/>
      <c r="AH382" s="1"/>
      <c r="AI382" s="1"/>
    </row>
    <row r="383" spans="11:35" x14ac:dyDescent="0.3">
      <c r="K383" s="1"/>
      <c r="P383" s="6"/>
      <c r="Q383" s="6"/>
      <c r="R383" s="6"/>
      <c r="S383" s="5"/>
      <c r="T383" s="6"/>
      <c r="U383" s="1"/>
      <c r="V383" s="1"/>
      <c r="AB383" s="1"/>
      <c r="AD383" s="1"/>
      <c r="AE383" s="1"/>
      <c r="AH383" s="1"/>
      <c r="AI383" s="1"/>
    </row>
    <row r="384" spans="11:35" x14ac:dyDescent="0.3">
      <c r="K384" s="1"/>
      <c r="P384" s="6"/>
      <c r="Q384" s="6"/>
      <c r="R384" s="6"/>
      <c r="S384" s="5"/>
      <c r="T384" s="6"/>
      <c r="U384" s="1"/>
      <c r="V384" s="1"/>
      <c r="AB384" s="1"/>
      <c r="AD384" s="1"/>
      <c r="AE384" s="1"/>
      <c r="AH384" s="1"/>
      <c r="AI384" s="1"/>
    </row>
    <row r="385" spans="11:35" x14ac:dyDescent="0.3">
      <c r="K385" s="1"/>
      <c r="P385" s="6"/>
      <c r="Q385" s="6"/>
      <c r="R385" s="6"/>
      <c r="S385" s="5"/>
      <c r="T385" s="6"/>
      <c r="U385" s="1"/>
      <c r="V385" s="1"/>
      <c r="AB385" s="1"/>
      <c r="AD385" s="1"/>
      <c r="AE385" s="1"/>
      <c r="AH385" s="1"/>
      <c r="AI385" s="1"/>
    </row>
    <row r="386" spans="11:35" x14ac:dyDescent="0.3">
      <c r="K386" s="1"/>
      <c r="P386" s="6"/>
      <c r="Q386" s="6"/>
      <c r="R386" s="6"/>
      <c r="S386" s="5"/>
      <c r="T386" s="6"/>
      <c r="U386" s="1"/>
      <c r="V386" s="1"/>
      <c r="AB386" s="1"/>
      <c r="AD386" s="1"/>
      <c r="AE386" s="1"/>
      <c r="AH386" s="1"/>
      <c r="AI386" s="1"/>
    </row>
    <row r="387" spans="11:35" x14ac:dyDescent="0.3">
      <c r="K387" s="1"/>
      <c r="P387" s="6"/>
      <c r="Q387" s="6"/>
      <c r="R387" s="6"/>
      <c r="S387" s="5"/>
      <c r="T387" s="6"/>
      <c r="U387" s="1"/>
      <c r="V387" s="1"/>
      <c r="AB387" s="1"/>
      <c r="AD387" s="1"/>
      <c r="AE387" s="1"/>
      <c r="AH387" s="1"/>
      <c r="AI387" s="1"/>
    </row>
    <row r="388" spans="11:35" x14ac:dyDescent="0.3">
      <c r="K388" s="1"/>
      <c r="P388" s="6"/>
      <c r="Q388" s="6"/>
      <c r="R388" s="6"/>
      <c r="S388" s="5"/>
      <c r="T388" s="6"/>
      <c r="U388" s="1"/>
      <c r="V388" s="1"/>
      <c r="AB388" s="1"/>
      <c r="AD388" s="1"/>
      <c r="AE388" s="1"/>
      <c r="AH388" s="1"/>
      <c r="AI388" s="1"/>
    </row>
    <row r="389" spans="11:35" x14ac:dyDescent="0.3">
      <c r="K389" s="1"/>
      <c r="P389" s="6"/>
      <c r="Q389" s="6"/>
      <c r="R389" s="6"/>
      <c r="S389" s="5"/>
      <c r="T389" s="6"/>
      <c r="U389" s="1"/>
      <c r="V389" s="1"/>
      <c r="AB389" s="1"/>
      <c r="AD389" s="1"/>
      <c r="AE389" s="1"/>
      <c r="AH389" s="1"/>
      <c r="AI389" s="1"/>
    </row>
    <row r="390" spans="11:35" x14ac:dyDescent="0.3">
      <c r="K390" s="1"/>
      <c r="P390" s="6"/>
      <c r="Q390" s="6"/>
      <c r="R390" s="6"/>
      <c r="S390" s="5"/>
      <c r="T390" s="6"/>
      <c r="U390" s="1"/>
      <c r="V390" s="1"/>
      <c r="AB390" s="1"/>
      <c r="AD390" s="1"/>
      <c r="AE390" s="1"/>
      <c r="AH390" s="1"/>
      <c r="AI390" s="1"/>
    </row>
    <row r="391" spans="11:35" x14ac:dyDescent="0.3">
      <c r="K391" s="1"/>
      <c r="P391" s="6"/>
      <c r="Q391" s="6"/>
      <c r="R391" s="6"/>
      <c r="S391" s="5"/>
      <c r="T391" s="6"/>
      <c r="U391" s="1"/>
      <c r="V391" s="1"/>
      <c r="AB391" s="1"/>
      <c r="AD391" s="1"/>
      <c r="AE391" s="1"/>
      <c r="AH391" s="1"/>
      <c r="AI391" s="1"/>
    </row>
    <row r="392" spans="11:35" x14ac:dyDescent="0.3">
      <c r="K392" s="1"/>
      <c r="P392" s="6"/>
      <c r="Q392" s="6"/>
      <c r="R392" s="6"/>
      <c r="S392" s="5"/>
      <c r="T392" s="6"/>
      <c r="U392" s="1"/>
      <c r="V392" s="1"/>
      <c r="AB392" s="1"/>
      <c r="AD392" s="1"/>
      <c r="AE392" s="1"/>
      <c r="AH392" s="1"/>
      <c r="AI392" s="1"/>
    </row>
    <row r="393" spans="11:35" x14ac:dyDescent="0.3">
      <c r="K393" s="1"/>
      <c r="P393" s="6"/>
      <c r="Q393" s="6"/>
      <c r="R393" s="6"/>
      <c r="S393" s="5"/>
      <c r="T393" s="6"/>
      <c r="U393" s="1"/>
      <c r="V393" s="1"/>
      <c r="AB393" s="1"/>
      <c r="AD393" s="1"/>
      <c r="AE393" s="1"/>
      <c r="AH393" s="1"/>
      <c r="AI393" s="1"/>
    </row>
    <row r="394" spans="11:35" x14ac:dyDescent="0.3">
      <c r="K394" s="1"/>
      <c r="P394" s="6"/>
      <c r="Q394" s="6"/>
      <c r="R394" s="6"/>
      <c r="S394" s="5"/>
      <c r="T394" s="6"/>
      <c r="U394" s="1"/>
      <c r="V394" s="1"/>
      <c r="AB394" s="1"/>
      <c r="AD394" s="1"/>
      <c r="AE394" s="1"/>
      <c r="AH394" s="1"/>
      <c r="AI394" s="1"/>
    </row>
    <row r="395" spans="11:35" x14ac:dyDescent="0.3">
      <c r="K395" s="1"/>
      <c r="P395" s="6"/>
      <c r="Q395" s="6"/>
      <c r="R395" s="6"/>
      <c r="S395" s="5"/>
      <c r="T395" s="6"/>
      <c r="U395" s="1"/>
      <c r="V395" s="1"/>
      <c r="AB395" s="1"/>
      <c r="AD395" s="1"/>
      <c r="AE395" s="1"/>
      <c r="AH395" s="1"/>
      <c r="AI395" s="1"/>
    </row>
    <row r="396" spans="11:35" x14ac:dyDescent="0.3">
      <c r="K396" s="1"/>
      <c r="P396" s="6"/>
      <c r="Q396" s="6"/>
      <c r="R396" s="6"/>
      <c r="S396" s="5"/>
      <c r="T396" s="6"/>
      <c r="U396" s="1"/>
      <c r="V396" s="1"/>
      <c r="AB396" s="1"/>
      <c r="AD396" s="1"/>
      <c r="AE396" s="1"/>
      <c r="AH396" s="1"/>
      <c r="AI396" s="1"/>
    </row>
    <row r="397" spans="11:35" x14ac:dyDescent="0.3">
      <c r="K397" s="1"/>
      <c r="P397" s="6"/>
      <c r="Q397" s="6"/>
      <c r="R397" s="6"/>
      <c r="S397" s="5"/>
      <c r="T397" s="6"/>
      <c r="U397" s="1"/>
      <c r="V397" s="1"/>
      <c r="AB397" s="1"/>
      <c r="AD397" s="1"/>
      <c r="AE397" s="1"/>
      <c r="AH397" s="1"/>
      <c r="AI397" s="1"/>
    </row>
    <row r="398" spans="11:35" x14ac:dyDescent="0.3">
      <c r="K398" s="1"/>
      <c r="P398" s="6"/>
      <c r="Q398" s="6"/>
      <c r="R398" s="6"/>
      <c r="S398" s="5"/>
      <c r="T398" s="6"/>
      <c r="U398" s="1"/>
      <c r="V398" s="1"/>
      <c r="AB398" s="1"/>
      <c r="AD398" s="1"/>
      <c r="AE398" s="1"/>
      <c r="AH398" s="1"/>
      <c r="AI398" s="1"/>
    </row>
    <row r="399" spans="11:35" x14ac:dyDescent="0.3">
      <c r="K399" s="1"/>
      <c r="P399" s="6"/>
      <c r="Q399" s="6"/>
      <c r="R399" s="6"/>
      <c r="S399" s="5"/>
      <c r="T399" s="6"/>
      <c r="U399" s="1"/>
      <c r="V399" s="1"/>
      <c r="AB399" s="1"/>
      <c r="AD399" s="1"/>
      <c r="AE399" s="1"/>
      <c r="AH399" s="1"/>
      <c r="AI399" s="1"/>
    </row>
    <row r="400" spans="11:35" x14ac:dyDescent="0.3">
      <c r="K400" s="1"/>
      <c r="P400" s="6"/>
      <c r="Q400" s="6"/>
      <c r="R400" s="6"/>
      <c r="S400" s="5"/>
      <c r="T400" s="6"/>
      <c r="U400" s="1"/>
      <c r="V400" s="1"/>
      <c r="AB400" s="1"/>
      <c r="AD400" s="1"/>
      <c r="AE400" s="1"/>
      <c r="AH400" s="1"/>
      <c r="AI400" s="1"/>
    </row>
    <row r="401" spans="11:35" x14ac:dyDescent="0.3">
      <c r="K401" s="1"/>
      <c r="P401" s="6"/>
      <c r="Q401" s="6"/>
      <c r="R401" s="6"/>
      <c r="S401" s="5"/>
      <c r="T401" s="6"/>
      <c r="U401" s="1"/>
      <c r="V401" s="1"/>
      <c r="AB401" s="1"/>
      <c r="AD401" s="1"/>
      <c r="AE401" s="1"/>
      <c r="AH401" s="1"/>
      <c r="AI401" s="1"/>
    </row>
    <row r="402" spans="11:35" x14ac:dyDescent="0.3">
      <c r="K402" s="1"/>
      <c r="P402" s="6"/>
      <c r="Q402" s="6"/>
      <c r="R402" s="6"/>
      <c r="S402" s="5"/>
      <c r="T402" s="6"/>
      <c r="U402" s="1"/>
      <c r="V402" s="1"/>
      <c r="AB402" s="1"/>
      <c r="AD402" s="1"/>
      <c r="AE402" s="1"/>
      <c r="AH402" s="1"/>
      <c r="AI402" s="1"/>
    </row>
    <row r="403" spans="11:35" x14ac:dyDescent="0.3">
      <c r="K403" s="1"/>
      <c r="P403" s="6"/>
      <c r="Q403" s="6"/>
      <c r="R403" s="6"/>
      <c r="S403" s="5"/>
      <c r="T403" s="6"/>
      <c r="U403" s="1"/>
      <c r="V403" s="1"/>
      <c r="AB403" s="1"/>
      <c r="AD403" s="1"/>
      <c r="AE403" s="1"/>
      <c r="AH403" s="1"/>
      <c r="AI403" s="1"/>
    </row>
    <row r="404" spans="11:35" x14ac:dyDescent="0.3">
      <c r="K404" s="1"/>
      <c r="P404" s="6"/>
      <c r="Q404" s="6"/>
      <c r="R404" s="6"/>
      <c r="S404" s="5"/>
      <c r="T404" s="6"/>
      <c r="U404" s="1"/>
      <c r="V404" s="1"/>
      <c r="AB404" s="1"/>
      <c r="AD404" s="1"/>
      <c r="AE404" s="1"/>
      <c r="AH404" s="1"/>
      <c r="AI404" s="1"/>
    </row>
    <row r="405" spans="11:35" x14ac:dyDescent="0.3">
      <c r="K405" s="1"/>
      <c r="P405" s="6"/>
      <c r="Q405" s="6"/>
      <c r="R405" s="6"/>
      <c r="S405" s="5"/>
      <c r="T405" s="6"/>
      <c r="U405" s="1"/>
      <c r="V405" s="1"/>
      <c r="AB405" s="1"/>
      <c r="AD405" s="1"/>
      <c r="AE405" s="1"/>
      <c r="AH405" s="1"/>
      <c r="AI405" s="1"/>
    </row>
    <row r="406" spans="11:35" x14ac:dyDescent="0.3">
      <c r="K406" s="1"/>
      <c r="P406" s="6"/>
      <c r="Q406" s="6"/>
      <c r="R406" s="6"/>
      <c r="S406" s="5"/>
      <c r="T406" s="6"/>
      <c r="U406" s="1"/>
      <c r="V406" s="1"/>
      <c r="AB406" s="1"/>
      <c r="AD406" s="1"/>
      <c r="AE406" s="1"/>
      <c r="AH406" s="1"/>
      <c r="AI406" s="1"/>
    </row>
    <row r="407" spans="11:35" x14ac:dyDescent="0.3">
      <c r="K407" s="1"/>
      <c r="P407" s="6"/>
      <c r="Q407" s="6"/>
      <c r="R407" s="6"/>
      <c r="S407" s="5"/>
      <c r="T407" s="6"/>
      <c r="U407" s="1"/>
      <c r="V407" s="1"/>
      <c r="AB407" s="1"/>
      <c r="AD407" s="1"/>
      <c r="AE407" s="1"/>
      <c r="AH407" s="1"/>
      <c r="AI407" s="1"/>
    </row>
    <row r="408" spans="11:35" x14ac:dyDescent="0.3">
      <c r="K408" s="1"/>
      <c r="P408" s="6"/>
      <c r="Q408" s="6"/>
      <c r="R408" s="6"/>
      <c r="S408" s="5"/>
      <c r="T408" s="6"/>
      <c r="U408" s="1"/>
      <c r="V408" s="1"/>
      <c r="AB408" s="1"/>
      <c r="AD408" s="1"/>
      <c r="AE408" s="1"/>
      <c r="AH408" s="1"/>
      <c r="AI408" s="1"/>
    </row>
    <row r="409" spans="11:35" x14ac:dyDescent="0.3">
      <c r="K409" s="1"/>
      <c r="P409" s="6"/>
      <c r="Q409" s="6"/>
      <c r="R409" s="6"/>
      <c r="S409" s="5"/>
      <c r="T409" s="6"/>
      <c r="U409" s="1"/>
      <c r="V409" s="1"/>
      <c r="AB409" s="1"/>
      <c r="AD409" s="1"/>
      <c r="AE409" s="1"/>
      <c r="AH409" s="1"/>
      <c r="AI409" s="1"/>
    </row>
    <row r="410" spans="11:35" x14ac:dyDescent="0.3">
      <c r="K410" s="1"/>
      <c r="P410" s="6"/>
      <c r="Q410" s="6"/>
      <c r="R410" s="6"/>
      <c r="S410" s="5"/>
      <c r="T410" s="6"/>
      <c r="U410" s="1"/>
      <c r="V410" s="1"/>
      <c r="AB410" s="1"/>
      <c r="AD410" s="1"/>
      <c r="AE410" s="1"/>
      <c r="AH410" s="1"/>
      <c r="AI410" s="1"/>
    </row>
    <row r="411" spans="11:35" x14ac:dyDescent="0.3">
      <c r="K411" s="1"/>
      <c r="P411" s="6"/>
      <c r="Q411" s="6"/>
      <c r="R411" s="6"/>
      <c r="S411" s="5"/>
      <c r="T411" s="6"/>
      <c r="U411" s="1"/>
      <c r="V411" s="1"/>
      <c r="AB411" s="1"/>
      <c r="AD411" s="1"/>
      <c r="AE411" s="1"/>
      <c r="AH411" s="1"/>
      <c r="AI411" s="1"/>
    </row>
    <row r="412" spans="11:35" x14ac:dyDescent="0.3">
      <c r="K412" s="1"/>
      <c r="P412" s="6"/>
      <c r="Q412" s="6"/>
      <c r="R412" s="6"/>
      <c r="S412" s="5"/>
      <c r="T412" s="6"/>
      <c r="U412" s="1"/>
      <c r="V412" s="1"/>
      <c r="AB412" s="1"/>
      <c r="AD412" s="1"/>
      <c r="AE412" s="1"/>
      <c r="AH412" s="1"/>
      <c r="AI412" s="1"/>
    </row>
    <row r="413" spans="11:35" x14ac:dyDescent="0.3">
      <c r="K413" s="1"/>
      <c r="P413" s="6"/>
      <c r="Q413" s="6"/>
      <c r="R413" s="6"/>
      <c r="S413" s="5"/>
      <c r="T413" s="6"/>
      <c r="U413" s="1"/>
      <c r="V413" s="1"/>
      <c r="AB413" s="1"/>
      <c r="AD413" s="1"/>
      <c r="AE413" s="1"/>
      <c r="AH413" s="1"/>
      <c r="AI413" s="1"/>
    </row>
    <row r="414" spans="11:35" x14ac:dyDescent="0.3">
      <c r="K414" s="1"/>
      <c r="P414" s="6"/>
      <c r="Q414" s="6"/>
      <c r="R414" s="6"/>
      <c r="S414" s="5"/>
      <c r="T414" s="6"/>
      <c r="U414" s="1"/>
      <c r="V414" s="1"/>
      <c r="AB414" s="1"/>
      <c r="AD414" s="1"/>
      <c r="AE414" s="1"/>
      <c r="AH414" s="1"/>
      <c r="AI414" s="1"/>
    </row>
    <row r="415" spans="11:35" x14ac:dyDescent="0.3">
      <c r="K415" s="1"/>
      <c r="P415" s="6"/>
      <c r="Q415" s="6"/>
      <c r="R415" s="6"/>
      <c r="S415" s="5"/>
      <c r="T415" s="6"/>
      <c r="U415" s="1"/>
      <c r="V415" s="1"/>
      <c r="AB415" s="1"/>
      <c r="AD415" s="1"/>
      <c r="AE415" s="1"/>
      <c r="AH415" s="1"/>
      <c r="AI415" s="1"/>
    </row>
    <row r="416" spans="11:35" x14ac:dyDescent="0.3">
      <c r="K416" s="1"/>
      <c r="P416" s="6"/>
      <c r="Q416" s="6"/>
      <c r="R416" s="6"/>
      <c r="S416" s="5"/>
      <c r="T416" s="6"/>
      <c r="U416" s="1"/>
      <c r="V416" s="1"/>
      <c r="AB416" s="1"/>
      <c r="AD416" s="1"/>
      <c r="AE416" s="1"/>
      <c r="AH416" s="1"/>
      <c r="AI416" s="1"/>
    </row>
    <row r="417" spans="11:35" x14ac:dyDescent="0.3">
      <c r="K417" s="1"/>
      <c r="P417" s="6"/>
      <c r="Q417" s="6"/>
      <c r="R417" s="6"/>
      <c r="S417" s="5"/>
      <c r="T417" s="6"/>
      <c r="U417" s="1"/>
      <c r="V417" s="1"/>
      <c r="AB417" s="1"/>
      <c r="AD417" s="1"/>
      <c r="AE417" s="1"/>
      <c r="AH417" s="1"/>
      <c r="AI417" s="1"/>
    </row>
    <row r="418" spans="11:35" x14ac:dyDescent="0.3">
      <c r="K418" s="1"/>
      <c r="P418" s="6"/>
      <c r="Q418" s="6"/>
      <c r="R418" s="6"/>
      <c r="S418" s="5"/>
      <c r="T418" s="6"/>
      <c r="U418" s="1"/>
      <c r="V418" s="1"/>
      <c r="AB418" s="1"/>
      <c r="AD418" s="1"/>
      <c r="AE418" s="1"/>
      <c r="AH418" s="1"/>
      <c r="AI418" s="1"/>
    </row>
    <row r="419" spans="11:35" x14ac:dyDescent="0.3">
      <c r="K419" s="1"/>
      <c r="P419" s="6"/>
      <c r="Q419" s="6"/>
      <c r="R419" s="6"/>
      <c r="S419" s="5"/>
      <c r="T419" s="6"/>
      <c r="U419" s="1"/>
      <c r="V419" s="1"/>
      <c r="AB419" s="1"/>
      <c r="AD419" s="1"/>
      <c r="AE419" s="1"/>
      <c r="AH419" s="1"/>
      <c r="AI419" s="1"/>
    </row>
    <row r="420" spans="11:35" x14ac:dyDescent="0.3">
      <c r="K420" s="1"/>
      <c r="P420" s="6"/>
      <c r="Q420" s="6"/>
      <c r="R420" s="6"/>
      <c r="S420" s="5"/>
      <c r="T420" s="6"/>
      <c r="U420" s="1"/>
      <c r="V420" s="1"/>
      <c r="AB420" s="1"/>
      <c r="AD420" s="1"/>
      <c r="AE420" s="1"/>
      <c r="AH420" s="1"/>
      <c r="AI420" s="1"/>
    </row>
    <row r="421" spans="11:35" x14ac:dyDescent="0.3">
      <c r="K421" s="1"/>
      <c r="P421" s="6"/>
      <c r="Q421" s="6"/>
      <c r="R421" s="6"/>
      <c r="S421" s="5"/>
      <c r="T421" s="6"/>
      <c r="U421" s="1"/>
      <c r="V421" s="1"/>
      <c r="AB421" s="1"/>
      <c r="AD421" s="1"/>
      <c r="AE421" s="1"/>
      <c r="AH421" s="1"/>
      <c r="AI421" s="1"/>
    </row>
    <row r="422" spans="11:35" x14ac:dyDescent="0.3">
      <c r="K422" s="1"/>
      <c r="P422" s="6"/>
      <c r="Q422" s="6"/>
      <c r="R422" s="6"/>
      <c r="S422" s="5"/>
      <c r="T422" s="6"/>
      <c r="U422" s="1"/>
      <c r="V422" s="1"/>
      <c r="AB422" s="1"/>
      <c r="AD422" s="1"/>
      <c r="AE422" s="1"/>
      <c r="AH422" s="1"/>
      <c r="AI422" s="1"/>
    </row>
    <row r="423" spans="11:35" x14ac:dyDescent="0.3">
      <c r="K423" s="1"/>
      <c r="P423" s="6"/>
      <c r="Q423" s="6"/>
      <c r="R423" s="6"/>
      <c r="S423" s="5"/>
      <c r="T423" s="6"/>
      <c r="U423" s="1"/>
      <c r="V423" s="1"/>
      <c r="AB423" s="1"/>
      <c r="AD423" s="1"/>
      <c r="AE423" s="1"/>
      <c r="AH423" s="1"/>
      <c r="AI423" s="1"/>
    </row>
    <row r="424" spans="11:35" x14ac:dyDescent="0.3">
      <c r="K424" s="1"/>
      <c r="P424" s="6"/>
      <c r="Q424" s="6"/>
      <c r="R424" s="6"/>
      <c r="S424" s="5"/>
      <c r="T424" s="6"/>
      <c r="U424" s="1"/>
      <c r="V424" s="1"/>
      <c r="AB424" s="1"/>
      <c r="AD424" s="1"/>
      <c r="AE424" s="1"/>
      <c r="AH424" s="1"/>
      <c r="AI424" s="1"/>
    </row>
    <row r="425" spans="11:35" x14ac:dyDescent="0.3">
      <c r="K425" s="1"/>
      <c r="P425" s="6"/>
      <c r="Q425" s="6"/>
      <c r="R425" s="6"/>
      <c r="S425" s="5"/>
      <c r="T425" s="6"/>
      <c r="U425" s="1"/>
      <c r="V425" s="1"/>
      <c r="AB425" s="1"/>
      <c r="AD425" s="1"/>
      <c r="AE425" s="1"/>
      <c r="AH425" s="1"/>
      <c r="AI425" s="1"/>
    </row>
    <row r="426" spans="11:35" x14ac:dyDescent="0.3">
      <c r="K426" s="1"/>
      <c r="P426" s="6"/>
      <c r="Q426" s="6"/>
      <c r="R426" s="6"/>
      <c r="S426" s="5"/>
      <c r="T426" s="6"/>
      <c r="U426" s="1"/>
      <c r="V426" s="1"/>
      <c r="AB426" s="1"/>
      <c r="AD426" s="1"/>
      <c r="AE426" s="1"/>
      <c r="AH426" s="1"/>
      <c r="AI426" s="1"/>
    </row>
    <row r="427" spans="11:35" x14ac:dyDescent="0.3">
      <c r="K427" s="1"/>
      <c r="P427" s="6"/>
      <c r="Q427" s="6"/>
      <c r="R427" s="6"/>
      <c r="S427" s="5"/>
      <c r="T427" s="6"/>
      <c r="U427" s="1"/>
      <c r="V427" s="1"/>
      <c r="AB427" s="1"/>
      <c r="AD427" s="1"/>
      <c r="AE427" s="1"/>
      <c r="AH427" s="1"/>
      <c r="AI427" s="1"/>
    </row>
    <row r="428" spans="11:35" x14ac:dyDescent="0.3">
      <c r="K428" s="1"/>
      <c r="P428" s="6"/>
      <c r="Q428" s="6"/>
      <c r="R428" s="6"/>
      <c r="S428" s="5"/>
      <c r="T428" s="6"/>
      <c r="U428" s="1"/>
      <c r="V428" s="1"/>
      <c r="AB428" s="1"/>
      <c r="AD428" s="1"/>
      <c r="AE428" s="1"/>
      <c r="AH428" s="1"/>
      <c r="AI428" s="1"/>
    </row>
    <row r="429" spans="11:35" x14ac:dyDescent="0.3">
      <c r="K429" s="1"/>
      <c r="P429" s="6"/>
      <c r="Q429" s="6"/>
      <c r="R429" s="6"/>
      <c r="S429" s="5"/>
      <c r="T429" s="6"/>
      <c r="U429" s="1"/>
      <c r="V429" s="1"/>
      <c r="AB429" s="1"/>
      <c r="AD429" s="1"/>
      <c r="AE429" s="1"/>
      <c r="AH429" s="1"/>
      <c r="AI429" s="1"/>
    </row>
    <row r="430" spans="11:35" x14ac:dyDescent="0.3">
      <c r="K430" s="1"/>
      <c r="P430" s="6"/>
      <c r="Q430" s="6"/>
      <c r="R430" s="6"/>
      <c r="S430" s="5"/>
      <c r="T430" s="6"/>
      <c r="U430" s="1"/>
      <c r="V430" s="1"/>
      <c r="AB430" s="1"/>
      <c r="AD430" s="1"/>
      <c r="AE430" s="1"/>
      <c r="AH430" s="1"/>
      <c r="AI430" s="1"/>
    </row>
    <row r="431" spans="11:35" x14ac:dyDescent="0.3">
      <c r="K431" s="1"/>
      <c r="P431" s="6"/>
      <c r="Q431" s="6"/>
      <c r="R431" s="6"/>
      <c r="S431" s="5"/>
      <c r="T431" s="6"/>
      <c r="U431" s="1"/>
      <c r="V431" s="1"/>
      <c r="AB431" s="1"/>
      <c r="AD431" s="1"/>
      <c r="AE431" s="1"/>
      <c r="AH431" s="1"/>
      <c r="AI431" s="1"/>
    </row>
    <row r="432" spans="11:35" x14ac:dyDescent="0.3">
      <c r="K432" s="1"/>
      <c r="P432" s="6"/>
      <c r="Q432" s="6"/>
      <c r="R432" s="6"/>
      <c r="S432" s="5"/>
      <c r="T432" s="6"/>
      <c r="U432" s="1"/>
      <c r="V432" s="1"/>
      <c r="AB432" s="1"/>
      <c r="AD432" s="1"/>
      <c r="AE432" s="1"/>
      <c r="AH432" s="1"/>
      <c r="AI432" s="1"/>
    </row>
    <row r="433" spans="11:35" x14ac:dyDescent="0.3">
      <c r="K433" s="1"/>
      <c r="P433" s="6"/>
      <c r="Q433" s="6"/>
      <c r="R433" s="6"/>
      <c r="S433" s="5"/>
      <c r="T433" s="6"/>
      <c r="U433" s="1"/>
      <c r="V433" s="1"/>
      <c r="AB433" s="1"/>
      <c r="AD433" s="1"/>
      <c r="AE433" s="1"/>
      <c r="AH433" s="1"/>
      <c r="AI433" s="1"/>
    </row>
    <row r="434" spans="11:35" x14ac:dyDescent="0.3">
      <c r="K434" s="1"/>
      <c r="P434" s="6"/>
      <c r="Q434" s="6"/>
      <c r="R434" s="6"/>
      <c r="S434" s="5"/>
      <c r="T434" s="6"/>
      <c r="U434" s="1"/>
      <c r="V434" s="1"/>
      <c r="AB434" s="1"/>
      <c r="AD434" s="1"/>
      <c r="AE434" s="1"/>
      <c r="AH434" s="1"/>
      <c r="AI434" s="1"/>
    </row>
    <row r="435" spans="11:35" x14ac:dyDescent="0.3">
      <c r="K435" s="1"/>
      <c r="P435" s="6"/>
      <c r="Q435" s="6"/>
      <c r="R435" s="6"/>
      <c r="S435" s="5"/>
      <c r="T435" s="6"/>
      <c r="U435" s="1"/>
      <c r="V435" s="1"/>
      <c r="AB435" s="1"/>
      <c r="AD435" s="1"/>
      <c r="AE435" s="1"/>
      <c r="AH435" s="1"/>
      <c r="AI435" s="1"/>
    </row>
    <row r="436" spans="11:35" x14ac:dyDescent="0.3">
      <c r="K436" s="1"/>
      <c r="P436" s="6"/>
      <c r="Q436" s="6"/>
      <c r="R436" s="6"/>
      <c r="S436" s="5"/>
      <c r="T436" s="6"/>
      <c r="U436" s="1"/>
      <c r="V436" s="1"/>
      <c r="AB436" s="1"/>
      <c r="AD436" s="1"/>
      <c r="AE436" s="1"/>
      <c r="AH436" s="1"/>
      <c r="AI436" s="1"/>
    </row>
    <row r="437" spans="11:35" x14ac:dyDescent="0.3">
      <c r="K437" s="1"/>
      <c r="P437" s="6"/>
      <c r="Q437" s="6"/>
      <c r="R437" s="6"/>
      <c r="S437" s="5"/>
      <c r="T437" s="6"/>
      <c r="U437" s="1"/>
      <c r="V437" s="1"/>
      <c r="AB437" s="1"/>
      <c r="AD437" s="1"/>
      <c r="AE437" s="1"/>
      <c r="AH437" s="1"/>
      <c r="AI437" s="1"/>
    </row>
    <row r="438" spans="11:35" x14ac:dyDescent="0.3">
      <c r="K438" s="1"/>
      <c r="P438" s="6"/>
      <c r="Q438" s="6"/>
      <c r="R438" s="6"/>
      <c r="S438" s="5"/>
      <c r="T438" s="6"/>
      <c r="U438" s="1"/>
      <c r="V438" s="1"/>
      <c r="AB438" s="1"/>
      <c r="AD438" s="1"/>
      <c r="AE438" s="1"/>
      <c r="AH438" s="1"/>
      <c r="AI438" s="1"/>
    </row>
    <row r="439" spans="11:35" x14ac:dyDescent="0.3">
      <c r="K439" s="1"/>
      <c r="P439" s="6"/>
      <c r="Q439" s="6"/>
      <c r="R439" s="6"/>
      <c r="S439" s="5"/>
      <c r="T439" s="6"/>
      <c r="U439" s="1"/>
      <c r="V439" s="1"/>
      <c r="AB439" s="1"/>
      <c r="AD439" s="1"/>
      <c r="AE439" s="1"/>
      <c r="AH439" s="1"/>
      <c r="AI439" s="1"/>
    </row>
    <row r="440" spans="11:35" x14ac:dyDescent="0.3">
      <c r="K440" s="1"/>
      <c r="P440" s="6"/>
      <c r="Q440" s="6"/>
      <c r="R440" s="6"/>
      <c r="S440" s="5"/>
      <c r="T440" s="6"/>
      <c r="U440" s="1"/>
      <c r="V440" s="1"/>
      <c r="AB440" s="1"/>
      <c r="AD440" s="1"/>
      <c r="AE440" s="1"/>
      <c r="AH440" s="1"/>
      <c r="AI440" s="1"/>
    </row>
    <row r="441" spans="11:35" x14ac:dyDescent="0.3">
      <c r="K441" s="1"/>
      <c r="P441" s="6"/>
      <c r="Q441" s="6"/>
      <c r="R441" s="6"/>
      <c r="S441" s="5"/>
      <c r="T441" s="6"/>
      <c r="U441" s="1"/>
      <c r="V441" s="1"/>
      <c r="AB441" s="1"/>
      <c r="AD441" s="1"/>
      <c r="AE441" s="1"/>
      <c r="AH441" s="1"/>
      <c r="AI441" s="1"/>
    </row>
    <row r="442" spans="11:35" x14ac:dyDescent="0.3">
      <c r="K442" s="1"/>
      <c r="P442" s="6"/>
      <c r="Q442" s="6"/>
      <c r="R442" s="6"/>
      <c r="S442" s="5"/>
      <c r="T442" s="6"/>
      <c r="U442" s="1"/>
      <c r="V442" s="1"/>
      <c r="AB442" s="1"/>
      <c r="AD442" s="1"/>
      <c r="AE442" s="1"/>
      <c r="AH442" s="1"/>
      <c r="AI442" s="1"/>
    </row>
    <row r="443" spans="11:35" x14ac:dyDescent="0.3">
      <c r="K443" s="1"/>
      <c r="P443" s="6"/>
      <c r="Q443" s="6"/>
      <c r="R443" s="6"/>
      <c r="S443" s="5"/>
      <c r="T443" s="6"/>
      <c r="U443" s="1"/>
      <c r="V443" s="1"/>
      <c r="AB443" s="1"/>
      <c r="AD443" s="1"/>
      <c r="AE443" s="1"/>
      <c r="AH443" s="1"/>
      <c r="AI443" s="1"/>
    </row>
    <row r="444" spans="11:35" x14ac:dyDescent="0.3">
      <c r="K444" s="1"/>
      <c r="P444" s="6"/>
      <c r="Q444" s="6"/>
      <c r="R444" s="6"/>
      <c r="S444" s="5"/>
      <c r="T444" s="6"/>
      <c r="U444" s="1"/>
      <c r="V444" s="1"/>
      <c r="AB444" s="1"/>
      <c r="AD444" s="1"/>
      <c r="AE444" s="1"/>
      <c r="AH444" s="1"/>
      <c r="AI444" s="1"/>
    </row>
    <row r="445" spans="11:35" x14ac:dyDescent="0.3">
      <c r="K445" s="1"/>
      <c r="P445" s="6"/>
      <c r="Q445" s="6"/>
      <c r="R445" s="6"/>
      <c r="S445" s="5"/>
      <c r="T445" s="6"/>
      <c r="U445" s="1"/>
      <c r="V445" s="1"/>
      <c r="AB445" s="1"/>
      <c r="AD445" s="1"/>
      <c r="AE445" s="1"/>
      <c r="AH445" s="1"/>
      <c r="AI445" s="1"/>
    </row>
    <row r="446" spans="11:35" x14ac:dyDescent="0.3">
      <c r="K446" s="1"/>
      <c r="P446" s="6"/>
      <c r="Q446" s="6"/>
      <c r="R446" s="6"/>
      <c r="S446" s="5"/>
      <c r="T446" s="6"/>
      <c r="U446" s="1"/>
      <c r="V446" s="1"/>
      <c r="AB446" s="1"/>
      <c r="AD446" s="1"/>
      <c r="AE446" s="1"/>
      <c r="AH446" s="1"/>
      <c r="AI446" s="1"/>
    </row>
    <row r="447" spans="11:35" x14ac:dyDescent="0.3">
      <c r="K447" s="1"/>
      <c r="P447" s="6"/>
      <c r="Q447" s="6"/>
      <c r="R447" s="6"/>
      <c r="S447" s="5"/>
      <c r="T447" s="6"/>
      <c r="U447" s="1"/>
      <c r="V447" s="1"/>
      <c r="AB447" s="1"/>
      <c r="AD447" s="1"/>
      <c r="AE447" s="1"/>
      <c r="AH447" s="1"/>
      <c r="AI447" s="1"/>
    </row>
    <row r="448" spans="11:35" x14ac:dyDescent="0.3">
      <c r="K448" s="1"/>
      <c r="P448" s="6"/>
      <c r="Q448" s="6"/>
      <c r="R448" s="6"/>
      <c r="S448" s="5"/>
      <c r="T448" s="6"/>
      <c r="U448" s="1"/>
      <c r="V448" s="1"/>
      <c r="AB448" s="1"/>
      <c r="AD448" s="1"/>
      <c r="AE448" s="1"/>
      <c r="AH448" s="1"/>
      <c r="AI448" s="1"/>
    </row>
    <row r="449" spans="11:35" x14ac:dyDescent="0.3">
      <c r="K449" s="1"/>
      <c r="P449" s="6"/>
      <c r="Q449" s="6"/>
      <c r="R449" s="6"/>
      <c r="S449" s="5"/>
      <c r="T449" s="6"/>
      <c r="U449" s="1"/>
      <c r="V449" s="1"/>
      <c r="AB449" s="1"/>
      <c r="AD449" s="1"/>
      <c r="AE449" s="1"/>
      <c r="AH449" s="1"/>
      <c r="AI449" s="1"/>
    </row>
    <row r="450" spans="11:35" x14ac:dyDescent="0.3">
      <c r="K450" s="1"/>
      <c r="P450" s="6"/>
      <c r="Q450" s="6"/>
      <c r="R450" s="6"/>
      <c r="S450" s="5"/>
      <c r="T450" s="6"/>
      <c r="U450" s="1"/>
      <c r="V450" s="1"/>
      <c r="AB450" s="1"/>
      <c r="AD450" s="1"/>
      <c r="AE450" s="1"/>
      <c r="AH450" s="1"/>
      <c r="AI450" s="1"/>
    </row>
    <row r="451" spans="11:35" x14ac:dyDescent="0.3">
      <c r="K451" s="1"/>
      <c r="P451" s="6"/>
      <c r="Q451" s="6"/>
      <c r="R451" s="6"/>
      <c r="S451" s="5"/>
      <c r="T451" s="6"/>
      <c r="U451" s="1"/>
      <c r="V451" s="1"/>
      <c r="AB451" s="1"/>
      <c r="AD451" s="1"/>
      <c r="AE451" s="1"/>
      <c r="AH451" s="1"/>
      <c r="AI451" s="1"/>
    </row>
    <row r="452" spans="11:35" x14ac:dyDescent="0.3">
      <c r="K452" s="1"/>
      <c r="P452" s="6"/>
      <c r="Q452" s="6"/>
      <c r="R452" s="6"/>
      <c r="S452" s="5"/>
      <c r="T452" s="6"/>
      <c r="U452" s="1"/>
      <c r="V452" s="1"/>
      <c r="AB452" s="1"/>
      <c r="AD452" s="1"/>
      <c r="AE452" s="1"/>
      <c r="AH452" s="1"/>
      <c r="AI452" s="1"/>
    </row>
    <row r="453" spans="11:35" x14ac:dyDescent="0.3">
      <c r="K453" s="1"/>
      <c r="P453" s="6"/>
      <c r="Q453" s="6"/>
      <c r="R453" s="6"/>
      <c r="S453" s="5"/>
      <c r="T453" s="6"/>
      <c r="U453" s="1"/>
      <c r="V453" s="1"/>
      <c r="AB453" s="1"/>
      <c r="AD453" s="1"/>
      <c r="AE453" s="1"/>
      <c r="AH453" s="1"/>
      <c r="AI453" s="1"/>
    </row>
    <row r="454" spans="11:35" x14ac:dyDescent="0.3">
      <c r="K454" s="1"/>
      <c r="P454" s="6"/>
      <c r="Q454" s="6"/>
      <c r="R454" s="6"/>
      <c r="S454" s="5"/>
      <c r="T454" s="6"/>
      <c r="U454" s="1"/>
      <c r="V454" s="1"/>
      <c r="AB454" s="1"/>
      <c r="AD454" s="1"/>
      <c r="AE454" s="1"/>
      <c r="AH454" s="1"/>
      <c r="AI454" s="1"/>
    </row>
    <row r="455" spans="11:35" x14ac:dyDescent="0.3">
      <c r="K455" s="1"/>
      <c r="P455" s="6"/>
      <c r="Q455" s="6"/>
      <c r="R455" s="6"/>
      <c r="S455" s="5"/>
      <c r="T455" s="6"/>
      <c r="U455" s="1"/>
      <c r="V455" s="1"/>
      <c r="AB455" s="1"/>
      <c r="AD455" s="1"/>
      <c r="AE455" s="1"/>
      <c r="AH455" s="1"/>
      <c r="AI455" s="1"/>
    </row>
    <row r="456" spans="11:35" x14ac:dyDescent="0.3">
      <c r="K456" s="1"/>
      <c r="P456" s="6"/>
      <c r="Q456" s="6"/>
      <c r="R456" s="6"/>
      <c r="S456" s="5"/>
      <c r="T456" s="6"/>
      <c r="U456" s="1"/>
      <c r="V456" s="1"/>
      <c r="AB456" s="1"/>
      <c r="AD456" s="1"/>
      <c r="AE456" s="1"/>
      <c r="AH456" s="1"/>
      <c r="AI456" s="1"/>
    </row>
    <row r="457" spans="11:35" x14ac:dyDescent="0.3">
      <c r="K457" s="1"/>
      <c r="P457" s="6"/>
      <c r="Q457" s="6"/>
      <c r="R457" s="6"/>
      <c r="S457" s="5"/>
      <c r="T457" s="6"/>
      <c r="U457" s="1"/>
      <c r="V457" s="1"/>
      <c r="AB457" s="1"/>
      <c r="AD457" s="1"/>
      <c r="AE457" s="1"/>
      <c r="AH457" s="1"/>
      <c r="AI457" s="1"/>
    </row>
    <row r="458" spans="11:35" x14ac:dyDescent="0.3">
      <c r="K458" s="1"/>
      <c r="P458" s="6"/>
      <c r="Q458" s="6"/>
      <c r="R458" s="6"/>
      <c r="S458" s="5"/>
      <c r="T458" s="6"/>
      <c r="U458" s="1"/>
      <c r="V458" s="1"/>
      <c r="AB458" s="1"/>
      <c r="AD458" s="1"/>
      <c r="AE458" s="1"/>
      <c r="AH458" s="1"/>
      <c r="AI458" s="1"/>
    </row>
    <row r="459" spans="11:35" x14ac:dyDescent="0.3">
      <c r="K459" s="1"/>
      <c r="P459" s="6"/>
      <c r="Q459" s="6"/>
      <c r="R459" s="6"/>
      <c r="S459" s="5"/>
      <c r="T459" s="6"/>
      <c r="U459" s="1"/>
      <c r="V459" s="1"/>
      <c r="AB459" s="1"/>
      <c r="AD459" s="1"/>
      <c r="AE459" s="1"/>
      <c r="AH459" s="1"/>
      <c r="AI459" s="1"/>
    </row>
    <row r="460" spans="11:35" x14ac:dyDescent="0.3">
      <c r="K460" s="1"/>
      <c r="P460" s="6"/>
      <c r="Q460" s="6"/>
      <c r="R460" s="6"/>
      <c r="S460" s="5"/>
      <c r="T460" s="6"/>
      <c r="U460" s="1"/>
      <c r="V460" s="1"/>
      <c r="AB460" s="1"/>
      <c r="AD460" s="1"/>
      <c r="AE460" s="1"/>
      <c r="AH460" s="1"/>
      <c r="AI460" s="1"/>
    </row>
    <row r="461" spans="11:35" x14ac:dyDescent="0.3">
      <c r="K461" s="1"/>
      <c r="P461" s="6"/>
      <c r="Q461" s="6"/>
      <c r="R461" s="6"/>
      <c r="S461" s="5"/>
      <c r="T461" s="6"/>
      <c r="U461" s="1"/>
      <c r="V461" s="1"/>
      <c r="AB461" s="1"/>
      <c r="AD461" s="1"/>
      <c r="AE461" s="1"/>
      <c r="AH461" s="1"/>
      <c r="AI461" s="1"/>
    </row>
    <row r="462" spans="11:35" x14ac:dyDescent="0.3">
      <c r="K462" s="1"/>
      <c r="P462" s="6"/>
      <c r="Q462" s="6"/>
      <c r="R462" s="6"/>
      <c r="S462" s="5"/>
      <c r="T462" s="6"/>
      <c r="U462" s="1"/>
      <c r="V462" s="1"/>
      <c r="AB462" s="1"/>
      <c r="AD462" s="1"/>
      <c r="AE462" s="1"/>
      <c r="AH462" s="1"/>
      <c r="AI462" s="1"/>
    </row>
    <row r="463" spans="11:35" x14ac:dyDescent="0.3">
      <c r="K463" s="1"/>
      <c r="P463" s="6"/>
      <c r="Q463" s="6"/>
      <c r="R463" s="6"/>
      <c r="S463" s="5"/>
      <c r="T463" s="6"/>
      <c r="U463" s="1"/>
      <c r="V463" s="1"/>
      <c r="AB463" s="1"/>
      <c r="AD463" s="1"/>
      <c r="AE463" s="1"/>
      <c r="AH463" s="1"/>
      <c r="AI463" s="1"/>
    </row>
    <row r="464" spans="11:35" x14ac:dyDescent="0.3">
      <c r="K464" s="1"/>
      <c r="P464" s="6"/>
      <c r="Q464" s="6"/>
      <c r="R464" s="6"/>
      <c r="S464" s="5"/>
      <c r="T464" s="6"/>
      <c r="U464" s="1"/>
      <c r="V464" s="1"/>
      <c r="AB464" s="1"/>
      <c r="AD464" s="1"/>
      <c r="AE464" s="1"/>
      <c r="AH464" s="1"/>
      <c r="AI464" s="1"/>
    </row>
    <row r="465" spans="11:35" x14ac:dyDescent="0.3">
      <c r="K465" s="1"/>
      <c r="P465" s="6"/>
      <c r="Q465" s="6"/>
      <c r="R465" s="6"/>
      <c r="S465" s="5"/>
      <c r="T465" s="6"/>
      <c r="U465" s="1"/>
      <c r="V465" s="1"/>
      <c r="AB465" s="1"/>
      <c r="AD465" s="1"/>
      <c r="AE465" s="1"/>
      <c r="AH465" s="1"/>
      <c r="AI465" s="1"/>
    </row>
    <row r="466" spans="11:35" x14ac:dyDescent="0.3">
      <c r="K466" s="1"/>
      <c r="P466" s="6"/>
      <c r="Q466" s="6"/>
      <c r="R466" s="6"/>
      <c r="S466" s="5"/>
      <c r="T466" s="6"/>
      <c r="U466" s="1"/>
      <c r="V466" s="1"/>
      <c r="AB466" s="1"/>
      <c r="AD466" s="1"/>
      <c r="AE466" s="1"/>
      <c r="AH466" s="1"/>
      <c r="AI466" s="1"/>
    </row>
    <row r="467" spans="11:35" x14ac:dyDescent="0.3">
      <c r="K467" s="1"/>
      <c r="P467" s="6"/>
      <c r="Q467" s="6"/>
      <c r="R467" s="6"/>
      <c r="S467" s="5"/>
      <c r="T467" s="6"/>
      <c r="U467" s="1"/>
      <c r="V467" s="1"/>
      <c r="AB467" s="1"/>
      <c r="AD467" s="1"/>
      <c r="AE467" s="1"/>
      <c r="AH467" s="1"/>
      <c r="AI467" s="1"/>
    </row>
    <row r="468" spans="11:35" x14ac:dyDescent="0.3">
      <c r="K468" s="1"/>
      <c r="P468" s="6"/>
      <c r="Q468" s="6"/>
      <c r="R468" s="6"/>
      <c r="S468" s="5"/>
      <c r="T468" s="6"/>
      <c r="U468" s="1"/>
      <c r="V468" s="1"/>
      <c r="AB468" s="1"/>
      <c r="AD468" s="1"/>
      <c r="AE468" s="1"/>
      <c r="AH468" s="1"/>
      <c r="AI468" s="1"/>
    </row>
    <row r="469" spans="11:35" x14ac:dyDescent="0.3">
      <c r="K469" s="1"/>
      <c r="P469" s="6"/>
      <c r="Q469" s="6"/>
      <c r="R469" s="6"/>
      <c r="S469" s="5"/>
      <c r="T469" s="6"/>
      <c r="U469" s="1"/>
      <c r="V469" s="1"/>
      <c r="AB469" s="1"/>
      <c r="AD469" s="1"/>
      <c r="AE469" s="1"/>
      <c r="AH469" s="1"/>
      <c r="AI469" s="1"/>
    </row>
    <row r="470" spans="11:35" x14ac:dyDescent="0.3">
      <c r="K470" s="1"/>
      <c r="P470" s="6"/>
      <c r="Q470" s="6"/>
      <c r="R470" s="6"/>
      <c r="S470" s="5"/>
      <c r="T470" s="6"/>
      <c r="U470" s="1"/>
      <c r="V470" s="1"/>
      <c r="AB470" s="1"/>
      <c r="AD470" s="1"/>
      <c r="AE470" s="1"/>
      <c r="AH470" s="1"/>
      <c r="AI470" s="1"/>
    </row>
    <row r="471" spans="11:35" x14ac:dyDescent="0.3">
      <c r="K471" s="1"/>
      <c r="P471" s="6"/>
      <c r="Q471" s="6"/>
      <c r="R471" s="6"/>
      <c r="S471" s="5"/>
      <c r="T471" s="6"/>
      <c r="U471" s="1"/>
      <c r="V471" s="1"/>
      <c r="AB471" s="1"/>
      <c r="AD471" s="1"/>
      <c r="AE471" s="1"/>
      <c r="AH471" s="1"/>
      <c r="AI471" s="1"/>
    </row>
    <row r="472" spans="11:35" x14ac:dyDescent="0.3">
      <c r="K472" s="1"/>
      <c r="P472" s="6"/>
      <c r="Q472" s="6"/>
      <c r="R472" s="6"/>
      <c r="S472" s="5"/>
      <c r="T472" s="6"/>
      <c r="U472" s="1"/>
      <c r="V472" s="1"/>
      <c r="AB472" s="1"/>
      <c r="AD472" s="1"/>
      <c r="AE472" s="1"/>
      <c r="AH472" s="1"/>
      <c r="AI472" s="1"/>
    </row>
    <row r="473" spans="11:35" x14ac:dyDescent="0.3">
      <c r="K473" s="1"/>
      <c r="P473" s="6"/>
      <c r="Q473" s="6"/>
      <c r="R473" s="6"/>
      <c r="S473" s="5"/>
      <c r="T473" s="6"/>
      <c r="U473" s="1"/>
      <c r="V473" s="1"/>
      <c r="AB473" s="1"/>
      <c r="AD473" s="1"/>
      <c r="AE473" s="1"/>
      <c r="AH473" s="1"/>
      <c r="AI473" s="1"/>
    </row>
    <row r="474" spans="11:35" x14ac:dyDescent="0.3">
      <c r="K474" s="1"/>
      <c r="P474" s="6"/>
      <c r="Q474" s="6"/>
      <c r="R474" s="6"/>
      <c r="S474" s="5"/>
      <c r="T474" s="6"/>
      <c r="U474" s="1"/>
      <c r="V474" s="1"/>
      <c r="AB474" s="1"/>
      <c r="AD474" s="1"/>
      <c r="AE474" s="1"/>
      <c r="AH474" s="1"/>
      <c r="AI474" s="1"/>
    </row>
    <row r="475" spans="11:35" x14ac:dyDescent="0.3">
      <c r="K475" s="1"/>
      <c r="P475" s="6"/>
      <c r="Q475" s="6"/>
      <c r="R475" s="6"/>
      <c r="S475" s="5"/>
      <c r="T475" s="6"/>
      <c r="U475" s="1"/>
      <c r="V475" s="1"/>
      <c r="AB475" s="1"/>
      <c r="AD475" s="1"/>
      <c r="AE475" s="1"/>
      <c r="AH475" s="1"/>
      <c r="AI475" s="1"/>
    </row>
    <row r="476" spans="11:35" x14ac:dyDescent="0.3">
      <c r="K476" s="1"/>
      <c r="P476" s="6"/>
      <c r="Q476" s="6"/>
      <c r="R476" s="6"/>
      <c r="S476" s="5"/>
      <c r="T476" s="6"/>
      <c r="U476" s="1"/>
      <c r="V476" s="1"/>
      <c r="AB476" s="1"/>
      <c r="AD476" s="1"/>
      <c r="AE476" s="1"/>
      <c r="AH476" s="1"/>
      <c r="AI476" s="1"/>
    </row>
    <row r="477" spans="11:35" x14ac:dyDescent="0.3">
      <c r="K477" s="1"/>
      <c r="P477" s="6"/>
      <c r="Q477" s="6"/>
      <c r="R477" s="6"/>
      <c r="S477" s="5"/>
      <c r="T477" s="6"/>
      <c r="U477" s="1"/>
      <c r="V477" s="1"/>
      <c r="AB477" s="1"/>
      <c r="AD477" s="1"/>
      <c r="AE477" s="1"/>
      <c r="AH477" s="1"/>
      <c r="AI477" s="1"/>
    </row>
    <row r="478" spans="11:35" x14ac:dyDescent="0.3">
      <c r="K478" s="1"/>
      <c r="P478" s="6"/>
      <c r="Q478" s="6"/>
      <c r="R478" s="6"/>
      <c r="S478" s="5"/>
      <c r="T478" s="6"/>
      <c r="U478" s="1"/>
      <c r="V478" s="1"/>
      <c r="AB478" s="1"/>
      <c r="AD478" s="1"/>
      <c r="AE478" s="1"/>
      <c r="AH478" s="1"/>
      <c r="AI478" s="1"/>
    </row>
    <row r="479" spans="11:35" x14ac:dyDescent="0.3">
      <c r="K479" s="1"/>
      <c r="P479" s="6"/>
      <c r="Q479" s="6"/>
      <c r="R479" s="6"/>
      <c r="S479" s="5"/>
      <c r="T479" s="6"/>
      <c r="U479" s="1"/>
      <c r="V479" s="1"/>
      <c r="AB479" s="1"/>
      <c r="AD479" s="1"/>
      <c r="AE479" s="1"/>
      <c r="AH479" s="1"/>
      <c r="AI479" s="1"/>
    </row>
    <row r="480" spans="11:35" x14ac:dyDescent="0.3">
      <c r="K480" s="1"/>
      <c r="P480" s="6"/>
      <c r="Q480" s="6"/>
      <c r="R480" s="6"/>
      <c r="S480" s="5"/>
      <c r="T480" s="6"/>
      <c r="U480" s="1"/>
      <c r="V480" s="1"/>
      <c r="AB480" s="1"/>
      <c r="AD480" s="1"/>
      <c r="AE480" s="1"/>
      <c r="AH480" s="1"/>
      <c r="AI480" s="1"/>
    </row>
    <row r="481" spans="11:35" x14ac:dyDescent="0.3">
      <c r="K481" s="1"/>
      <c r="P481" s="6"/>
      <c r="Q481" s="6"/>
      <c r="R481" s="6"/>
      <c r="S481" s="5"/>
      <c r="T481" s="6"/>
      <c r="U481" s="1"/>
      <c r="V481" s="1"/>
      <c r="AB481" s="1"/>
      <c r="AD481" s="1"/>
      <c r="AE481" s="1"/>
      <c r="AH481" s="1"/>
      <c r="AI481" s="1"/>
    </row>
    <row r="482" spans="11:35" x14ac:dyDescent="0.3">
      <c r="K482" s="1"/>
      <c r="P482" s="6"/>
      <c r="Q482" s="6"/>
      <c r="R482" s="6"/>
      <c r="S482" s="5"/>
      <c r="T482" s="6"/>
      <c r="U482" s="1"/>
      <c r="V482" s="1"/>
      <c r="AB482" s="1"/>
      <c r="AD482" s="1"/>
      <c r="AE482" s="1"/>
      <c r="AH482" s="1"/>
      <c r="AI482" s="1"/>
    </row>
    <row r="483" spans="11:35" x14ac:dyDescent="0.3">
      <c r="K483" s="1"/>
      <c r="P483" s="6"/>
      <c r="Q483" s="6"/>
      <c r="R483" s="6"/>
      <c r="S483" s="5"/>
      <c r="T483" s="6"/>
      <c r="U483" s="1"/>
      <c r="V483" s="1"/>
      <c r="AB483" s="1"/>
      <c r="AD483" s="1"/>
      <c r="AE483" s="1"/>
      <c r="AH483" s="1"/>
      <c r="AI483" s="1"/>
    </row>
    <row r="484" spans="11:35" x14ac:dyDescent="0.3">
      <c r="K484" s="1"/>
      <c r="P484" s="6"/>
      <c r="Q484" s="6"/>
      <c r="R484" s="6"/>
      <c r="S484" s="5"/>
      <c r="T484" s="6"/>
      <c r="U484" s="1"/>
      <c r="V484" s="1"/>
      <c r="AB484" s="1"/>
      <c r="AD484" s="1"/>
      <c r="AE484" s="1"/>
      <c r="AH484" s="1"/>
      <c r="AI484" s="1"/>
    </row>
    <row r="485" spans="11:35" x14ac:dyDescent="0.3">
      <c r="K485" s="1"/>
      <c r="P485" s="6"/>
      <c r="Q485" s="6"/>
      <c r="R485" s="6"/>
      <c r="S485" s="5"/>
      <c r="T485" s="6"/>
      <c r="U485" s="1"/>
      <c r="V485" s="1"/>
      <c r="AB485" s="1"/>
      <c r="AD485" s="1"/>
      <c r="AE485" s="1"/>
      <c r="AH485" s="1"/>
      <c r="AI485" s="1"/>
    </row>
    <row r="486" spans="11:35" x14ac:dyDescent="0.3">
      <c r="K486" s="1"/>
      <c r="P486" s="6"/>
      <c r="Q486" s="6"/>
      <c r="R486" s="6"/>
      <c r="S486" s="5"/>
      <c r="T486" s="6"/>
      <c r="U486" s="1"/>
      <c r="V486" s="1"/>
      <c r="AB486" s="1"/>
      <c r="AD486" s="1"/>
      <c r="AE486" s="1"/>
      <c r="AH486" s="1"/>
      <c r="AI486" s="1"/>
    </row>
    <row r="487" spans="11:35" x14ac:dyDescent="0.3">
      <c r="K487" s="1"/>
      <c r="P487" s="6"/>
      <c r="Q487" s="6"/>
      <c r="R487" s="6"/>
      <c r="S487" s="5"/>
      <c r="T487" s="6"/>
      <c r="U487" s="1"/>
      <c r="V487" s="1"/>
      <c r="AB487" s="1"/>
      <c r="AD487" s="1"/>
      <c r="AE487" s="1"/>
      <c r="AH487" s="1"/>
      <c r="AI487" s="1"/>
    </row>
    <row r="488" spans="11:35" x14ac:dyDescent="0.3">
      <c r="K488" s="1"/>
      <c r="P488" s="6"/>
      <c r="Q488" s="6"/>
      <c r="R488" s="6"/>
      <c r="S488" s="5"/>
      <c r="T488" s="6"/>
      <c r="U488" s="1"/>
      <c r="V488" s="1"/>
      <c r="AB488" s="1"/>
      <c r="AD488" s="1"/>
      <c r="AE488" s="1"/>
      <c r="AH488" s="1"/>
      <c r="AI488" s="1"/>
    </row>
    <row r="489" spans="11:35" x14ac:dyDescent="0.3">
      <c r="K489" s="1"/>
      <c r="P489" s="6"/>
      <c r="Q489" s="6"/>
      <c r="R489" s="6"/>
      <c r="S489" s="5"/>
      <c r="T489" s="6"/>
      <c r="U489" s="1"/>
      <c r="V489" s="1"/>
      <c r="AB489" s="1"/>
      <c r="AD489" s="1"/>
      <c r="AE489" s="1"/>
      <c r="AH489" s="1"/>
      <c r="AI489" s="1"/>
    </row>
    <row r="490" spans="11:35" x14ac:dyDescent="0.3">
      <c r="K490" s="1"/>
      <c r="P490" s="6"/>
      <c r="Q490" s="6"/>
      <c r="R490" s="6"/>
      <c r="S490" s="5"/>
      <c r="T490" s="6"/>
      <c r="U490" s="1"/>
      <c r="V490" s="1"/>
      <c r="AB490" s="1"/>
      <c r="AD490" s="1"/>
      <c r="AE490" s="1"/>
      <c r="AH490" s="1"/>
      <c r="AI490" s="1"/>
    </row>
    <row r="491" spans="11:35" x14ac:dyDescent="0.3">
      <c r="K491" s="1"/>
      <c r="P491" s="6"/>
      <c r="Q491" s="6"/>
      <c r="R491" s="6"/>
      <c r="S491" s="5"/>
      <c r="T491" s="6"/>
      <c r="U491" s="1"/>
      <c r="V491" s="1"/>
      <c r="AB491" s="1"/>
      <c r="AD491" s="1"/>
      <c r="AE491" s="1"/>
      <c r="AH491" s="1"/>
      <c r="AI491" s="1"/>
    </row>
    <row r="492" spans="11:35" x14ac:dyDescent="0.3">
      <c r="K492" s="1"/>
      <c r="P492" s="6"/>
      <c r="Q492" s="6"/>
      <c r="R492" s="6"/>
      <c r="S492" s="5"/>
      <c r="T492" s="6"/>
      <c r="U492" s="1"/>
      <c r="V492" s="1"/>
      <c r="AB492" s="1"/>
      <c r="AD492" s="1"/>
      <c r="AE492" s="1"/>
      <c r="AH492" s="1"/>
      <c r="AI492" s="1"/>
    </row>
    <row r="493" spans="11:35" x14ac:dyDescent="0.3">
      <c r="K493" s="1"/>
      <c r="P493" s="6"/>
      <c r="Q493" s="6"/>
      <c r="R493" s="6"/>
      <c r="S493" s="5"/>
      <c r="T493" s="6"/>
      <c r="U493" s="1"/>
      <c r="V493" s="1"/>
      <c r="AB493" s="1"/>
      <c r="AD493" s="1"/>
      <c r="AE493" s="1"/>
      <c r="AH493" s="1"/>
      <c r="AI493" s="1"/>
    </row>
    <row r="494" spans="11:35" x14ac:dyDescent="0.3">
      <c r="K494" s="1"/>
      <c r="P494" s="6"/>
      <c r="Q494" s="6"/>
      <c r="R494" s="6"/>
      <c r="S494" s="5"/>
      <c r="T494" s="6"/>
      <c r="U494" s="1"/>
      <c r="V494" s="1"/>
      <c r="AB494" s="1"/>
      <c r="AD494" s="1"/>
      <c r="AE494" s="1"/>
      <c r="AH494" s="1"/>
      <c r="AI494" s="1"/>
    </row>
    <row r="495" spans="11:35" x14ac:dyDescent="0.3">
      <c r="K495" s="1"/>
      <c r="P495" s="6"/>
      <c r="Q495" s="6"/>
      <c r="R495" s="6"/>
      <c r="S495" s="5"/>
      <c r="T495" s="6"/>
      <c r="U495" s="1"/>
      <c r="V495" s="1"/>
      <c r="AB495" s="1"/>
      <c r="AD495" s="1"/>
      <c r="AE495" s="1"/>
      <c r="AH495" s="1"/>
      <c r="AI495" s="1"/>
    </row>
    <row r="496" spans="11:35" x14ac:dyDescent="0.3">
      <c r="K496" s="1"/>
      <c r="P496" s="6"/>
      <c r="Q496" s="6"/>
      <c r="R496" s="6"/>
      <c r="S496" s="5"/>
      <c r="T496" s="6"/>
      <c r="U496" s="1"/>
      <c r="V496" s="1"/>
      <c r="AB496" s="1"/>
      <c r="AD496" s="1"/>
      <c r="AE496" s="1"/>
      <c r="AH496" s="1"/>
      <c r="AI496" s="1"/>
    </row>
    <row r="497" spans="11:35" x14ac:dyDescent="0.3">
      <c r="K497" s="1"/>
      <c r="P497" s="6"/>
      <c r="Q497" s="6"/>
      <c r="R497" s="6"/>
      <c r="S497" s="5"/>
      <c r="T497" s="6"/>
      <c r="U497" s="1"/>
      <c r="V497" s="1"/>
      <c r="AB497" s="1"/>
      <c r="AD497" s="1"/>
      <c r="AE497" s="1"/>
      <c r="AH497" s="1"/>
      <c r="AI497" s="1"/>
    </row>
    <row r="498" spans="11:35" x14ac:dyDescent="0.3">
      <c r="K498" s="1"/>
      <c r="P498" s="6"/>
      <c r="Q498" s="6"/>
      <c r="R498" s="6"/>
      <c r="S498" s="5"/>
      <c r="T498" s="6"/>
      <c r="U498" s="1"/>
      <c r="V498" s="1"/>
      <c r="AB498" s="1"/>
      <c r="AD498" s="1"/>
      <c r="AE498" s="1"/>
      <c r="AH498" s="1"/>
      <c r="AI498" s="1"/>
    </row>
    <row r="499" spans="11:35" x14ac:dyDescent="0.3">
      <c r="K499" s="1"/>
      <c r="P499" s="6"/>
      <c r="Q499" s="6"/>
      <c r="R499" s="6"/>
      <c r="S499" s="5"/>
      <c r="T499" s="6"/>
      <c r="U499" s="1"/>
      <c r="V499" s="1"/>
      <c r="AB499" s="1"/>
      <c r="AD499" s="1"/>
      <c r="AE499" s="1"/>
      <c r="AH499" s="1"/>
      <c r="AI499" s="1"/>
    </row>
    <row r="500" spans="11:35" x14ac:dyDescent="0.3">
      <c r="K500" s="1"/>
      <c r="P500" s="6"/>
      <c r="Q500" s="6"/>
      <c r="R500" s="6"/>
      <c r="S500" s="5"/>
      <c r="T500" s="6"/>
      <c r="U500" s="1"/>
      <c r="V500" s="1"/>
      <c r="AB500" s="1"/>
      <c r="AD500" s="1"/>
      <c r="AE500" s="1"/>
      <c r="AH500" s="1"/>
      <c r="AI500" s="1"/>
    </row>
    <row r="501" spans="11:35" x14ac:dyDescent="0.3">
      <c r="K501" s="1"/>
      <c r="P501" s="6"/>
      <c r="Q501" s="6"/>
      <c r="R501" s="6"/>
      <c r="S501" s="5"/>
      <c r="T501" s="6"/>
      <c r="U501" s="1"/>
      <c r="V501" s="1"/>
      <c r="AB501" s="1"/>
      <c r="AD501" s="1"/>
      <c r="AE501" s="1"/>
      <c r="AH501" s="1"/>
      <c r="AI501" s="1"/>
    </row>
    <row r="502" spans="11:35" x14ac:dyDescent="0.3">
      <c r="K502" s="1"/>
      <c r="P502" s="6"/>
      <c r="Q502" s="6"/>
      <c r="R502" s="6"/>
      <c r="S502" s="5"/>
      <c r="T502" s="6"/>
      <c r="U502" s="1"/>
      <c r="V502" s="1"/>
      <c r="AB502" s="1"/>
      <c r="AD502" s="1"/>
      <c r="AE502" s="1"/>
      <c r="AH502" s="1"/>
      <c r="AI502" s="1"/>
    </row>
    <row r="503" spans="11:35" x14ac:dyDescent="0.3">
      <c r="K503" s="1"/>
      <c r="P503" s="6"/>
      <c r="Q503" s="6"/>
      <c r="R503" s="6"/>
      <c r="S503" s="5"/>
      <c r="T503" s="6"/>
      <c r="U503" s="1"/>
      <c r="V503" s="1"/>
      <c r="AB503" s="1"/>
      <c r="AD503" s="1"/>
      <c r="AE503" s="1"/>
      <c r="AH503" s="1"/>
      <c r="AI503" s="1"/>
    </row>
    <row r="504" spans="11:35" x14ac:dyDescent="0.3">
      <c r="K504" s="1"/>
      <c r="P504" s="6"/>
      <c r="Q504" s="6"/>
      <c r="R504" s="6"/>
      <c r="S504" s="5"/>
      <c r="T504" s="6"/>
      <c r="U504" s="1"/>
      <c r="V504" s="1"/>
      <c r="AB504" s="1"/>
      <c r="AD504" s="1"/>
      <c r="AE504" s="1"/>
      <c r="AH504" s="1"/>
      <c r="AI504" s="1"/>
    </row>
    <row r="505" spans="11:35" x14ac:dyDescent="0.3">
      <c r="K505" s="1"/>
      <c r="P505" s="6"/>
      <c r="Q505" s="6"/>
      <c r="R505" s="6"/>
      <c r="S505" s="5"/>
      <c r="T505" s="6"/>
      <c r="U505" s="1"/>
      <c r="V505" s="1"/>
      <c r="AB505" s="1"/>
      <c r="AD505" s="1"/>
      <c r="AE505" s="1"/>
      <c r="AH505" s="1"/>
      <c r="AI505" s="1"/>
    </row>
    <row r="506" spans="11:35" x14ac:dyDescent="0.3">
      <c r="K506" s="1"/>
      <c r="P506" s="6"/>
      <c r="Q506" s="6"/>
      <c r="R506" s="6"/>
      <c r="S506" s="5"/>
      <c r="T506" s="6"/>
      <c r="U506" s="1"/>
      <c r="V506" s="1"/>
      <c r="AB506" s="1"/>
      <c r="AD506" s="1"/>
      <c r="AE506" s="1"/>
      <c r="AH506" s="1"/>
      <c r="AI506" s="1"/>
    </row>
    <row r="507" spans="11:35" x14ac:dyDescent="0.3">
      <c r="K507" s="1"/>
      <c r="P507" s="6"/>
      <c r="Q507" s="6"/>
      <c r="R507" s="6"/>
      <c r="S507" s="5"/>
      <c r="T507" s="6"/>
      <c r="U507" s="1"/>
      <c r="V507" s="1"/>
      <c r="AB507" s="1"/>
      <c r="AD507" s="1"/>
      <c r="AE507" s="1"/>
      <c r="AH507" s="1"/>
      <c r="AI507" s="1"/>
    </row>
    <row r="508" spans="11:35" x14ac:dyDescent="0.3">
      <c r="K508" s="1"/>
      <c r="P508" s="6"/>
      <c r="Q508" s="6"/>
      <c r="R508" s="6"/>
      <c r="S508" s="5"/>
      <c r="T508" s="6"/>
      <c r="U508" s="1"/>
      <c r="V508" s="1"/>
      <c r="AB508" s="1"/>
      <c r="AD508" s="1"/>
      <c r="AE508" s="1"/>
      <c r="AH508" s="1"/>
      <c r="AI508" s="1"/>
    </row>
    <row r="509" spans="11:35" x14ac:dyDescent="0.3">
      <c r="K509" s="1"/>
      <c r="P509" s="6"/>
      <c r="Q509" s="6"/>
      <c r="R509" s="6"/>
      <c r="S509" s="5"/>
      <c r="T509" s="6"/>
      <c r="U509" s="1"/>
      <c r="V509" s="1"/>
      <c r="AB509" s="1"/>
      <c r="AD509" s="1"/>
      <c r="AE509" s="1"/>
      <c r="AH509" s="1"/>
      <c r="AI509" s="1"/>
    </row>
    <row r="510" spans="11:35" x14ac:dyDescent="0.3">
      <c r="K510" s="1"/>
      <c r="P510" s="6"/>
      <c r="Q510" s="6"/>
      <c r="R510" s="6"/>
      <c r="S510" s="5"/>
      <c r="T510" s="6"/>
      <c r="U510" s="1"/>
      <c r="V510" s="1"/>
      <c r="AB510" s="1"/>
      <c r="AD510" s="1"/>
      <c r="AE510" s="1"/>
      <c r="AH510" s="1"/>
      <c r="AI510" s="1"/>
    </row>
    <row r="511" spans="11:35" x14ac:dyDescent="0.3">
      <c r="K511" s="1"/>
      <c r="P511" s="6"/>
      <c r="Q511" s="6"/>
      <c r="R511" s="6"/>
      <c r="S511" s="5"/>
      <c r="T511" s="6"/>
      <c r="U511" s="1"/>
      <c r="V511" s="1"/>
      <c r="AB511" s="1"/>
      <c r="AD511" s="1"/>
      <c r="AE511" s="1"/>
      <c r="AH511" s="1"/>
      <c r="AI511" s="1"/>
    </row>
    <row r="512" spans="11:35" x14ac:dyDescent="0.3">
      <c r="K512" s="1"/>
      <c r="P512" s="6"/>
      <c r="Q512" s="6"/>
      <c r="R512" s="6"/>
      <c r="S512" s="5"/>
      <c r="T512" s="6"/>
      <c r="U512" s="1"/>
      <c r="V512" s="1"/>
      <c r="AB512" s="1"/>
      <c r="AD512" s="1"/>
      <c r="AE512" s="1"/>
      <c r="AH512" s="1"/>
      <c r="AI512" s="1"/>
    </row>
    <row r="513" spans="11:35" x14ac:dyDescent="0.3">
      <c r="K513" s="1"/>
      <c r="P513" s="6"/>
      <c r="Q513" s="6"/>
      <c r="R513" s="6"/>
      <c r="S513" s="5"/>
      <c r="T513" s="6"/>
      <c r="U513" s="1"/>
      <c r="V513" s="1"/>
      <c r="AB513" s="1"/>
      <c r="AD513" s="1"/>
      <c r="AE513" s="1"/>
      <c r="AH513" s="1"/>
      <c r="AI513" s="1"/>
    </row>
    <row r="514" spans="11:35" x14ac:dyDescent="0.3">
      <c r="K514" s="1"/>
      <c r="P514" s="6"/>
      <c r="Q514" s="6"/>
      <c r="R514" s="6"/>
      <c r="S514" s="5"/>
      <c r="T514" s="6"/>
      <c r="U514" s="1"/>
      <c r="V514" s="1"/>
      <c r="AB514" s="1"/>
      <c r="AD514" s="1"/>
      <c r="AE514" s="1"/>
      <c r="AH514" s="1"/>
      <c r="AI514" s="1"/>
    </row>
    <row r="515" spans="11:35" x14ac:dyDescent="0.3">
      <c r="K515" s="1"/>
      <c r="P515" s="6"/>
      <c r="Q515" s="6"/>
      <c r="R515" s="6"/>
      <c r="S515" s="5"/>
      <c r="T515" s="6"/>
      <c r="U515" s="1"/>
      <c r="V515" s="1"/>
      <c r="AB515" s="1"/>
      <c r="AD515" s="1"/>
      <c r="AE515" s="1"/>
      <c r="AH515" s="1"/>
      <c r="AI515" s="1"/>
    </row>
    <row r="516" spans="11:35" x14ac:dyDescent="0.3">
      <c r="K516" s="1"/>
      <c r="P516" s="6"/>
      <c r="Q516" s="6"/>
      <c r="R516" s="6"/>
      <c r="S516" s="5"/>
      <c r="T516" s="6"/>
      <c r="U516" s="1"/>
      <c r="V516" s="1"/>
      <c r="AB516" s="1"/>
      <c r="AD516" s="1"/>
      <c r="AE516" s="1"/>
      <c r="AH516" s="1"/>
      <c r="AI516" s="1"/>
    </row>
    <row r="517" spans="11:35" x14ac:dyDescent="0.3">
      <c r="K517" s="1"/>
      <c r="P517" s="6"/>
      <c r="Q517" s="6"/>
      <c r="R517" s="6"/>
      <c r="S517" s="5"/>
      <c r="T517" s="6"/>
      <c r="U517" s="1"/>
      <c r="V517" s="1"/>
      <c r="AB517" s="1"/>
      <c r="AD517" s="1"/>
      <c r="AE517" s="1"/>
      <c r="AH517" s="1"/>
      <c r="AI517" s="1"/>
    </row>
    <row r="518" spans="11:35" x14ac:dyDescent="0.3">
      <c r="K518" s="1"/>
      <c r="P518" s="6"/>
      <c r="Q518" s="6"/>
      <c r="R518" s="6"/>
      <c r="S518" s="5"/>
      <c r="T518" s="6"/>
      <c r="U518" s="1"/>
      <c r="V518" s="1"/>
      <c r="AB518" s="1"/>
      <c r="AD518" s="1"/>
      <c r="AE518" s="1"/>
      <c r="AH518" s="1"/>
      <c r="AI518" s="1"/>
    </row>
    <row r="519" spans="11:35" x14ac:dyDescent="0.3">
      <c r="K519" s="1"/>
      <c r="P519" s="6"/>
      <c r="Q519" s="6"/>
      <c r="R519" s="6"/>
      <c r="S519" s="5"/>
      <c r="T519" s="6"/>
      <c r="U519" s="1"/>
      <c r="V519" s="1"/>
      <c r="AB519" s="1"/>
      <c r="AD519" s="1"/>
      <c r="AE519" s="1"/>
      <c r="AH519" s="1"/>
      <c r="AI519" s="1"/>
    </row>
    <row r="520" spans="11:35" x14ac:dyDescent="0.3">
      <c r="K520" s="1"/>
      <c r="P520" s="6"/>
      <c r="Q520" s="6"/>
      <c r="R520" s="6"/>
      <c r="S520" s="5"/>
      <c r="T520" s="6"/>
      <c r="U520" s="1"/>
      <c r="V520" s="1"/>
      <c r="AB520" s="1"/>
      <c r="AD520" s="1"/>
      <c r="AE520" s="1"/>
      <c r="AH520" s="1"/>
      <c r="AI520" s="1"/>
    </row>
    <row r="521" spans="11:35" x14ac:dyDescent="0.3">
      <c r="K521" s="1"/>
      <c r="P521" s="6"/>
      <c r="Q521" s="6"/>
      <c r="R521" s="6"/>
      <c r="S521" s="5"/>
      <c r="T521" s="6"/>
      <c r="U521" s="1"/>
      <c r="V521" s="1"/>
      <c r="AB521" s="1"/>
      <c r="AD521" s="1"/>
      <c r="AE521" s="1"/>
      <c r="AH521" s="1"/>
      <c r="AI521" s="1"/>
    </row>
    <row r="522" spans="11:35" x14ac:dyDescent="0.3">
      <c r="K522" s="1"/>
      <c r="P522" s="6"/>
      <c r="Q522" s="6"/>
      <c r="R522" s="6"/>
      <c r="S522" s="5"/>
      <c r="T522" s="6"/>
      <c r="U522" s="1"/>
      <c r="V522" s="1"/>
      <c r="AB522" s="1"/>
      <c r="AD522" s="1"/>
      <c r="AE522" s="1"/>
      <c r="AH522" s="1"/>
      <c r="AI522" s="1"/>
    </row>
    <row r="523" spans="11:35" x14ac:dyDescent="0.3">
      <c r="K523" s="1"/>
      <c r="P523" s="6"/>
      <c r="Q523" s="6"/>
      <c r="R523" s="6"/>
      <c r="S523" s="5"/>
      <c r="T523" s="6"/>
      <c r="U523" s="1"/>
      <c r="V523" s="1"/>
      <c r="AB523" s="1"/>
      <c r="AD523" s="1"/>
      <c r="AE523" s="1"/>
      <c r="AH523" s="1"/>
      <c r="AI523" s="1"/>
    </row>
    <row r="524" spans="11:35" x14ac:dyDescent="0.3">
      <c r="K524" s="1"/>
      <c r="P524" s="6"/>
      <c r="Q524" s="6"/>
      <c r="R524" s="6"/>
      <c r="S524" s="5"/>
      <c r="T524" s="6"/>
      <c r="U524" s="1"/>
      <c r="V524" s="1"/>
      <c r="AB524" s="1"/>
      <c r="AD524" s="1"/>
      <c r="AE524" s="1"/>
      <c r="AH524" s="1"/>
      <c r="AI524" s="1"/>
    </row>
    <row r="525" spans="11:35" x14ac:dyDescent="0.3">
      <c r="K525" s="1"/>
      <c r="P525" s="6"/>
      <c r="Q525" s="6"/>
      <c r="R525" s="6"/>
      <c r="S525" s="5"/>
      <c r="T525" s="6"/>
      <c r="U525" s="1"/>
      <c r="V525" s="1"/>
      <c r="AB525" s="1"/>
      <c r="AD525" s="1"/>
      <c r="AE525" s="1"/>
      <c r="AH525" s="1"/>
      <c r="AI525" s="1"/>
    </row>
    <row r="526" spans="11:35" x14ac:dyDescent="0.3">
      <c r="K526" s="1"/>
      <c r="P526" s="6"/>
      <c r="Q526" s="6"/>
      <c r="R526" s="6"/>
      <c r="S526" s="5"/>
      <c r="T526" s="6"/>
      <c r="U526" s="1"/>
      <c r="V526" s="1"/>
      <c r="AB526" s="1"/>
      <c r="AD526" s="1"/>
      <c r="AE526" s="1"/>
      <c r="AH526" s="1"/>
      <c r="AI526" s="1"/>
    </row>
    <row r="527" spans="11:35" x14ac:dyDescent="0.3">
      <c r="K527" s="1"/>
      <c r="P527" s="6"/>
      <c r="Q527" s="6"/>
      <c r="R527" s="6"/>
      <c r="S527" s="5"/>
      <c r="T527" s="6"/>
      <c r="U527" s="1"/>
      <c r="V527" s="1"/>
      <c r="AB527" s="1"/>
      <c r="AD527" s="1"/>
      <c r="AE527" s="1"/>
      <c r="AH527" s="1"/>
      <c r="AI527" s="1"/>
    </row>
    <row r="528" spans="11:35" x14ac:dyDescent="0.3">
      <c r="K528" s="1"/>
      <c r="P528" s="6"/>
      <c r="Q528" s="6"/>
      <c r="R528" s="6"/>
      <c r="S528" s="5"/>
      <c r="T528" s="6"/>
      <c r="U528" s="1"/>
      <c r="V528" s="1"/>
      <c r="AB528" s="1"/>
      <c r="AD528" s="1"/>
      <c r="AE528" s="1"/>
      <c r="AH528" s="1"/>
      <c r="AI528" s="1"/>
    </row>
    <row r="529" spans="11:35" x14ac:dyDescent="0.3">
      <c r="K529" s="1"/>
      <c r="P529" s="6"/>
      <c r="Q529" s="6"/>
      <c r="R529" s="6"/>
      <c r="S529" s="5"/>
      <c r="T529" s="6"/>
      <c r="U529" s="1"/>
      <c r="V529" s="1"/>
      <c r="AB529" s="1"/>
      <c r="AD529" s="1"/>
      <c r="AE529" s="1"/>
      <c r="AH529" s="1"/>
      <c r="AI529" s="1"/>
    </row>
    <row r="530" spans="11:35" x14ac:dyDescent="0.3">
      <c r="K530" s="1"/>
      <c r="P530" s="6"/>
      <c r="Q530" s="6"/>
      <c r="R530" s="6"/>
      <c r="S530" s="5"/>
      <c r="T530" s="6"/>
      <c r="U530" s="1"/>
      <c r="V530" s="1"/>
      <c r="AB530" s="1"/>
      <c r="AD530" s="1"/>
      <c r="AE530" s="1"/>
      <c r="AH530" s="1"/>
      <c r="AI530" s="1"/>
    </row>
    <row r="531" spans="11:35" x14ac:dyDescent="0.3">
      <c r="K531" s="1"/>
      <c r="P531" s="6"/>
      <c r="Q531" s="6"/>
      <c r="R531" s="6"/>
      <c r="S531" s="5"/>
      <c r="T531" s="6"/>
      <c r="U531" s="1"/>
      <c r="V531" s="1"/>
      <c r="AB531" s="1"/>
      <c r="AD531" s="1"/>
      <c r="AE531" s="1"/>
      <c r="AH531" s="1"/>
      <c r="AI531" s="1"/>
    </row>
    <row r="532" spans="11:35" x14ac:dyDescent="0.3">
      <c r="K532" s="1"/>
      <c r="P532" s="6"/>
      <c r="Q532" s="6"/>
      <c r="R532" s="6"/>
      <c r="S532" s="5"/>
      <c r="T532" s="6"/>
      <c r="U532" s="1"/>
      <c r="V532" s="1"/>
      <c r="AB532" s="1"/>
      <c r="AD532" s="1"/>
      <c r="AE532" s="1"/>
      <c r="AH532" s="1"/>
      <c r="AI532" s="1"/>
    </row>
    <row r="533" spans="11:35" x14ac:dyDescent="0.3">
      <c r="K533" s="1"/>
      <c r="P533" s="6"/>
      <c r="Q533" s="6"/>
      <c r="R533" s="6"/>
      <c r="S533" s="5"/>
      <c r="T533" s="6"/>
      <c r="U533" s="1"/>
      <c r="V533" s="1"/>
      <c r="AB533" s="1"/>
      <c r="AD533" s="1"/>
      <c r="AE533" s="1"/>
      <c r="AH533" s="1"/>
      <c r="AI533" s="1"/>
    </row>
    <row r="534" spans="11:35" x14ac:dyDescent="0.3">
      <c r="K534" s="1"/>
      <c r="P534" s="6"/>
      <c r="Q534" s="6"/>
      <c r="R534" s="6"/>
      <c r="S534" s="5"/>
      <c r="T534" s="6"/>
      <c r="U534" s="1"/>
      <c r="V534" s="1"/>
      <c r="AB534" s="1"/>
      <c r="AD534" s="1"/>
      <c r="AE534" s="1"/>
      <c r="AH534" s="1"/>
      <c r="AI534" s="1"/>
    </row>
    <row r="535" spans="11:35" x14ac:dyDescent="0.3">
      <c r="K535" s="1"/>
      <c r="P535" s="6"/>
      <c r="Q535" s="6"/>
      <c r="R535" s="6"/>
      <c r="S535" s="5"/>
      <c r="T535" s="6"/>
      <c r="U535" s="1"/>
      <c r="V535" s="1"/>
      <c r="AB535" s="1"/>
      <c r="AD535" s="1"/>
      <c r="AE535" s="1"/>
      <c r="AH535" s="1"/>
      <c r="AI535" s="1"/>
    </row>
    <row r="536" spans="11:35" x14ac:dyDescent="0.3">
      <c r="K536" s="1"/>
      <c r="P536" s="6"/>
      <c r="Q536" s="6"/>
      <c r="R536" s="6"/>
      <c r="S536" s="5"/>
      <c r="T536" s="6"/>
      <c r="U536" s="1"/>
      <c r="V536" s="1"/>
      <c r="AB536" s="1"/>
      <c r="AD536" s="1"/>
      <c r="AE536" s="1"/>
      <c r="AH536" s="1"/>
      <c r="AI536" s="1"/>
    </row>
    <row r="537" spans="11:35" x14ac:dyDescent="0.3">
      <c r="K537" s="1"/>
      <c r="P537" s="6"/>
      <c r="Q537" s="6"/>
      <c r="R537" s="6"/>
      <c r="S537" s="5"/>
      <c r="T537" s="6"/>
      <c r="U537" s="1"/>
      <c r="V537" s="1"/>
      <c r="AB537" s="1"/>
      <c r="AD537" s="1"/>
      <c r="AE537" s="1"/>
      <c r="AH537" s="1"/>
      <c r="AI537" s="1"/>
    </row>
    <row r="538" spans="11:35" x14ac:dyDescent="0.3">
      <c r="K538" s="1"/>
      <c r="P538" s="6"/>
      <c r="Q538" s="6"/>
      <c r="R538" s="6"/>
      <c r="S538" s="5"/>
      <c r="T538" s="6"/>
      <c r="U538" s="1"/>
      <c r="V538" s="1"/>
      <c r="AB538" s="1"/>
      <c r="AD538" s="1"/>
      <c r="AE538" s="1"/>
      <c r="AH538" s="1"/>
      <c r="AI538" s="1"/>
    </row>
    <row r="539" spans="11:35" x14ac:dyDescent="0.3">
      <c r="K539" s="1"/>
      <c r="P539" s="6"/>
      <c r="Q539" s="6"/>
      <c r="R539" s="6"/>
      <c r="S539" s="5"/>
      <c r="T539" s="6"/>
      <c r="U539" s="1"/>
      <c r="V539" s="1"/>
      <c r="AB539" s="1"/>
      <c r="AD539" s="1"/>
      <c r="AE539" s="1"/>
      <c r="AH539" s="1"/>
      <c r="AI539" s="1"/>
    </row>
    <row r="540" spans="11:35" x14ac:dyDescent="0.3">
      <c r="K540" s="1"/>
      <c r="P540" s="6"/>
      <c r="Q540" s="6"/>
      <c r="R540" s="6"/>
      <c r="S540" s="5"/>
      <c r="T540" s="6"/>
      <c r="U540" s="1"/>
      <c r="V540" s="1"/>
      <c r="AB540" s="1"/>
      <c r="AD540" s="1"/>
      <c r="AE540" s="1"/>
      <c r="AH540" s="1"/>
      <c r="AI540" s="1"/>
    </row>
    <row r="541" spans="11:35" x14ac:dyDescent="0.3">
      <c r="K541" s="1"/>
      <c r="P541" s="6"/>
      <c r="Q541" s="6"/>
      <c r="R541" s="6"/>
      <c r="S541" s="5"/>
      <c r="T541" s="6"/>
      <c r="U541" s="1"/>
      <c r="V541" s="1"/>
      <c r="AB541" s="1"/>
      <c r="AD541" s="1"/>
      <c r="AE541" s="1"/>
      <c r="AH541" s="1"/>
      <c r="AI541" s="1"/>
    </row>
    <row r="542" spans="11:35" x14ac:dyDescent="0.3">
      <c r="K542" s="1"/>
      <c r="P542" s="6"/>
      <c r="Q542" s="6"/>
      <c r="R542" s="6"/>
      <c r="S542" s="5"/>
      <c r="T542" s="6"/>
      <c r="U542" s="1"/>
      <c r="V542" s="1"/>
      <c r="AB542" s="1"/>
      <c r="AD542" s="1"/>
      <c r="AE542" s="1"/>
      <c r="AH542" s="1"/>
      <c r="AI542" s="1"/>
    </row>
    <row r="543" spans="11:35" x14ac:dyDescent="0.3">
      <c r="K543" s="1"/>
      <c r="P543" s="6"/>
      <c r="Q543" s="6"/>
      <c r="R543" s="6"/>
      <c r="S543" s="5"/>
      <c r="T543" s="6"/>
      <c r="U543" s="1"/>
      <c r="V543" s="1"/>
      <c r="AB543" s="1"/>
      <c r="AD543" s="1"/>
      <c r="AE543" s="1"/>
      <c r="AH543" s="1"/>
      <c r="AI543" s="1"/>
    </row>
    <row r="544" spans="11:35" x14ac:dyDescent="0.3">
      <c r="K544" s="1"/>
      <c r="P544" s="6"/>
      <c r="Q544" s="6"/>
      <c r="R544" s="6"/>
      <c r="S544" s="5"/>
      <c r="T544" s="6"/>
      <c r="U544" s="1"/>
      <c r="V544" s="1"/>
      <c r="AB544" s="1"/>
      <c r="AD544" s="1"/>
      <c r="AE544" s="1"/>
      <c r="AH544" s="1"/>
      <c r="AI544" s="1"/>
    </row>
    <row r="545" spans="11:35" x14ac:dyDescent="0.3">
      <c r="K545" s="1"/>
      <c r="P545" s="6"/>
      <c r="Q545" s="6"/>
      <c r="R545" s="6"/>
      <c r="S545" s="5"/>
      <c r="T545" s="6"/>
      <c r="U545" s="1"/>
      <c r="V545" s="1"/>
      <c r="AB545" s="1"/>
      <c r="AD545" s="1"/>
      <c r="AE545" s="1"/>
      <c r="AH545" s="1"/>
      <c r="AI545" s="1"/>
    </row>
    <row r="546" spans="11:35" x14ac:dyDescent="0.3">
      <c r="K546" s="1"/>
      <c r="P546" s="6"/>
      <c r="Q546" s="6"/>
      <c r="R546" s="6"/>
      <c r="S546" s="5"/>
      <c r="T546" s="6"/>
      <c r="U546" s="1"/>
      <c r="V546" s="1"/>
      <c r="AB546" s="1"/>
      <c r="AD546" s="1"/>
      <c r="AE546" s="1"/>
      <c r="AH546" s="1"/>
      <c r="AI546" s="1"/>
    </row>
    <row r="547" spans="11:35" x14ac:dyDescent="0.3">
      <c r="K547" s="1"/>
      <c r="P547" s="6"/>
      <c r="Q547" s="6"/>
      <c r="R547" s="6"/>
      <c r="S547" s="5"/>
      <c r="T547" s="6"/>
      <c r="U547" s="1"/>
      <c r="V547" s="1"/>
      <c r="AB547" s="1"/>
      <c r="AD547" s="1"/>
      <c r="AE547" s="1"/>
      <c r="AH547" s="1"/>
      <c r="AI547" s="1"/>
    </row>
    <row r="548" spans="11:35" x14ac:dyDescent="0.3">
      <c r="K548" s="1"/>
      <c r="P548" s="6"/>
      <c r="Q548" s="6"/>
      <c r="R548" s="6"/>
      <c r="S548" s="5"/>
      <c r="T548" s="6"/>
      <c r="U548" s="1"/>
      <c r="V548" s="1"/>
      <c r="AB548" s="1"/>
      <c r="AD548" s="1"/>
      <c r="AE548" s="1"/>
      <c r="AH548" s="1"/>
      <c r="AI548" s="1"/>
    </row>
    <row r="549" spans="11:35" x14ac:dyDescent="0.3">
      <c r="K549" s="1"/>
      <c r="P549" s="6"/>
      <c r="Q549" s="6"/>
      <c r="R549" s="6"/>
      <c r="S549" s="5"/>
      <c r="T549" s="6"/>
      <c r="U549" s="1"/>
      <c r="V549" s="1"/>
      <c r="AB549" s="1"/>
      <c r="AD549" s="1"/>
      <c r="AE549" s="1"/>
      <c r="AH549" s="1"/>
      <c r="AI549" s="1"/>
    </row>
    <row r="550" spans="11:35" x14ac:dyDescent="0.3">
      <c r="K550" s="1"/>
      <c r="P550" s="6"/>
      <c r="Q550" s="6"/>
      <c r="R550" s="6"/>
      <c r="S550" s="5"/>
      <c r="T550" s="6"/>
      <c r="U550" s="1"/>
      <c r="V550" s="1"/>
      <c r="AB550" s="1"/>
      <c r="AD550" s="1"/>
      <c r="AE550" s="1"/>
      <c r="AH550" s="1"/>
      <c r="AI550" s="1"/>
    </row>
    <row r="551" spans="11:35" x14ac:dyDescent="0.3">
      <c r="K551" s="1"/>
      <c r="P551" s="6"/>
      <c r="Q551" s="6"/>
      <c r="R551" s="6"/>
      <c r="S551" s="5"/>
      <c r="T551" s="6"/>
      <c r="U551" s="1"/>
      <c r="V551" s="1"/>
      <c r="AB551" s="1"/>
      <c r="AD551" s="1"/>
      <c r="AE551" s="1"/>
      <c r="AH551" s="1"/>
      <c r="AI551" s="1"/>
    </row>
    <row r="552" spans="11:35" x14ac:dyDescent="0.3">
      <c r="K552" s="1"/>
      <c r="P552" s="6"/>
      <c r="Q552" s="6"/>
      <c r="R552" s="6"/>
      <c r="S552" s="5"/>
      <c r="T552" s="6"/>
      <c r="U552" s="1"/>
      <c r="V552" s="1"/>
      <c r="AB552" s="1"/>
      <c r="AD552" s="1"/>
      <c r="AE552" s="1"/>
      <c r="AH552" s="1"/>
      <c r="AI552" s="1"/>
    </row>
    <row r="553" spans="11:35" x14ac:dyDescent="0.3">
      <c r="K553" s="1"/>
      <c r="P553" s="6"/>
      <c r="Q553" s="6"/>
      <c r="R553" s="6"/>
      <c r="S553" s="5"/>
      <c r="T553" s="6"/>
      <c r="U553" s="1"/>
      <c r="V553" s="1"/>
      <c r="AB553" s="1"/>
      <c r="AD553" s="1"/>
      <c r="AE553" s="1"/>
      <c r="AH553" s="1"/>
      <c r="AI553" s="1"/>
    </row>
    <row r="554" spans="11:35" x14ac:dyDescent="0.3">
      <c r="K554" s="1"/>
      <c r="P554" s="6"/>
      <c r="Q554" s="6"/>
      <c r="R554" s="6"/>
      <c r="S554" s="5"/>
      <c r="T554" s="6"/>
      <c r="U554" s="1"/>
      <c r="V554" s="1"/>
      <c r="AB554" s="1"/>
      <c r="AD554" s="1"/>
      <c r="AE554" s="1"/>
      <c r="AH554" s="1"/>
      <c r="AI554" s="1"/>
    </row>
    <row r="555" spans="11:35" x14ac:dyDescent="0.3">
      <c r="K555" s="1"/>
      <c r="P555" s="6"/>
      <c r="Q555" s="6"/>
      <c r="R555" s="6"/>
      <c r="S555" s="5"/>
      <c r="T555" s="6"/>
      <c r="U555" s="1"/>
      <c r="V555" s="1"/>
      <c r="AB555" s="1"/>
      <c r="AD555" s="1"/>
      <c r="AE555" s="1"/>
      <c r="AH555" s="1"/>
      <c r="AI555" s="1"/>
    </row>
    <row r="556" spans="11:35" x14ac:dyDescent="0.3">
      <c r="K556" s="1"/>
      <c r="P556" s="6"/>
      <c r="Q556" s="6"/>
      <c r="R556" s="6"/>
      <c r="S556" s="5"/>
      <c r="T556" s="6"/>
      <c r="U556" s="1"/>
      <c r="V556" s="1"/>
      <c r="AB556" s="1"/>
      <c r="AD556" s="1"/>
      <c r="AE556" s="1"/>
      <c r="AH556" s="1"/>
      <c r="AI556" s="1"/>
    </row>
    <row r="557" spans="11:35" x14ac:dyDescent="0.3">
      <c r="K557" s="1"/>
      <c r="P557" s="6"/>
      <c r="Q557" s="6"/>
      <c r="R557" s="6"/>
      <c r="S557" s="5"/>
      <c r="T557" s="6"/>
      <c r="U557" s="1"/>
      <c r="V557" s="1"/>
      <c r="AB557" s="1"/>
      <c r="AD557" s="1"/>
      <c r="AE557" s="1"/>
      <c r="AH557" s="1"/>
      <c r="AI557" s="1"/>
    </row>
    <row r="558" spans="11:35" x14ac:dyDescent="0.3">
      <c r="K558" s="1"/>
      <c r="P558" s="6"/>
      <c r="Q558" s="6"/>
      <c r="R558" s="6"/>
      <c r="S558" s="5"/>
      <c r="T558" s="6"/>
      <c r="U558" s="1"/>
      <c r="V558" s="1"/>
      <c r="AB558" s="1"/>
      <c r="AD558" s="1"/>
      <c r="AE558" s="1"/>
      <c r="AH558" s="1"/>
      <c r="AI558" s="1"/>
    </row>
    <row r="559" spans="11:35" x14ac:dyDescent="0.3">
      <c r="K559" s="1"/>
      <c r="P559" s="6"/>
      <c r="Q559" s="6"/>
      <c r="R559" s="6"/>
      <c r="S559" s="5"/>
      <c r="T559" s="6"/>
      <c r="U559" s="1"/>
      <c r="V559" s="1"/>
      <c r="AB559" s="1"/>
      <c r="AD559" s="1"/>
      <c r="AE559" s="1"/>
      <c r="AH559" s="1"/>
      <c r="AI559" s="1"/>
    </row>
    <row r="560" spans="11:35" x14ac:dyDescent="0.3">
      <c r="K560" s="1"/>
      <c r="P560" s="6"/>
      <c r="Q560" s="6"/>
      <c r="R560" s="6"/>
      <c r="S560" s="5"/>
      <c r="T560" s="6"/>
      <c r="U560" s="1"/>
      <c r="V560" s="1"/>
      <c r="AB560" s="1"/>
      <c r="AD560" s="1"/>
      <c r="AE560" s="1"/>
      <c r="AH560" s="1"/>
      <c r="AI560" s="1"/>
    </row>
    <row r="561" spans="11:35" x14ac:dyDescent="0.3">
      <c r="K561" s="1"/>
      <c r="P561" s="6"/>
      <c r="Q561" s="6"/>
      <c r="R561" s="6"/>
      <c r="S561" s="5"/>
      <c r="T561" s="6"/>
      <c r="U561" s="1"/>
      <c r="V561" s="1"/>
      <c r="AB561" s="1"/>
      <c r="AD561" s="1"/>
      <c r="AE561" s="1"/>
      <c r="AH561" s="1"/>
      <c r="AI561" s="1"/>
    </row>
    <row r="562" spans="11:35" x14ac:dyDescent="0.3">
      <c r="K562" s="1"/>
      <c r="P562" s="6"/>
      <c r="Q562" s="6"/>
      <c r="R562" s="6"/>
      <c r="S562" s="5"/>
      <c r="T562" s="6"/>
      <c r="U562" s="1"/>
      <c r="V562" s="1"/>
      <c r="AB562" s="1"/>
      <c r="AD562" s="1"/>
      <c r="AE562" s="1"/>
      <c r="AH562" s="1"/>
      <c r="AI562" s="1"/>
    </row>
    <row r="563" spans="11:35" x14ac:dyDescent="0.3">
      <c r="K563" s="1"/>
      <c r="P563" s="6"/>
      <c r="Q563" s="6"/>
      <c r="R563" s="6"/>
      <c r="S563" s="5"/>
      <c r="T563" s="6"/>
      <c r="U563" s="1"/>
      <c r="V563" s="1"/>
      <c r="AB563" s="1"/>
      <c r="AD563" s="1"/>
      <c r="AE563" s="1"/>
      <c r="AH563" s="1"/>
      <c r="AI563" s="1"/>
    </row>
    <row r="564" spans="11:35" x14ac:dyDescent="0.3">
      <c r="K564" s="1"/>
      <c r="P564" s="6"/>
      <c r="Q564" s="6"/>
      <c r="R564" s="6"/>
      <c r="S564" s="5"/>
      <c r="T564" s="6"/>
      <c r="U564" s="1"/>
      <c r="V564" s="1"/>
      <c r="AB564" s="1"/>
      <c r="AD564" s="1"/>
      <c r="AE564" s="1"/>
      <c r="AH564" s="1"/>
      <c r="AI564" s="1"/>
    </row>
    <row r="565" spans="11:35" x14ac:dyDescent="0.3">
      <c r="K565" s="1"/>
      <c r="P565" s="6"/>
      <c r="Q565" s="6"/>
      <c r="R565" s="6"/>
      <c r="S565" s="5"/>
      <c r="T565" s="6"/>
      <c r="U565" s="1"/>
      <c r="V565" s="1"/>
      <c r="AB565" s="1"/>
      <c r="AD565" s="1"/>
      <c r="AE565" s="1"/>
      <c r="AH565" s="1"/>
      <c r="AI565" s="1"/>
    </row>
    <row r="566" spans="11:35" x14ac:dyDescent="0.3">
      <c r="K566" s="1"/>
      <c r="P566" s="6"/>
      <c r="Q566" s="6"/>
      <c r="R566" s="6"/>
      <c r="S566" s="5"/>
      <c r="T566" s="6"/>
      <c r="U566" s="1"/>
      <c r="V566" s="1"/>
      <c r="AB566" s="1"/>
      <c r="AD566" s="1"/>
      <c r="AE566" s="1"/>
      <c r="AH566" s="1"/>
      <c r="AI566" s="1"/>
    </row>
    <row r="567" spans="11:35" x14ac:dyDescent="0.3">
      <c r="K567" s="1"/>
      <c r="P567" s="6"/>
      <c r="Q567" s="6"/>
      <c r="R567" s="6"/>
      <c r="S567" s="5"/>
      <c r="T567" s="6"/>
      <c r="U567" s="1"/>
      <c r="V567" s="1"/>
      <c r="AB567" s="1"/>
      <c r="AD567" s="1"/>
      <c r="AE567" s="1"/>
      <c r="AH567" s="1"/>
      <c r="AI567" s="1"/>
    </row>
    <row r="568" spans="11:35" x14ac:dyDescent="0.3">
      <c r="K568" s="1"/>
      <c r="P568" s="6"/>
      <c r="Q568" s="6"/>
      <c r="R568" s="6"/>
      <c r="S568" s="5"/>
      <c r="T568" s="6"/>
      <c r="U568" s="1"/>
      <c r="V568" s="1"/>
      <c r="AB568" s="1"/>
      <c r="AD568" s="1"/>
      <c r="AE568" s="1"/>
      <c r="AH568" s="1"/>
      <c r="AI568" s="1"/>
    </row>
    <row r="569" spans="11:35" x14ac:dyDescent="0.3">
      <c r="K569" s="1"/>
      <c r="P569" s="6"/>
      <c r="Q569" s="6"/>
      <c r="R569" s="6"/>
      <c r="S569" s="5"/>
      <c r="T569" s="6"/>
      <c r="U569" s="1"/>
      <c r="V569" s="1"/>
      <c r="AB569" s="1"/>
      <c r="AD569" s="1"/>
      <c r="AE569" s="1"/>
      <c r="AH569" s="1"/>
      <c r="AI569" s="1"/>
    </row>
    <row r="570" spans="11:35" x14ac:dyDescent="0.3">
      <c r="K570" s="1"/>
      <c r="P570" s="6"/>
      <c r="Q570" s="6"/>
      <c r="R570" s="6"/>
      <c r="S570" s="5"/>
      <c r="T570" s="6"/>
      <c r="U570" s="1"/>
      <c r="V570" s="1"/>
      <c r="AB570" s="1"/>
      <c r="AD570" s="1"/>
      <c r="AE570" s="1"/>
      <c r="AH570" s="1"/>
      <c r="AI570" s="1"/>
    </row>
    <row r="571" spans="11:35" x14ac:dyDescent="0.3">
      <c r="K571" s="1"/>
      <c r="P571" s="6"/>
      <c r="Q571" s="6"/>
      <c r="R571" s="6"/>
      <c r="S571" s="5"/>
      <c r="T571" s="6"/>
      <c r="U571" s="1"/>
      <c r="V571" s="1"/>
      <c r="AB571" s="1"/>
      <c r="AD571" s="1"/>
      <c r="AE571" s="1"/>
      <c r="AH571" s="1"/>
      <c r="AI571" s="1"/>
    </row>
    <row r="572" spans="11:35" x14ac:dyDescent="0.3">
      <c r="K572" s="1"/>
      <c r="P572" s="6"/>
      <c r="Q572" s="6"/>
      <c r="R572" s="6"/>
      <c r="S572" s="5"/>
      <c r="T572" s="6"/>
      <c r="U572" s="1"/>
      <c r="V572" s="1"/>
      <c r="AB572" s="1"/>
      <c r="AD572" s="1"/>
      <c r="AE572" s="1"/>
      <c r="AH572" s="1"/>
      <c r="AI572" s="1"/>
    </row>
    <row r="573" spans="11:35" x14ac:dyDescent="0.3">
      <c r="K573" s="1"/>
      <c r="P573" s="6"/>
      <c r="Q573" s="6"/>
      <c r="R573" s="6"/>
      <c r="S573" s="5"/>
      <c r="T573" s="6"/>
      <c r="U573" s="1"/>
      <c r="V573" s="1"/>
      <c r="AB573" s="1"/>
      <c r="AD573" s="1"/>
      <c r="AE573" s="1"/>
      <c r="AH573" s="1"/>
      <c r="AI573" s="1"/>
    </row>
    <row r="574" spans="11:35" x14ac:dyDescent="0.3">
      <c r="K574" s="1"/>
      <c r="P574" s="6"/>
      <c r="Q574" s="6"/>
      <c r="R574" s="6"/>
      <c r="S574" s="5"/>
      <c r="T574" s="6"/>
      <c r="U574" s="1"/>
      <c r="V574" s="1"/>
      <c r="AB574" s="1"/>
      <c r="AD574" s="1"/>
      <c r="AE574" s="1"/>
      <c r="AH574" s="1"/>
      <c r="AI574" s="1"/>
    </row>
    <row r="575" spans="11:35" x14ac:dyDescent="0.3">
      <c r="K575" s="1"/>
      <c r="P575" s="6"/>
      <c r="Q575" s="6"/>
      <c r="R575" s="6"/>
      <c r="S575" s="5"/>
      <c r="T575" s="6"/>
      <c r="U575" s="1"/>
      <c r="V575" s="1"/>
      <c r="AB575" s="1"/>
      <c r="AD575" s="1"/>
      <c r="AE575" s="1"/>
      <c r="AH575" s="1"/>
      <c r="AI575" s="1"/>
    </row>
    <row r="576" spans="11:35" x14ac:dyDescent="0.3">
      <c r="K576" s="1"/>
      <c r="P576" s="6"/>
      <c r="Q576" s="6"/>
      <c r="R576" s="6"/>
      <c r="S576" s="5"/>
      <c r="T576" s="6"/>
      <c r="U576" s="1"/>
      <c r="V576" s="1"/>
      <c r="AB576" s="1"/>
      <c r="AD576" s="1"/>
      <c r="AE576" s="1"/>
      <c r="AH576" s="1"/>
      <c r="AI576" s="1"/>
    </row>
    <row r="577" spans="11:35" x14ac:dyDescent="0.3">
      <c r="K577" s="1"/>
      <c r="P577" s="6"/>
      <c r="Q577" s="6"/>
      <c r="R577" s="6"/>
      <c r="S577" s="5"/>
      <c r="T577" s="6"/>
      <c r="U577" s="1"/>
      <c r="V577" s="1"/>
      <c r="AB577" s="1"/>
      <c r="AD577" s="1"/>
      <c r="AE577" s="1"/>
      <c r="AH577" s="1"/>
      <c r="AI577" s="1"/>
    </row>
    <row r="578" spans="11:35" x14ac:dyDescent="0.3">
      <c r="K578" s="1"/>
      <c r="P578" s="6"/>
      <c r="Q578" s="6"/>
      <c r="R578" s="6"/>
      <c r="S578" s="5"/>
      <c r="T578" s="6"/>
      <c r="U578" s="1"/>
      <c r="V578" s="1"/>
      <c r="AB578" s="1"/>
      <c r="AD578" s="1"/>
      <c r="AE578" s="1"/>
      <c r="AH578" s="1"/>
      <c r="AI578" s="1"/>
    </row>
    <row r="579" spans="11:35" x14ac:dyDescent="0.3">
      <c r="K579" s="1"/>
      <c r="P579" s="6"/>
      <c r="Q579" s="6"/>
      <c r="R579" s="6"/>
      <c r="S579" s="5"/>
      <c r="T579" s="6"/>
      <c r="U579" s="1"/>
      <c r="V579" s="1"/>
      <c r="AB579" s="1"/>
      <c r="AD579" s="1"/>
      <c r="AE579" s="1"/>
      <c r="AH579" s="1"/>
      <c r="AI579" s="1"/>
    </row>
    <row r="580" spans="11:35" x14ac:dyDescent="0.3">
      <c r="K580" s="1"/>
      <c r="P580" s="6"/>
      <c r="Q580" s="6"/>
      <c r="R580" s="6"/>
      <c r="S580" s="5"/>
      <c r="T580" s="6"/>
      <c r="U580" s="1"/>
      <c r="V580" s="1"/>
      <c r="AB580" s="1"/>
      <c r="AD580" s="1"/>
      <c r="AE580" s="1"/>
      <c r="AH580" s="1"/>
      <c r="AI580" s="1"/>
    </row>
    <row r="581" spans="11:35" x14ac:dyDescent="0.3">
      <c r="K581" s="1"/>
      <c r="P581" s="6"/>
      <c r="Q581" s="6"/>
      <c r="R581" s="6"/>
      <c r="S581" s="5"/>
      <c r="T581" s="6"/>
      <c r="U581" s="1"/>
      <c r="V581" s="1"/>
      <c r="AB581" s="1"/>
      <c r="AD581" s="1"/>
      <c r="AE581" s="1"/>
      <c r="AH581" s="1"/>
      <c r="AI581" s="1"/>
    </row>
    <row r="582" spans="11:35" x14ac:dyDescent="0.3">
      <c r="K582" s="1"/>
      <c r="P582" s="6"/>
      <c r="Q582" s="6"/>
      <c r="R582" s="6"/>
      <c r="S582" s="5"/>
      <c r="T582" s="6"/>
      <c r="U582" s="1"/>
      <c r="V582" s="1"/>
      <c r="AB582" s="1"/>
      <c r="AD582" s="1"/>
      <c r="AE582" s="1"/>
      <c r="AH582" s="1"/>
      <c r="AI582" s="1"/>
    </row>
    <row r="583" spans="11:35" x14ac:dyDescent="0.3">
      <c r="K583" s="1"/>
      <c r="P583" s="6"/>
      <c r="Q583" s="6"/>
      <c r="R583" s="6"/>
      <c r="S583" s="5"/>
      <c r="T583" s="6"/>
      <c r="U583" s="1"/>
      <c r="V583" s="1"/>
      <c r="AB583" s="1"/>
      <c r="AD583" s="1"/>
      <c r="AE583" s="1"/>
      <c r="AH583" s="1"/>
      <c r="AI583" s="1"/>
    </row>
    <row r="584" spans="11:35" x14ac:dyDescent="0.3">
      <c r="K584" s="1"/>
      <c r="P584" s="6"/>
      <c r="Q584" s="6"/>
      <c r="R584" s="6"/>
      <c r="S584" s="5"/>
      <c r="T584" s="6"/>
      <c r="U584" s="1"/>
      <c r="V584" s="1"/>
      <c r="AB584" s="1"/>
      <c r="AD584" s="1"/>
      <c r="AE584" s="1"/>
      <c r="AH584" s="1"/>
      <c r="AI584" s="1"/>
    </row>
    <row r="585" spans="11:35" x14ac:dyDescent="0.3">
      <c r="K585" s="1"/>
      <c r="P585" s="6"/>
      <c r="Q585" s="6"/>
      <c r="R585" s="6"/>
      <c r="S585" s="5"/>
      <c r="T585" s="6"/>
      <c r="U585" s="1"/>
      <c r="V585" s="1"/>
      <c r="AB585" s="1"/>
      <c r="AD585" s="1"/>
      <c r="AE585" s="1"/>
      <c r="AH585" s="1"/>
      <c r="AI585" s="1"/>
    </row>
    <row r="586" spans="11:35" x14ac:dyDescent="0.3">
      <c r="K586" s="1"/>
      <c r="P586" s="6"/>
      <c r="Q586" s="6"/>
      <c r="R586" s="6"/>
      <c r="S586" s="5"/>
      <c r="T586" s="6"/>
      <c r="U586" s="1"/>
      <c r="V586" s="1"/>
      <c r="AB586" s="1"/>
      <c r="AD586" s="1"/>
      <c r="AE586" s="1"/>
      <c r="AH586" s="1"/>
      <c r="AI586" s="1"/>
    </row>
    <row r="587" spans="11:35" x14ac:dyDescent="0.3">
      <c r="K587" s="1"/>
      <c r="P587" s="6"/>
      <c r="Q587" s="6"/>
      <c r="R587" s="6"/>
      <c r="S587" s="5"/>
      <c r="T587" s="6"/>
      <c r="U587" s="1"/>
      <c r="V587" s="1"/>
      <c r="AB587" s="1"/>
      <c r="AD587" s="1"/>
      <c r="AE587" s="1"/>
      <c r="AH587" s="1"/>
      <c r="AI587" s="1"/>
    </row>
    <row r="588" spans="11:35" x14ac:dyDescent="0.3">
      <c r="K588" s="1"/>
      <c r="P588" s="6"/>
      <c r="Q588" s="6"/>
      <c r="R588" s="6"/>
      <c r="S588" s="5"/>
      <c r="T588" s="6"/>
      <c r="U588" s="1"/>
      <c r="V588" s="1"/>
      <c r="AB588" s="1"/>
      <c r="AD588" s="1"/>
      <c r="AE588" s="1"/>
      <c r="AH588" s="1"/>
      <c r="AI588" s="1"/>
    </row>
    <row r="589" spans="11:35" x14ac:dyDescent="0.3">
      <c r="K589" s="1"/>
      <c r="P589" s="6"/>
      <c r="Q589" s="6"/>
      <c r="R589" s="6"/>
      <c r="S589" s="5"/>
      <c r="T589" s="6"/>
      <c r="U589" s="1"/>
      <c r="V589" s="1"/>
      <c r="AB589" s="1"/>
      <c r="AD589" s="1"/>
      <c r="AE589" s="1"/>
      <c r="AH589" s="1"/>
      <c r="AI589" s="1"/>
    </row>
    <row r="590" spans="11:35" x14ac:dyDescent="0.3">
      <c r="K590" s="1"/>
      <c r="P590" s="6"/>
      <c r="Q590" s="6"/>
      <c r="R590" s="6"/>
      <c r="S590" s="5"/>
      <c r="T590" s="6"/>
      <c r="U590" s="1"/>
      <c r="V590" s="1"/>
      <c r="AB590" s="1"/>
      <c r="AD590" s="1"/>
      <c r="AE590" s="1"/>
      <c r="AH590" s="1"/>
      <c r="AI590" s="1"/>
    </row>
    <row r="591" spans="11:35" x14ac:dyDescent="0.3">
      <c r="K591" s="1"/>
      <c r="P591" s="6"/>
      <c r="Q591" s="6"/>
      <c r="R591" s="6"/>
      <c r="S591" s="5"/>
      <c r="T591" s="6"/>
      <c r="U591" s="1"/>
      <c r="V591" s="1"/>
      <c r="AB591" s="1"/>
      <c r="AD591" s="1"/>
      <c r="AE591" s="1"/>
      <c r="AH591" s="1"/>
      <c r="AI591" s="1"/>
    </row>
    <row r="592" spans="11:35" x14ac:dyDescent="0.3">
      <c r="K592" s="1"/>
      <c r="P592" s="6"/>
      <c r="Q592" s="6"/>
      <c r="R592" s="6"/>
      <c r="S592" s="5"/>
      <c r="T592" s="6"/>
      <c r="U592" s="1"/>
      <c r="V592" s="1"/>
      <c r="AB592" s="1"/>
      <c r="AD592" s="1"/>
      <c r="AE592" s="1"/>
      <c r="AH592" s="1"/>
      <c r="AI592" s="1"/>
    </row>
    <row r="593" spans="11:35" x14ac:dyDescent="0.3">
      <c r="K593" s="1"/>
      <c r="P593" s="6"/>
      <c r="Q593" s="6"/>
      <c r="R593" s="6"/>
      <c r="S593" s="5"/>
      <c r="T593" s="6"/>
      <c r="U593" s="1"/>
      <c r="V593" s="1"/>
      <c r="AB593" s="1"/>
      <c r="AD593" s="1"/>
      <c r="AE593" s="1"/>
      <c r="AH593" s="1"/>
      <c r="AI593" s="1"/>
    </row>
    <row r="594" spans="11:35" x14ac:dyDescent="0.3">
      <c r="K594" s="1"/>
      <c r="P594" s="6"/>
      <c r="Q594" s="6"/>
      <c r="R594" s="6"/>
      <c r="S594" s="5"/>
      <c r="T594" s="6"/>
      <c r="U594" s="1"/>
      <c r="V594" s="1"/>
      <c r="AB594" s="1"/>
      <c r="AD594" s="1"/>
      <c r="AE594" s="1"/>
      <c r="AH594" s="1"/>
      <c r="AI594" s="1"/>
    </row>
    <row r="595" spans="11:35" x14ac:dyDescent="0.3">
      <c r="K595" s="1"/>
      <c r="P595" s="6"/>
      <c r="Q595" s="6"/>
      <c r="R595" s="6"/>
      <c r="S595" s="5"/>
      <c r="T595" s="6"/>
      <c r="U595" s="1"/>
      <c r="V595" s="1"/>
      <c r="AB595" s="1"/>
      <c r="AD595" s="1"/>
      <c r="AE595" s="1"/>
      <c r="AH595" s="1"/>
      <c r="AI595" s="1"/>
    </row>
    <row r="596" spans="11:35" x14ac:dyDescent="0.3">
      <c r="K596" s="1"/>
      <c r="P596" s="6"/>
      <c r="Q596" s="6"/>
      <c r="R596" s="6"/>
      <c r="S596" s="5"/>
      <c r="T596" s="6"/>
      <c r="U596" s="1"/>
      <c r="V596" s="1"/>
      <c r="AB596" s="1"/>
      <c r="AD596" s="1"/>
      <c r="AE596" s="1"/>
      <c r="AH596" s="1"/>
      <c r="AI596" s="1"/>
    </row>
    <row r="597" spans="11:35" x14ac:dyDescent="0.3">
      <c r="K597" s="1"/>
      <c r="P597" s="6"/>
      <c r="Q597" s="6"/>
      <c r="R597" s="6"/>
      <c r="S597" s="5"/>
      <c r="T597" s="6"/>
      <c r="U597" s="1"/>
      <c r="V597" s="1"/>
      <c r="AB597" s="1"/>
      <c r="AD597" s="1"/>
      <c r="AE597" s="1"/>
      <c r="AH597" s="1"/>
      <c r="AI597" s="1"/>
    </row>
    <row r="598" spans="11:35" x14ac:dyDescent="0.3">
      <c r="K598" s="1"/>
      <c r="P598" s="6"/>
      <c r="Q598" s="6"/>
      <c r="R598" s="6"/>
      <c r="S598" s="5"/>
      <c r="T598" s="6"/>
      <c r="U598" s="1"/>
      <c r="V598" s="1"/>
      <c r="AB598" s="1"/>
      <c r="AD598" s="1"/>
      <c r="AE598" s="1"/>
      <c r="AH598" s="1"/>
      <c r="AI598" s="1"/>
    </row>
    <row r="599" spans="11:35" x14ac:dyDescent="0.3">
      <c r="K599" s="1"/>
      <c r="P599" s="6"/>
      <c r="Q599" s="6"/>
      <c r="R599" s="6"/>
      <c r="S599" s="5"/>
      <c r="T599" s="6"/>
      <c r="U599" s="1"/>
      <c r="V599" s="1"/>
      <c r="AB599" s="1"/>
      <c r="AD599" s="1"/>
      <c r="AE599" s="1"/>
      <c r="AH599" s="1"/>
      <c r="AI599" s="1"/>
    </row>
    <row r="600" spans="11:35" x14ac:dyDescent="0.3">
      <c r="K600" s="1"/>
      <c r="P600" s="6"/>
      <c r="Q600" s="6"/>
      <c r="R600" s="6"/>
      <c r="S600" s="5"/>
      <c r="T600" s="6"/>
      <c r="U600" s="1"/>
      <c r="V600" s="1"/>
      <c r="AB600" s="1"/>
      <c r="AD600" s="1"/>
      <c r="AE600" s="1"/>
      <c r="AH600" s="1"/>
      <c r="AI600" s="1"/>
    </row>
    <row r="601" spans="11:35" x14ac:dyDescent="0.3">
      <c r="K601" s="1"/>
      <c r="P601" s="6"/>
      <c r="Q601" s="6"/>
      <c r="R601" s="6"/>
      <c r="S601" s="5"/>
      <c r="T601" s="6"/>
      <c r="U601" s="1"/>
      <c r="V601" s="1"/>
      <c r="AB601" s="1"/>
      <c r="AD601" s="1"/>
      <c r="AE601" s="1"/>
      <c r="AH601" s="1"/>
      <c r="AI601" s="1"/>
    </row>
    <row r="602" spans="11:35" x14ac:dyDescent="0.3">
      <c r="K602" s="1"/>
      <c r="P602" s="6"/>
      <c r="Q602" s="6"/>
      <c r="R602" s="6"/>
      <c r="S602" s="5"/>
      <c r="T602" s="6"/>
      <c r="U602" s="1"/>
      <c r="V602" s="1"/>
      <c r="AB602" s="1"/>
      <c r="AD602" s="1"/>
      <c r="AE602" s="1"/>
      <c r="AH602" s="1"/>
      <c r="AI602" s="1"/>
    </row>
  </sheetData>
  <mergeCells count="1">
    <mergeCell ref="AV21:BC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 IgG kdecay 0</vt:lpstr>
      <vt:lpstr>2 INS kdecay 0</vt:lpstr>
      <vt:lpstr>3 ALB kdecay 0</vt:lpstr>
      <vt:lpstr>4 IgG decay2.9e-7</vt:lpstr>
      <vt:lpstr>5 INS kdecay 2.9e-7</vt:lpstr>
      <vt:lpstr>6 ALB kdecay 2.9e-7</vt:lpstr>
      <vt:lpstr>7 IgG decay1.7e-6</vt:lpstr>
      <vt:lpstr>8 INS decay1.7e-6</vt:lpstr>
      <vt:lpstr>9 ALB kdecay 1.7e-6</vt:lpstr>
      <vt:lpstr>10 IgG decay1.5e-5</vt:lpstr>
      <vt:lpstr>11 INS decay1.5e-5</vt:lpstr>
      <vt:lpstr>12 ALB decay1.5e-5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RogerLab</dc:creator>
  <cp:lastModifiedBy>SeungGyu Kim</cp:lastModifiedBy>
  <dcterms:created xsi:type="dcterms:W3CDTF">2015-06-05T18:17:20Z</dcterms:created>
  <dcterms:modified xsi:type="dcterms:W3CDTF">2025-11-03T08:50:31Z</dcterms:modified>
</cp:coreProperties>
</file>