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xl/drawings/drawing8.xml" ContentType="application/vnd.openxmlformats-officedocument.drawing+xml"/>
  <Override PartName="/xl/embeddings/oleObject8.bin" ContentType="application/vnd.openxmlformats-officedocument.oleObject"/>
  <Override PartName="/xl/drawings/drawing9.xml" ContentType="application/vnd.openxmlformats-officedocument.drawing+xml"/>
  <Override PartName="/xl/embeddings/oleObject9.bin" ContentType="application/vnd.openxmlformats-officedocument.oleObject"/>
  <Override PartName="/xl/drawings/drawing10.xml" ContentType="application/vnd.openxmlformats-officedocument.drawing+xml"/>
  <Override PartName="/xl/embeddings/oleObject10.bin" ContentType="application/vnd.openxmlformats-officedocument.oleObject"/>
  <Override PartName="/xl/drawings/drawing11.xml" ContentType="application/vnd.openxmlformats-officedocument.drawing+xml"/>
  <Override PartName="/xl/embeddings/oleObject1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guminhong/Downloads/Injection site results v2/"/>
    </mc:Choice>
  </mc:AlternateContent>
  <xr:revisionPtr revIDLastSave="0" documentId="8_{B6C2CC77-CDEE-D540-85DA-840DA5FF2D61}" xr6:coauthVersionLast="47" xr6:coauthVersionMax="47" xr10:uidLastSave="{00000000-0000-0000-0000-000000000000}"/>
  <bookViews>
    <workbookView xWindow="0" yWindow="660" windowWidth="30240" windowHeight="18980" tabRatio="697" firstSheet="4" activeTab="12" xr2:uid="{00000000-000D-0000-FFFF-FFFF00000000}"/>
  </bookViews>
  <sheets>
    <sheet name="step size" sheetId="113" r:id="rId1"/>
    <sheet name="Sheet9" sheetId="155" r:id="rId2"/>
    <sheet name="Case 1" sheetId="160" r:id="rId3"/>
    <sheet name="Case 2-1 (lowLp)" sheetId="161" r:id="rId4"/>
    <sheet name="Case 2-2 (highLp)" sheetId="162" r:id="rId5"/>
    <sheet name="Case 3-1 (lowK)" sheetId="163" r:id="rId6"/>
    <sheet name="Case 3-2 (highK)" sheetId="164" r:id="rId7"/>
    <sheet name="Case4-1(lowOncotic)" sheetId="165" r:id="rId8"/>
    <sheet name="Case4-2(highOncotic)" sheetId="166" r:id="rId9"/>
    <sheet name="Case5-1(lowSigmaBV" sheetId="167" r:id="rId10"/>
    <sheet name="Case5-1(highSigmaBV" sheetId="168" r:id="rId11"/>
    <sheet name="Case6-1(highD)" sheetId="170" r:id="rId12"/>
    <sheet name="Case6-2(lowD)" sheetId="169" r:id="rId13"/>
    <sheet name="Summary" sheetId="17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3" i="160" l="1"/>
  <c r="P43" i="160"/>
  <c r="Q43" i="160"/>
  <c r="R43" i="160"/>
  <c r="S43" i="160"/>
  <c r="T43" i="160"/>
  <c r="U43" i="160"/>
  <c r="V43" i="160"/>
  <c r="H6" i="171" l="1"/>
  <c r="H8" i="171"/>
  <c r="H9" i="171"/>
  <c r="H11" i="171"/>
  <c r="H12" i="171"/>
  <c r="H14" i="171"/>
  <c r="H15" i="171"/>
  <c r="H17" i="171"/>
  <c r="H18" i="171"/>
  <c r="H20" i="171"/>
  <c r="H5" i="171"/>
  <c r="O54" i="170"/>
  <c r="R53" i="170"/>
  <c r="Q53" i="170"/>
  <c r="O53" i="170"/>
  <c r="O52" i="170"/>
  <c r="O51" i="170"/>
  <c r="O50" i="170"/>
  <c r="V49" i="170"/>
  <c r="O49" i="170"/>
  <c r="O48" i="170"/>
  <c r="O47" i="170"/>
  <c r="S46" i="170"/>
  <c r="O46" i="170"/>
  <c r="O45" i="170"/>
  <c r="O44" i="170"/>
  <c r="O43" i="170"/>
  <c r="O42" i="170"/>
  <c r="O41" i="170"/>
  <c r="O40" i="170"/>
  <c r="O39" i="170"/>
  <c r="V38" i="170"/>
  <c r="O38" i="170"/>
  <c r="O37" i="170"/>
  <c r="O36" i="170"/>
  <c r="R35" i="170"/>
  <c r="Q35" i="170"/>
  <c r="O35" i="170"/>
  <c r="O34" i="170"/>
  <c r="Q33" i="170"/>
  <c r="P33" i="170"/>
  <c r="O33" i="170"/>
  <c r="V32" i="170"/>
  <c r="U32" i="170"/>
  <c r="O32" i="170"/>
  <c r="O31" i="170"/>
  <c r="O30" i="170"/>
  <c r="O29" i="170"/>
  <c r="O28" i="170"/>
  <c r="O27" i="170"/>
  <c r="O26" i="170"/>
  <c r="Q25" i="170"/>
  <c r="P25" i="170"/>
  <c r="O25" i="170"/>
  <c r="O24" i="170"/>
  <c r="O23" i="170"/>
  <c r="U22" i="170"/>
  <c r="T22" i="170"/>
  <c r="Q22" i="170"/>
  <c r="O22" i="170"/>
  <c r="O21" i="170"/>
  <c r="O20" i="170"/>
  <c r="O19" i="170"/>
  <c r="Q18" i="170"/>
  <c r="O18" i="170"/>
  <c r="O17" i="170"/>
  <c r="O16" i="170"/>
  <c r="O15" i="170"/>
  <c r="O14" i="170"/>
  <c r="O13" i="170"/>
  <c r="O12" i="170"/>
  <c r="O11" i="170"/>
  <c r="O10" i="170"/>
  <c r="Q9" i="170"/>
  <c r="O9" i="170"/>
  <c r="AC8" i="170"/>
  <c r="AB12" i="170" s="1"/>
  <c r="AB8" i="170"/>
  <c r="AB15" i="170" s="1"/>
  <c r="AA8" i="170"/>
  <c r="AB13" i="170" s="1"/>
  <c r="Z8" i="170"/>
  <c r="AB14" i="170" s="1"/>
  <c r="Y8" i="170"/>
  <c r="P8" i="170"/>
  <c r="O8" i="170"/>
  <c r="Q7" i="170"/>
  <c r="P7" i="170"/>
  <c r="O7" i="170"/>
  <c r="O6" i="170"/>
  <c r="O5" i="170"/>
  <c r="O4" i="170"/>
  <c r="O3" i="170"/>
  <c r="O2" i="170"/>
  <c r="K2" i="170"/>
  <c r="A1" i="170" s="1"/>
  <c r="O54" i="169"/>
  <c r="O53" i="169"/>
  <c r="O52" i="169"/>
  <c r="O51" i="169"/>
  <c r="O50" i="169"/>
  <c r="O49" i="169"/>
  <c r="O48" i="169"/>
  <c r="O47" i="169"/>
  <c r="O46" i="169"/>
  <c r="O45" i="169"/>
  <c r="O44" i="169"/>
  <c r="O43" i="169"/>
  <c r="O42" i="169"/>
  <c r="O41" i="169"/>
  <c r="O40" i="169"/>
  <c r="O39" i="169"/>
  <c r="O38" i="169"/>
  <c r="O37" i="169"/>
  <c r="O36" i="169"/>
  <c r="O35" i="169"/>
  <c r="O34" i="169"/>
  <c r="O33" i="169"/>
  <c r="O32" i="169"/>
  <c r="O31" i="169"/>
  <c r="O30" i="169"/>
  <c r="O29" i="169"/>
  <c r="O28" i="169"/>
  <c r="O27" i="169"/>
  <c r="O26" i="169"/>
  <c r="O25" i="169"/>
  <c r="O24" i="169"/>
  <c r="O23" i="169"/>
  <c r="O22" i="169"/>
  <c r="O21" i="169"/>
  <c r="O20" i="169"/>
  <c r="O19" i="169"/>
  <c r="O18" i="169"/>
  <c r="O17" i="169"/>
  <c r="O16" i="169"/>
  <c r="O15" i="169"/>
  <c r="O14" i="169"/>
  <c r="O13" i="169"/>
  <c r="O12" i="169"/>
  <c r="O11" i="169"/>
  <c r="O10" i="169"/>
  <c r="O9" i="169"/>
  <c r="AC8" i="169"/>
  <c r="AB12" i="169" s="1"/>
  <c r="AB8" i="169"/>
  <c r="AB15" i="169" s="1"/>
  <c r="AA8" i="169"/>
  <c r="AB13" i="169" s="1"/>
  <c r="Z8" i="169"/>
  <c r="AB14" i="169" s="1"/>
  <c r="Y8" i="169"/>
  <c r="O8" i="169"/>
  <c r="O7" i="169"/>
  <c r="O6" i="169"/>
  <c r="O5" i="169"/>
  <c r="O4" i="169"/>
  <c r="O3" i="169"/>
  <c r="O2" i="169"/>
  <c r="K2" i="169"/>
  <c r="A1" i="169" s="1"/>
  <c r="O54" i="168"/>
  <c r="O53" i="168"/>
  <c r="O52" i="168"/>
  <c r="O51" i="168"/>
  <c r="O50" i="168"/>
  <c r="O49" i="168"/>
  <c r="O48" i="168"/>
  <c r="O47" i="168"/>
  <c r="O46" i="168"/>
  <c r="O45" i="168"/>
  <c r="O44" i="168"/>
  <c r="O43" i="168"/>
  <c r="O42" i="168"/>
  <c r="O41" i="168"/>
  <c r="O40" i="168"/>
  <c r="O39" i="168"/>
  <c r="O38" i="168"/>
  <c r="O37" i="168"/>
  <c r="O36" i="168"/>
  <c r="O35" i="168"/>
  <c r="O34" i="168"/>
  <c r="O33" i="168"/>
  <c r="O32" i="168"/>
  <c r="O31" i="168"/>
  <c r="O30" i="168"/>
  <c r="O29" i="168"/>
  <c r="O28" i="168"/>
  <c r="O27" i="168"/>
  <c r="O26" i="168"/>
  <c r="O25" i="168"/>
  <c r="O24" i="168"/>
  <c r="O23" i="168"/>
  <c r="O22" i="168"/>
  <c r="O21" i="168"/>
  <c r="O20" i="168"/>
  <c r="O19" i="168"/>
  <c r="O18" i="168"/>
  <c r="O17" i="168"/>
  <c r="O16" i="168"/>
  <c r="O15" i="168"/>
  <c r="O14" i="168"/>
  <c r="O13" i="168"/>
  <c r="O12" i="168"/>
  <c r="O11" i="168"/>
  <c r="O10" i="168"/>
  <c r="O9" i="168"/>
  <c r="AC8" i="168"/>
  <c r="AB12" i="168" s="1"/>
  <c r="AB8" i="168"/>
  <c r="AB15" i="168" s="1"/>
  <c r="AA8" i="168"/>
  <c r="AB13" i="168" s="1"/>
  <c r="Z8" i="168"/>
  <c r="AB14" i="168" s="1"/>
  <c r="Y8" i="168"/>
  <c r="O8" i="168"/>
  <c r="O7" i="168"/>
  <c r="O6" i="168"/>
  <c r="O5" i="168"/>
  <c r="O4" i="168"/>
  <c r="O3" i="168"/>
  <c r="O2" i="168"/>
  <c r="K2" i="168"/>
  <c r="A1" i="168" s="1"/>
  <c r="O42" i="167"/>
  <c r="O41" i="167"/>
  <c r="O40" i="167"/>
  <c r="O39" i="167"/>
  <c r="O38" i="167"/>
  <c r="O37" i="167"/>
  <c r="O36" i="167"/>
  <c r="O35" i="167"/>
  <c r="O34" i="167"/>
  <c r="O33" i="167"/>
  <c r="O32" i="167"/>
  <c r="O31" i="167"/>
  <c r="O30" i="167"/>
  <c r="O29" i="167"/>
  <c r="O28" i="167"/>
  <c r="O27" i="167"/>
  <c r="O26" i="167"/>
  <c r="O25" i="167"/>
  <c r="O24" i="167"/>
  <c r="O23" i="167"/>
  <c r="O22" i="167"/>
  <c r="O21" i="167"/>
  <c r="O20" i="167"/>
  <c r="O19" i="167"/>
  <c r="P18" i="167"/>
  <c r="O18" i="167"/>
  <c r="O17" i="167"/>
  <c r="O16" i="167"/>
  <c r="O15" i="167"/>
  <c r="AB14" i="167"/>
  <c r="O14" i="167"/>
  <c r="AB13" i="167"/>
  <c r="O13" i="167"/>
  <c r="O12" i="167"/>
  <c r="O11" i="167"/>
  <c r="O10" i="167"/>
  <c r="O9" i="167"/>
  <c r="AC8" i="167"/>
  <c r="AB12" i="167" s="1"/>
  <c r="AB8" i="167"/>
  <c r="AB15" i="167" s="1"/>
  <c r="AA8" i="167"/>
  <c r="Z8" i="167"/>
  <c r="Y8" i="167"/>
  <c r="O8" i="167"/>
  <c r="O7" i="167"/>
  <c r="O6" i="167"/>
  <c r="O5" i="167"/>
  <c r="O4" i="167"/>
  <c r="O3" i="167"/>
  <c r="O2" i="167"/>
  <c r="K2" i="167"/>
  <c r="A1" i="167" s="1"/>
  <c r="O54" i="166"/>
  <c r="O53" i="166"/>
  <c r="O52" i="166"/>
  <c r="O51" i="166"/>
  <c r="O50" i="166"/>
  <c r="O49" i="166"/>
  <c r="O48" i="166"/>
  <c r="O47" i="166"/>
  <c r="O46" i="166"/>
  <c r="O45" i="166"/>
  <c r="O44" i="166"/>
  <c r="O43" i="166"/>
  <c r="O42" i="166"/>
  <c r="O41" i="166"/>
  <c r="O40" i="166"/>
  <c r="O39" i="166"/>
  <c r="O38" i="166"/>
  <c r="O37" i="166"/>
  <c r="O36" i="166"/>
  <c r="O35" i="166"/>
  <c r="O34" i="166"/>
  <c r="O33" i="166"/>
  <c r="O32" i="166"/>
  <c r="O31" i="166"/>
  <c r="O30" i="166"/>
  <c r="O29" i="166"/>
  <c r="O28" i="166"/>
  <c r="O27" i="166"/>
  <c r="O26" i="166"/>
  <c r="O25" i="166"/>
  <c r="O24" i="166"/>
  <c r="O23" i="166"/>
  <c r="O22" i="166"/>
  <c r="O21" i="166"/>
  <c r="O20" i="166"/>
  <c r="O19" i="166"/>
  <c r="O18" i="166"/>
  <c r="O17" i="166"/>
  <c r="O16" i="166"/>
  <c r="O15" i="166"/>
  <c r="O14" i="166"/>
  <c r="AB13" i="166"/>
  <c r="O13" i="166"/>
  <c r="O12" i="166"/>
  <c r="O11" i="166"/>
  <c r="O10" i="166"/>
  <c r="O9" i="166"/>
  <c r="AC8" i="166"/>
  <c r="AB12" i="166" s="1"/>
  <c r="AB8" i="166"/>
  <c r="AB15" i="166" s="1"/>
  <c r="AA8" i="166"/>
  <c r="Z8" i="166"/>
  <c r="AB14" i="166" s="1"/>
  <c r="Y8" i="166"/>
  <c r="O8" i="166"/>
  <c r="O7" i="166"/>
  <c r="O6" i="166"/>
  <c r="O5" i="166"/>
  <c r="O4" i="166"/>
  <c r="O3" i="166"/>
  <c r="O2" i="166"/>
  <c r="K2" i="166"/>
  <c r="A1" i="166" s="1"/>
  <c r="O47" i="165"/>
  <c r="O46" i="165"/>
  <c r="O45" i="165"/>
  <c r="O44" i="165"/>
  <c r="O43" i="165"/>
  <c r="O42" i="165"/>
  <c r="O41" i="165"/>
  <c r="O40" i="165"/>
  <c r="O39" i="165"/>
  <c r="O38" i="165"/>
  <c r="O37" i="165"/>
  <c r="O36" i="165"/>
  <c r="O35" i="165"/>
  <c r="O34" i="165"/>
  <c r="O33" i="165"/>
  <c r="O32" i="165"/>
  <c r="O31" i="165"/>
  <c r="O30" i="165"/>
  <c r="O29" i="165"/>
  <c r="O28" i="165"/>
  <c r="O27" i="165"/>
  <c r="O26" i="165"/>
  <c r="O25" i="165"/>
  <c r="O24" i="165"/>
  <c r="O23" i="165"/>
  <c r="O22" i="165"/>
  <c r="O21" i="165"/>
  <c r="O20" i="165"/>
  <c r="O19" i="165"/>
  <c r="O18" i="165"/>
  <c r="O17" i="165"/>
  <c r="O16" i="165"/>
  <c r="O15" i="165"/>
  <c r="O14" i="165"/>
  <c r="O13" i="165"/>
  <c r="O12" i="165"/>
  <c r="O11" i="165"/>
  <c r="O10" i="165"/>
  <c r="O9" i="165"/>
  <c r="AC8" i="165"/>
  <c r="AB12" i="165" s="1"/>
  <c r="AB8" i="165"/>
  <c r="AB15" i="165" s="1"/>
  <c r="AA8" i="165"/>
  <c r="AB13" i="165" s="1"/>
  <c r="Z8" i="165"/>
  <c r="AB14" i="165" s="1"/>
  <c r="Y8" i="165"/>
  <c r="O8" i="165"/>
  <c r="O7" i="165"/>
  <c r="O6" i="165"/>
  <c r="O5" i="165"/>
  <c r="O4" i="165"/>
  <c r="O3" i="165"/>
  <c r="O2" i="165"/>
  <c r="K2" i="165"/>
  <c r="A1" i="165" s="1"/>
  <c r="O43" i="164"/>
  <c r="O42" i="164"/>
  <c r="O41" i="164"/>
  <c r="O40" i="164"/>
  <c r="O39" i="164"/>
  <c r="O38" i="164"/>
  <c r="O37" i="164"/>
  <c r="O36" i="164"/>
  <c r="O35" i="164"/>
  <c r="O34" i="164"/>
  <c r="O33" i="164"/>
  <c r="O32" i="164"/>
  <c r="O31" i="164"/>
  <c r="O30" i="164"/>
  <c r="O29" i="164"/>
  <c r="O28" i="164"/>
  <c r="O27" i="164"/>
  <c r="O26" i="164"/>
  <c r="O25" i="164"/>
  <c r="O24" i="164"/>
  <c r="O23" i="164"/>
  <c r="O22" i="164"/>
  <c r="O21" i="164"/>
  <c r="O20" i="164"/>
  <c r="O19" i="164"/>
  <c r="O18" i="164"/>
  <c r="O17" i="164"/>
  <c r="O16" i="164"/>
  <c r="O15" i="164"/>
  <c r="O14" i="164"/>
  <c r="O13" i="164"/>
  <c r="O12" i="164"/>
  <c r="O11" i="164"/>
  <c r="O10" i="164"/>
  <c r="O9" i="164"/>
  <c r="AC8" i="164"/>
  <c r="AB12" i="164" s="1"/>
  <c r="AB8" i="164"/>
  <c r="AB15" i="164" s="1"/>
  <c r="AA8" i="164"/>
  <c r="AB13" i="164" s="1"/>
  <c r="Z8" i="164"/>
  <c r="AB14" i="164" s="1"/>
  <c r="Y8" i="164"/>
  <c r="O8" i="164"/>
  <c r="O7" i="164"/>
  <c r="O6" i="164"/>
  <c r="O5" i="164"/>
  <c r="O4" i="164"/>
  <c r="O3" i="164"/>
  <c r="O2" i="164"/>
  <c r="K2" i="164"/>
  <c r="A1" i="164" s="1"/>
  <c r="O38" i="163"/>
  <c r="O37" i="163"/>
  <c r="O36" i="163"/>
  <c r="O35" i="163"/>
  <c r="O34" i="163"/>
  <c r="O33" i="163"/>
  <c r="O32" i="163"/>
  <c r="O31" i="163"/>
  <c r="O30" i="163"/>
  <c r="O29" i="163"/>
  <c r="O28" i="163"/>
  <c r="O27" i="163"/>
  <c r="O26" i="163"/>
  <c r="O25" i="163"/>
  <c r="O24" i="163"/>
  <c r="O23" i="163"/>
  <c r="O22" i="163"/>
  <c r="O21" i="163"/>
  <c r="O20" i="163"/>
  <c r="O19" i="163"/>
  <c r="O18" i="163"/>
  <c r="O17" i="163"/>
  <c r="O16" i="163"/>
  <c r="O15" i="163"/>
  <c r="O14" i="163"/>
  <c r="O13" i="163"/>
  <c r="O12" i="163"/>
  <c r="O11" i="163"/>
  <c r="O10" i="163"/>
  <c r="O9" i="163"/>
  <c r="AC8" i="163"/>
  <c r="AB12" i="163" s="1"/>
  <c r="AB8" i="163"/>
  <c r="AB15" i="163" s="1"/>
  <c r="AA8" i="163"/>
  <c r="AB13" i="163" s="1"/>
  <c r="Z8" i="163"/>
  <c r="AB14" i="163" s="1"/>
  <c r="Y8" i="163"/>
  <c r="O8" i="163"/>
  <c r="O7" i="163"/>
  <c r="O6" i="163"/>
  <c r="O5" i="163"/>
  <c r="O4" i="163"/>
  <c r="O3" i="163"/>
  <c r="O2" i="163"/>
  <c r="K2" i="163"/>
  <c r="A1" i="163" s="1"/>
  <c r="O46" i="162"/>
  <c r="O45" i="162"/>
  <c r="O44" i="162"/>
  <c r="O43" i="162"/>
  <c r="O42" i="162"/>
  <c r="O41" i="162"/>
  <c r="O40" i="162"/>
  <c r="O39" i="162"/>
  <c r="O38" i="162"/>
  <c r="O37" i="162"/>
  <c r="O36" i="162"/>
  <c r="O35" i="162"/>
  <c r="O34" i="162"/>
  <c r="O33" i="162"/>
  <c r="O32" i="162"/>
  <c r="O31" i="162"/>
  <c r="O30" i="162"/>
  <c r="O29" i="162"/>
  <c r="O28" i="162"/>
  <c r="O27" i="162"/>
  <c r="O26" i="162"/>
  <c r="O25" i="162"/>
  <c r="O24" i="162"/>
  <c r="O23" i="162"/>
  <c r="O22" i="162"/>
  <c r="O21" i="162"/>
  <c r="O20" i="162"/>
  <c r="O19" i="162"/>
  <c r="O18" i="162"/>
  <c r="O17" i="162"/>
  <c r="O16" i="162"/>
  <c r="O15" i="162"/>
  <c r="O14" i="162"/>
  <c r="O13" i="162"/>
  <c r="O12" i="162"/>
  <c r="O11" i="162"/>
  <c r="O10" i="162"/>
  <c r="O9" i="162"/>
  <c r="AC8" i="162"/>
  <c r="AB12" i="162" s="1"/>
  <c r="AB8" i="162"/>
  <c r="AB15" i="162" s="1"/>
  <c r="AA8" i="162"/>
  <c r="AB13" i="162" s="1"/>
  <c r="Z8" i="162"/>
  <c r="AB14" i="162" s="1"/>
  <c r="Y8" i="162"/>
  <c r="O8" i="162"/>
  <c r="O7" i="162"/>
  <c r="O6" i="162"/>
  <c r="O5" i="162"/>
  <c r="O4" i="162"/>
  <c r="O3" i="162"/>
  <c r="O2" i="162"/>
  <c r="K2" i="162"/>
  <c r="A1" i="162" s="1"/>
  <c r="O38" i="161"/>
  <c r="O37" i="161"/>
  <c r="O36" i="161"/>
  <c r="O35" i="161"/>
  <c r="O34" i="161"/>
  <c r="O33" i="161"/>
  <c r="O32" i="161"/>
  <c r="O31" i="161"/>
  <c r="O30" i="161"/>
  <c r="O29" i="161"/>
  <c r="O28" i="161"/>
  <c r="O27" i="161"/>
  <c r="O26" i="161"/>
  <c r="O25" i="161"/>
  <c r="O24" i="161"/>
  <c r="O23" i="161"/>
  <c r="O22" i="161"/>
  <c r="O21" i="161"/>
  <c r="O20" i="161"/>
  <c r="O19" i="161"/>
  <c r="O18" i="161"/>
  <c r="O17" i="161"/>
  <c r="O16" i="161"/>
  <c r="O15" i="161"/>
  <c r="AB14" i="161"/>
  <c r="O14" i="161"/>
  <c r="O13" i="161"/>
  <c r="O12" i="161"/>
  <c r="O11" i="161"/>
  <c r="O10" i="161"/>
  <c r="O9" i="161"/>
  <c r="AC8" i="161"/>
  <c r="AB12" i="161" s="1"/>
  <c r="AB8" i="161"/>
  <c r="AB15" i="161" s="1"/>
  <c r="AA8" i="161"/>
  <c r="AB13" i="161" s="1"/>
  <c r="Z8" i="161"/>
  <c r="Y8" i="161"/>
  <c r="O8" i="161"/>
  <c r="O7" i="161"/>
  <c r="O6" i="161"/>
  <c r="O5" i="161"/>
  <c r="O4" i="161"/>
  <c r="O3" i="161"/>
  <c r="O2" i="161"/>
  <c r="K2" i="161"/>
  <c r="A1" i="161" s="1"/>
  <c r="O3" i="160"/>
  <c r="O4" i="160"/>
  <c r="O5" i="160"/>
  <c r="O6" i="160"/>
  <c r="O7" i="160"/>
  <c r="O8" i="160"/>
  <c r="O9" i="160"/>
  <c r="O10" i="160"/>
  <c r="O11" i="160"/>
  <c r="O12" i="160"/>
  <c r="O13" i="160"/>
  <c r="O14" i="160"/>
  <c r="O15" i="160"/>
  <c r="O16" i="160"/>
  <c r="O17" i="160"/>
  <c r="O18" i="160"/>
  <c r="O19" i="160"/>
  <c r="O20" i="160"/>
  <c r="O21" i="160"/>
  <c r="O22" i="160"/>
  <c r="O23" i="160"/>
  <c r="O24" i="160"/>
  <c r="O25" i="160"/>
  <c r="O26" i="160"/>
  <c r="O27" i="160"/>
  <c r="O28" i="160"/>
  <c r="O29" i="160"/>
  <c r="O30" i="160"/>
  <c r="O31" i="160"/>
  <c r="O32" i="160"/>
  <c r="O33" i="160"/>
  <c r="O34" i="160"/>
  <c r="O35" i="160"/>
  <c r="O36" i="160"/>
  <c r="O37" i="160"/>
  <c r="O38" i="160"/>
  <c r="O39" i="160"/>
  <c r="O40" i="160"/>
  <c r="O41" i="160"/>
  <c r="O42" i="160"/>
  <c r="O2" i="160"/>
  <c r="AB8" i="160"/>
  <c r="AB15" i="160" s="1"/>
  <c r="AC8" i="160"/>
  <c r="AB12" i="160" s="1"/>
  <c r="AA8" i="160"/>
  <c r="AB13" i="160" s="1"/>
  <c r="Z8" i="160"/>
  <c r="AB14" i="160" s="1"/>
  <c r="Y8" i="160"/>
  <c r="K2" i="160"/>
  <c r="A1" i="160" s="1"/>
  <c r="P2" i="160" s="1"/>
  <c r="V11" i="169" l="1"/>
  <c r="S52" i="169"/>
  <c r="R2" i="169"/>
  <c r="U2" i="169"/>
  <c r="R52" i="169"/>
  <c r="Q18" i="169"/>
  <c r="U37" i="169"/>
  <c r="S2" i="169"/>
  <c r="P20" i="169"/>
  <c r="P34" i="169"/>
  <c r="P5" i="169"/>
  <c r="S25" i="169"/>
  <c r="T25" i="169"/>
  <c r="P45" i="169"/>
  <c r="V9" i="169"/>
  <c r="U46" i="169"/>
  <c r="S28" i="169"/>
  <c r="R16" i="169"/>
  <c r="S24" i="169"/>
  <c r="P33" i="169"/>
  <c r="R42" i="169"/>
  <c r="P52" i="169"/>
  <c r="S16" i="169"/>
  <c r="S33" i="169"/>
  <c r="S42" i="169"/>
  <c r="Q52" i="169"/>
  <c r="T2" i="169"/>
  <c r="P18" i="169"/>
  <c r="U25" i="169"/>
  <c r="Q34" i="169"/>
  <c r="T52" i="169"/>
  <c r="V2" i="169"/>
  <c r="R18" i="169"/>
  <c r="Q45" i="169"/>
  <c r="V10" i="169"/>
  <c r="R45" i="169"/>
  <c r="S35" i="169"/>
  <c r="Q54" i="169"/>
  <c r="T4" i="169"/>
  <c r="S11" i="169"/>
  <c r="U19" i="169"/>
  <c r="S27" i="169"/>
  <c r="S37" i="169"/>
  <c r="S54" i="169"/>
  <c r="S18" i="169"/>
  <c r="Q27" i="169"/>
  <c r="P54" i="169"/>
  <c r="R27" i="169"/>
  <c r="S45" i="169"/>
  <c r="T11" i="169"/>
  <c r="T37" i="169"/>
  <c r="T46" i="169"/>
  <c r="R20" i="169"/>
  <c r="T28" i="169"/>
  <c r="V37" i="169"/>
  <c r="Q6" i="169"/>
  <c r="P12" i="169"/>
  <c r="S20" i="169"/>
  <c r="P47" i="169"/>
  <c r="S12" i="169"/>
  <c r="V29" i="169"/>
  <c r="R47" i="169"/>
  <c r="V20" i="169"/>
  <c r="S38" i="169"/>
  <c r="P48" i="169"/>
  <c r="Q31" i="169"/>
  <c r="T20" i="169"/>
  <c r="P38" i="169"/>
  <c r="T6" i="169"/>
  <c r="U6" i="169"/>
  <c r="Q14" i="169"/>
  <c r="R31" i="169"/>
  <c r="S49" i="169"/>
  <c r="Q8" i="169"/>
  <c r="R14" i="169"/>
  <c r="R23" i="169"/>
  <c r="S31" i="169"/>
  <c r="T40" i="169"/>
  <c r="T49" i="169"/>
  <c r="T38" i="169"/>
  <c r="T8" i="169"/>
  <c r="T14" i="169"/>
  <c r="T31" i="169"/>
  <c r="V49" i="169"/>
  <c r="S6" i="169"/>
  <c r="T12" i="169"/>
  <c r="U31" i="169"/>
  <c r="V8" i="169"/>
  <c r="Q24" i="169"/>
  <c r="U8" i="169"/>
  <c r="P24" i="169"/>
  <c r="P41" i="169"/>
  <c r="Q16" i="169"/>
  <c r="R24" i="169"/>
  <c r="Q42" i="169"/>
  <c r="U25" i="166"/>
  <c r="T8" i="166"/>
  <c r="T23" i="166"/>
  <c r="T40" i="166"/>
  <c r="P21" i="166"/>
  <c r="S40" i="166"/>
  <c r="T35" i="166"/>
  <c r="V52" i="166"/>
  <c r="U52" i="166"/>
  <c r="T52" i="166"/>
  <c r="T38" i="166"/>
  <c r="V25" i="166"/>
  <c r="Q43" i="166"/>
  <c r="V13" i="166"/>
  <c r="Q28" i="166"/>
  <c r="S43" i="166"/>
  <c r="Q30" i="166"/>
  <c r="P45" i="166"/>
  <c r="P16" i="166"/>
  <c r="T3" i="166"/>
  <c r="T32" i="166"/>
  <c r="T47" i="166"/>
  <c r="U3" i="166"/>
  <c r="Q18" i="166"/>
  <c r="P33" i="166"/>
  <c r="V18" i="166"/>
  <c r="P44" i="169"/>
  <c r="S40" i="169"/>
  <c r="S36" i="169"/>
  <c r="V32" i="169"/>
  <c r="R25" i="169"/>
  <c r="R21" i="169"/>
  <c r="T17" i="169"/>
  <c r="P14" i="169"/>
  <c r="U10" i="169"/>
  <c r="T7" i="169"/>
  <c r="P4" i="169"/>
  <c r="S51" i="169"/>
  <c r="V47" i="169"/>
  <c r="R40" i="169"/>
  <c r="R36" i="169"/>
  <c r="T32" i="169"/>
  <c r="V28" i="169"/>
  <c r="Q25" i="169"/>
  <c r="Q21" i="169"/>
  <c r="S17" i="169"/>
  <c r="T10" i="169"/>
  <c r="S7" i="169"/>
  <c r="R51" i="169"/>
  <c r="T47" i="169"/>
  <c r="V43" i="169"/>
  <c r="Q40" i="169"/>
  <c r="Q36" i="169"/>
  <c r="S32" i="169"/>
  <c r="U28" i="169"/>
  <c r="P25" i="169"/>
  <c r="P21" i="169"/>
  <c r="R17" i="169"/>
  <c r="S10" i="169"/>
  <c r="R7" i="169"/>
  <c r="U3" i="169"/>
  <c r="R54" i="169"/>
  <c r="T50" i="169"/>
  <c r="V46" i="169"/>
  <c r="Q43" i="169"/>
  <c r="Q39" i="169"/>
  <c r="S53" i="169"/>
  <c r="U49" i="169"/>
  <c r="P46" i="169"/>
  <c r="P42" i="169"/>
  <c r="R38" i="169"/>
  <c r="T34" i="169"/>
  <c r="P23" i="169"/>
  <c r="S19" i="169"/>
  <c r="T15" i="169"/>
  <c r="R12" i="169"/>
  <c r="U5" i="169"/>
  <c r="Q2" i="169"/>
  <c r="R53" i="169"/>
  <c r="P49" i="169"/>
  <c r="S44" i="169"/>
  <c r="S39" i="169"/>
  <c r="S30" i="169"/>
  <c r="S26" i="169"/>
  <c r="Q22" i="169"/>
  <c r="P17" i="169"/>
  <c r="T13" i="169"/>
  <c r="P9" i="169"/>
  <c r="V5" i="169"/>
  <c r="S48" i="169"/>
  <c r="P39" i="169"/>
  <c r="Q30" i="169"/>
  <c r="P26" i="169"/>
  <c r="V16" i="169"/>
  <c r="S5" i="169"/>
  <c r="V52" i="169"/>
  <c r="R48" i="169"/>
  <c r="U43" i="169"/>
  <c r="S34" i="169"/>
  <c r="P30" i="169"/>
  <c r="U16" i="169"/>
  <c r="R5" i="169"/>
  <c r="P53" i="169"/>
  <c r="R44" i="169"/>
  <c r="R39" i="169"/>
  <c r="V34" i="169"/>
  <c r="R30" i="169"/>
  <c r="R26" i="169"/>
  <c r="P22" i="169"/>
  <c r="S13" i="169"/>
  <c r="T5" i="169"/>
  <c r="U34" i="169"/>
  <c r="R13" i="169"/>
  <c r="U52" i="169"/>
  <c r="Q48" i="169"/>
  <c r="T43" i="169"/>
  <c r="V38" i="169"/>
  <c r="R34" i="169"/>
  <c r="V25" i="169"/>
  <c r="T16" i="169"/>
  <c r="V12" i="169"/>
  <c r="Q5" i="169"/>
  <c r="S46" i="169"/>
  <c r="V41" i="169"/>
  <c r="R37" i="169"/>
  <c r="R32" i="169"/>
  <c r="R28" i="169"/>
  <c r="T19" i="169"/>
  <c r="P15" i="169"/>
  <c r="R11" i="169"/>
  <c r="P8" i="169"/>
  <c r="S3" i="169"/>
  <c r="V50" i="169"/>
  <c r="R46" i="169"/>
  <c r="T41" i="169"/>
  <c r="Q37" i="169"/>
  <c r="P32" i="169"/>
  <c r="Q28" i="169"/>
  <c r="V23" i="169"/>
  <c r="R19" i="169"/>
  <c r="Q11" i="169"/>
  <c r="Q3" i="169"/>
  <c r="S50" i="169"/>
  <c r="Q46" i="169"/>
  <c r="S41" i="169"/>
  <c r="P37" i="169"/>
  <c r="P28" i="169"/>
  <c r="T23" i="169"/>
  <c r="Q19" i="169"/>
  <c r="V14" i="169"/>
  <c r="P11" i="169"/>
  <c r="Q7" i="169"/>
  <c r="P3" i="169"/>
  <c r="R50" i="169"/>
  <c r="R41" i="169"/>
  <c r="V31" i="169"/>
  <c r="S23" i="169"/>
  <c r="U14" i="169"/>
  <c r="P7" i="169"/>
  <c r="P19" i="169"/>
  <c r="V53" i="169"/>
  <c r="R49" i="169"/>
  <c r="V44" i="169"/>
  <c r="P40" i="169"/>
  <c r="R35" i="169"/>
  <c r="P31" i="169"/>
  <c r="V26" i="169"/>
  <c r="S22" i="169"/>
  <c r="V13" i="169"/>
  <c r="S9" i="169"/>
  <c r="P6" i="169"/>
  <c r="P2" i="169"/>
  <c r="T53" i="169"/>
  <c r="Q49" i="169"/>
  <c r="T44" i="169"/>
  <c r="P35" i="169"/>
  <c r="T26" i="169"/>
  <c r="R22" i="169"/>
  <c r="V17" i="169"/>
  <c r="U13" i="169"/>
  <c r="R9" i="169"/>
  <c r="S21" i="169"/>
  <c r="R8" i="169"/>
  <c r="U12" i="169"/>
  <c r="V19" i="169"/>
  <c r="Q33" i="169"/>
  <c r="U40" i="169"/>
  <c r="S47" i="169"/>
  <c r="S8" i="169"/>
  <c r="P27" i="169"/>
  <c r="R33" i="169"/>
  <c r="V40" i="169"/>
  <c r="T3" i="169"/>
  <c r="Q15" i="169"/>
  <c r="T35" i="169"/>
  <c r="P50" i="169"/>
  <c r="R15" i="169"/>
  <c r="T22" i="169"/>
  <c r="P29" i="169"/>
  <c r="V35" i="169"/>
  <c r="P43" i="169"/>
  <c r="Q4" i="169"/>
  <c r="S15" i="169"/>
  <c r="U22" i="169"/>
  <c r="R29" i="169"/>
  <c r="R43" i="169"/>
  <c r="P51" i="169"/>
  <c r="R4" i="169"/>
  <c r="T9" i="169"/>
  <c r="V22" i="169"/>
  <c r="S29" i="169"/>
  <c r="P36" i="169"/>
  <c r="S43" i="169"/>
  <c r="Q51" i="169"/>
  <c r="S4" i="169"/>
  <c r="U9" i="169"/>
  <c r="P16" i="169"/>
  <c r="T29" i="169"/>
  <c r="T13" i="170"/>
  <c r="S25" i="170"/>
  <c r="V13" i="170"/>
  <c r="P14" i="170"/>
  <c r="Q14" i="170"/>
  <c r="P28" i="170"/>
  <c r="S44" i="170"/>
  <c r="P5" i="170"/>
  <c r="U14" i="170"/>
  <c r="U44" i="170"/>
  <c r="Q5" i="170"/>
  <c r="V44" i="170"/>
  <c r="T25" i="170"/>
  <c r="T35" i="170"/>
  <c r="T46" i="170"/>
  <c r="V16" i="170"/>
  <c r="U25" i="170"/>
  <c r="Q36" i="170"/>
  <c r="Q47" i="170"/>
  <c r="Q17" i="170"/>
  <c r="V26" i="170"/>
  <c r="R47" i="170"/>
  <c r="R17" i="170"/>
  <c r="P38" i="170"/>
  <c r="T19" i="170"/>
  <c r="Q50" i="170"/>
  <c r="U2" i="170"/>
  <c r="V19" i="170"/>
  <c r="R50" i="170"/>
  <c r="V29" i="170"/>
  <c r="Q11" i="170"/>
  <c r="P30" i="170"/>
  <c r="P41" i="170"/>
  <c r="P3" i="170"/>
  <c r="R11" i="170"/>
  <c r="S20" i="170"/>
  <c r="Q30" i="170"/>
  <c r="Q41" i="170"/>
  <c r="R9" i="170"/>
  <c r="U11" i="170"/>
  <c r="R41" i="170"/>
  <c r="U52" i="170"/>
  <c r="P4" i="170"/>
  <c r="V11" i="170"/>
  <c r="P31" i="170"/>
  <c r="T41" i="170"/>
  <c r="V52" i="170"/>
  <c r="R4" i="170"/>
  <c r="P22" i="170"/>
  <c r="U41" i="170"/>
  <c r="U35" i="170"/>
  <c r="S41" i="170"/>
  <c r="P47" i="170"/>
  <c r="P53" i="170"/>
  <c r="T5" i="170"/>
  <c r="S9" i="170"/>
  <c r="T20" i="170"/>
  <c r="V25" i="170"/>
  <c r="Q31" i="170"/>
  <c r="V41" i="170"/>
  <c r="T47" i="170"/>
  <c r="S53" i="170"/>
  <c r="U5" i="170"/>
  <c r="T9" i="170"/>
  <c r="U20" i="170"/>
  <c r="S31" i="170"/>
  <c r="P37" i="170"/>
  <c r="U47" i="170"/>
  <c r="T53" i="170"/>
  <c r="P42" i="170"/>
  <c r="P15" i="170"/>
  <c r="V20" i="170"/>
  <c r="P26" i="170"/>
  <c r="T31" i="170"/>
  <c r="Q37" i="170"/>
  <c r="Q6" i="170"/>
  <c r="T10" i="170"/>
  <c r="Q15" i="170"/>
  <c r="Q26" i="170"/>
  <c r="V31" i="170"/>
  <c r="S37" i="170"/>
  <c r="Q48" i="170"/>
  <c r="P54" i="170"/>
  <c r="R6" i="170"/>
  <c r="U10" i="170"/>
  <c r="P21" i="170"/>
  <c r="R26" i="170"/>
  <c r="T37" i="170"/>
  <c r="P43" i="170"/>
  <c r="V6" i="170"/>
  <c r="P16" i="170"/>
  <c r="Q21" i="170"/>
  <c r="S26" i="170"/>
  <c r="S32" i="170"/>
  <c r="U37" i="170"/>
  <c r="Q43" i="170"/>
  <c r="T49" i="170"/>
  <c r="P11" i="170"/>
  <c r="U16" i="170"/>
  <c r="U26" i="170"/>
  <c r="T32" i="170"/>
  <c r="V37" i="170"/>
  <c r="S43" i="170"/>
  <c r="U49" i="170"/>
  <c r="V2" i="170"/>
  <c r="R7" i="170"/>
  <c r="T11" i="170"/>
  <c r="P17" i="170"/>
  <c r="S22" i="170"/>
  <c r="P27" i="170"/>
  <c r="Q38" i="170"/>
  <c r="T44" i="170"/>
  <c r="P50" i="170"/>
  <c r="Q3" i="170"/>
  <c r="Q8" i="170"/>
  <c r="S17" i="170"/>
  <c r="U28" i="170"/>
  <c r="P39" i="170"/>
  <c r="U50" i="170"/>
  <c r="R3" i="170"/>
  <c r="T8" i="170"/>
  <c r="Q12" i="170"/>
  <c r="T17" i="170"/>
  <c r="P23" i="170"/>
  <c r="V28" i="170"/>
  <c r="S34" i="170"/>
  <c r="P45" i="170"/>
  <c r="V50" i="170"/>
  <c r="S3" i="170"/>
  <c r="U8" i="170"/>
  <c r="R12" i="170"/>
  <c r="U17" i="170"/>
  <c r="Q23" i="170"/>
  <c r="T34" i="170"/>
  <c r="P40" i="170"/>
  <c r="Q45" i="170"/>
  <c r="T3" i="170"/>
  <c r="V8" i="170"/>
  <c r="V17" i="170"/>
  <c r="R23" i="170"/>
  <c r="S29" i="170"/>
  <c r="U34" i="170"/>
  <c r="U40" i="170"/>
  <c r="P51" i="170"/>
  <c r="U3" i="170"/>
  <c r="R13" i="170"/>
  <c r="T23" i="170"/>
  <c r="T29" i="170"/>
  <c r="V40" i="170"/>
  <c r="P46" i="170"/>
  <c r="V3" i="170"/>
  <c r="S13" i="170"/>
  <c r="P18" i="170"/>
  <c r="U29" i="170"/>
  <c r="P35" i="170"/>
  <c r="Q46" i="170"/>
  <c r="P52" i="170"/>
  <c r="T50" i="168"/>
  <c r="V18" i="168"/>
  <c r="P7" i="168"/>
  <c r="S50" i="168"/>
  <c r="Q18" i="168"/>
  <c r="Q50" i="168"/>
  <c r="P50" i="168"/>
  <c r="V5" i="168"/>
  <c r="S31" i="168"/>
  <c r="Q16" i="168"/>
  <c r="U5" i="168"/>
  <c r="R31" i="168"/>
  <c r="T5" i="168"/>
  <c r="Q31" i="168"/>
  <c r="P31" i="168"/>
  <c r="Q14" i="168"/>
  <c r="T53" i="168"/>
  <c r="T52" i="168"/>
  <c r="U8" i="168"/>
  <c r="U43" i="168"/>
  <c r="P42" i="168"/>
  <c r="V26" i="168"/>
  <c r="P54" i="168"/>
  <c r="V41" i="168"/>
  <c r="S25" i="168"/>
  <c r="U41" i="168"/>
  <c r="U53" i="168"/>
  <c r="T41" i="168"/>
  <c r="V24" i="168"/>
  <c r="V8" i="168"/>
  <c r="T8" i="168"/>
  <c r="U50" i="168"/>
  <c r="P39" i="167"/>
  <c r="Q24" i="167"/>
  <c r="U3" i="167"/>
  <c r="P31" i="167"/>
  <c r="Q31" i="167"/>
  <c r="P24" i="167"/>
  <c r="S3" i="167"/>
  <c r="V38" i="167"/>
  <c r="R38" i="167"/>
  <c r="U29" i="167"/>
  <c r="T38" i="167"/>
  <c r="V23" i="167"/>
  <c r="V14" i="167"/>
  <c r="V8" i="167"/>
  <c r="P21" i="167"/>
  <c r="T14" i="167"/>
  <c r="U8" i="167"/>
  <c r="Q21" i="167"/>
  <c r="S8" i="167"/>
  <c r="R37" i="167"/>
  <c r="T29" i="167"/>
  <c r="R8" i="167"/>
  <c r="V29" i="167"/>
  <c r="Q14" i="167"/>
  <c r="T8" i="167"/>
  <c r="S37" i="167"/>
  <c r="P14" i="167"/>
  <c r="Q37" i="167"/>
  <c r="R29" i="167"/>
  <c r="Q8" i="167"/>
  <c r="P37" i="167"/>
  <c r="Q29" i="167"/>
  <c r="V20" i="167"/>
  <c r="P29" i="167"/>
  <c r="U20" i="167"/>
  <c r="V12" i="167"/>
  <c r="T35" i="167"/>
  <c r="Q28" i="167"/>
  <c r="P20" i="167"/>
  <c r="S12" i="167"/>
  <c r="U5" i="167"/>
  <c r="S25" i="167"/>
  <c r="R35" i="167"/>
  <c r="T5" i="167"/>
  <c r="Q35" i="167"/>
  <c r="U19" i="167"/>
  <c r="V11" i="167"/>
  <c r="S5" i="167"/>
  <c r="P35" i="167"/>
  <c r="P26" i="167"/>
  <c r="T19" i="167"/>
  <c r="R5" i="167"/>
  <c r="V10" i="167"/>
  <c r="Q42" i="167"/>
  <c r="V25" i="167"/>
  <c r="R18" i="167"/>
  <c r="U10" i="167"/>
  <c r="T4" i="167"/>
  <c r="Q33" i="167"/>
  <c r="Q18" i="167"/>
  <c r="T10" i="167"/>
  <c r="S4" i="167"/>
  <c r="P42" i="167"/>
  <c r="R41" i="167"/>
  <c r="Q25" i="167"/>
  <c r="Q4" i="167"/>
  <c r="V3" i="167"/>
  <c r="T32" i="167"/>
  <c r="P16" i="167"/>
  <c r="U32" i="167"/>
  <c r="P4" i="167"/>
  <c r="V32" i="167"/>
  <c r="R4" i="167"/>
  <c r="P17" i="167"/>
  <c r="P33" i="167"/>
  <c r="T20" i="167"/>
  <c r="R24" i="167"/>
  <c r="Q41" i="167"/>
  <c r="S10" i="167"/>
  <c r="P25" i="167"/>
  <c r="R25" i="167"/>
  <c r="T12" i="167"/>
  <c r="R6" i="166"/>
  <c r="R28" i="166"/>
  <c r="T6" i="166"/>
  <c r="S28" i="166"/>
  <c r="S8" i="166"/>
  <c r="P30" i="166"/>
  <c r="R43" i="166"/>
  <c r="T9" i="166"/>
  <c r="V47" i="166"/>
  <c r="U9" i="166"/>
  <c r="S23" i="166"/>
  <c r="S35" i="166"/>
  <c r="S52" i="166"/>
  <c r="S47" i="166"/>
  <c r="P43" i="166"/>
  <c r="U37" i="166"/>
  <c r="S32" i="166"/>
  <c r="P28" i="166"/>
  <c r="V17" i="166"/>
  <c r="U13" i="166"/>
  <c r="S9" i="166"/>
  <c r="T5" i="166"/>
  <c r="R52" i="166"/>
  <c r="Q47" i="166"/>
  <c r="T37" i="166"/>
  <c r="Q32" i="166"/>
  <c r="V22" i="166"/>
  <c r="U17" i="166"/>
  <c r="T13" i="166"/>
  <c r="R9" i="166"/>
  <c r="S5" i="166"/>
  <c r="P52" i="166"/>
  <c r="P47" i="166"/>
  <c r="V42" i="166"/>
  <c r="P37" i="166"/>
  <c r="P32" i="166"/>
  <c r="V27" i="166"/>
  <c r="U22" i="166"/>
  <c r="T17" i="166"/>
  <c r="S13" i="166"/>
  <c r="R5" i="166"/>
  <c r="Q42" i="166"/>
  <c r="Q27" i="166"/>
  <c r="S22" i="166"/>
  <c r="S17" i="166"/>
  <c r="R13" i="166"/>
  <c r="Q5" i="166"/>
  <c r="P17" i="166"/>
  <c r="S46" i="166"/>
  <c r="V51" i="166"/>
  <c r="V46" i="166"/>
  <c r="V36" i="166"/>
  <c r="V31" i="166"/>
  <c r="P27" i="166"/>
  <c r="R22" i="166"/>
  <c r="Q17" i="166"/>
  <c r="P5" i="166"/>
  <c r="Q51" i="166"/>
  <c r="U46" i="166"/>
  <c r="U41" i="166"/>
  <c r="Q36" i="166"/>
  <c r="U31" i="166"/>
  <c r="Q22" i="166"/>
  <c r="T12" i="166"/>
  <c r="S31" i="166"/>
  <c r="Q26" i="166"/>
  <c r="V16" i="166"/>
  <c r="P12" i="166"/>
  <c r="Q4" i="166"/>
  <c r="P51" i="166"/>
  <c r="T46" i="166"/>
  <c r="P41" i="166"/>
  <c r="P36" i="166"/>
  <c r="T31" i="166"/>
  <c r="S26" i="166"/>
  <c r="P22" i="166"/>
  <c r="Q12" i="166"/>
  <c r="R4" i="166"/>
  <c r="V50" i="166"/>
  <c r="R46" i="166"/>
  <c r="V40" i="166"/>
  <c r="V35" i="166"/>
  <c r="R31" i="166"/>
  <c r="P26" i="166"/>
  <c r="V21" i="166"/>
  <c r="U16" i="166"/>
  <c r="V8" i="166"/>
  <c r="P4" i="166"/>
  <c r="U50" i="166"/>
  <c r="U40" i="166"/>
  <c r="U35" i="166"/>
  <c r="Q21" i="166"/>
  <c r="Q16" i="166"/>
  <c r="U11" i="166"/>
  <c r="U8" i="166"/>
  <c r="V44" i="166"/>
  <c r="R40" i="166"/>
  <c r="P35" i="166"/>
  <c r="T25" i="166"/>
  <c r="V20" i="166"/>
  <c r="Q15" i="166"/>
  <c r="R11" i="166"/>
  <c r="R8" i="166"/>
  <c r="R3" i="166"/>
  <c r="S49" i="166"/>
  <c r="U44" i="166"/>
  <c r="Q40" i="166"/>
  <c r="V29" i="166"/>
  <c r="S25" i="166"/>
  <c r="Q20" i="166"/>
  <c r="P15" i="166"/>
  <c r="Q11" i="166"/>
  <c r="P8" i="166"/>
  <c r="Q3" i="166"/>
  <c r="Q49" i="166"/>
  <c r="R34" i="166"/>
  <c r="T29" i="166"/>
  <c r="Q25" i="166"/>
  <c r="R7" i="166"/>
  <c r="P49" i="166"/>
  <c r="V10" i="166"/>
  <c r="P53" i="166"/>
  <c r="V43" i="166"/>
  <c r="P19" i="166"/>
  <c r="S10" i="166"/>
  <c r="S2" i="166"/>
  <c r="R49" i="166"/>
  <c r="T44" i="166"/>
  <c r="P40" i="166"/>
  <c r="V34" i="166"/>
  <c r="U29" i="166"/>
  <c r="R25" i="166"/>
  <c r="P20" i="166"/>
  <c r="P11" i="166"/>
  <c r="P3" i="166"/>
  <c r="S44" i="166"/>
  <c r="Q44" i="166"/>
  <c r="Q7" i="166"/>
  <c r="V33" i="166"/>
  <c r="Q39" i="166"/>
  <c r="Q34" i="166"/>
  <c r="S29" i="166"/>
  <c r="V19" i="166"/>
  <c r="V14" i="166"/>
  <c r="V2" i="166"/>
  <c r="V53" i="166"/>
  <c r="P44" i="166"/>
  <c r="P39" i="166"/>
  <c r="P34" i="166"/>
  <c r="Q29" i="166"/>
  <c r="Q24" i="166"/>
  <c r="U19" i="166"/>
  <c r="U14" i="166"/>
  <c r="U10" i="166"/>
  <c r="P7" i="166"/>
  <c r="U2" i="166"/>
  <c r="U53" i="166"/>
  <c r="V48" i="166"/>
  <c r="P29" i="166"/>
  <c r="P24" i="166"/>
  <c r="Q19" i="166"/>
  <c r="R14" i="166"/>
  <c r="T10" i="166"/>
  <c r="T2" i="166"/>
  <c r="Q48" i="166"/>
  <c r="V38" i="166"/>
  <c r="Q14" i="166"/>
  <c r="V6" i="166"/>
  <c r="P48" i="166"/>
  <c r="T43" i="166"/>
  <c r="U38" i="166"/>
  <c r="Q33" i="166"/>
  <c r="T28" i="166"/>
  <c r="V23" i="166"/>
  <c r="P14" i="166"/>
  <c r="R10" i="166"/>
  <c r="U6" i="166"/>
  <c r="U23" i="166"/>
  <c r="S11" i="166"/>
  <c r="S50" i="166"/>
  <c r="T11" i="166"/>
  <c r="V37" i="166"/>
  <c r="T50" i="166"/>
  <c r="U28" i="165"/>
  <c r="S26" i="161"/>
  <c r="T30" i="161"/>
  <c r="U11" i="161"/>
  <c r="S20" i="161"/>
  <c r="V54" i="170"/>
  <c r="V51" i="170"/>
  <c r="V48" i="170"/>
  <c r="V45" i="170"/>
  <c r="V42" i="170"/>
  <c r="V39" i="170"/>
  <c r="V36" i="170"/>
  <c r="V33" i="170"/>
  <c r="V30" i="170"/>
  <c r="V27" i="170"/>
  <c r="V24" i="170"/>
  <c r="V21" i="170"/>
  <c r="V18" i="170"/>
  <c r="Q13" i="170"/>
  <c r="R10" i="170"/>
  <c r="U54" i="170"/>
  <c r="U51" i="170"/>
  <c r="U48" i="170"/>
  <c r="U45" i="170"/>
  <c r="U42" i="170"/>
  <c r="U39" i="170"/>
  <c r="U36" i="170"/>
  <c r="U33" i="170"/>
  <c r="U30" i="170"/>
  <c r="U27" i="170"/>
  <c r="U24" i="170"/>
  <c r="U21" i="170"/>
  <c r="U18" i="170"/>
  <c r="V15" i="170"/>
  <c r="P13" i="170"/>
  <c r="Q10" i="170"/>
  <c r="V7" i="170"/>
  <c r="V4" i="170"/>
  <c r="T54" i="170"/>
  <c r="T51" i="170"/>
  <c r="T48" i="170"/>
  <c r="T45" i="170"/>
  <c r="T42" i="170"/>
  <c r="T39" i="170"/>
  <c r="T36" i="170"/>
  <c r="T33" i="170"/>
  <c r="T30" i="170"/>
  <c r="T27" i="170"/>
  <c r="T24" i="170"/>
  <c r="T21" i="170"/>
  <c r="T18" i="170"/>
  <c r="U15" i="170"/>
  <c r="P10" i="170"/>
  <c r="U7" i="170"/>
  <c r="U4" i="170"/>
  <c r="S54" i="170"/>
  <c r="S51" i="170"/>
  <c r="S48" i="170"/>
  <c r="S45" i="170"/>
  <c r="S42" i="170"/>
  <c r="S39" i="170"/>
  <c r="S36" i="170"/>
  <c r="S33" i="170"/>
  <c r="S30" i="170"/>
  <c r="S27" i="170"/>
  <c r="S24" i="170"/>
  <c r="S21" i="170"/>
  <c r="S18" i="170"/>
  <c r="T15" i="170"/>
  <c r="T7" i="170"/>
  <c r="T4" i="170"/>
  <c r="R54" i="170"/>
  <c r="R51" i="170"/>
  <c r="R48" i="170"/>
  <c r="R45" i="170"/>
  <c r="R42" i="170"/>
  <c r="R39" i="170"/>
  <c r="R36" i="170"/>
  <c r="R33" i="170"/>
  <c r="R30" i="170"/>
  <c r="R27" i="170"/>
  <c r="R24" i="170"/>
  <c r="R21" i="170"/>
  <c r="R18" i="170"/>
  <c r="S15" i="170"/>
  <c r="V12" i="170"/>
  <c r="V9" i="170"/>
  <c r="S7" i="170"/>
  <c r="S4" i="170"/>
  <c r="R52" i="170"/>
  <c r="R49" i="170"/>
  <c r="R46" i="170"/>
  <c r="R43" i="170"/>
  <c r="R40" i="170"/>
  <c r="R37" i="170"/>
  <c r="R34" i="170"/>
  <c r="R31" i="170"/>
  <c r="R28" i="170"/>
  <c r="R25" i="170"/>
  <c r="R22" i="170"/>
  <c r="R19" i="170"/>
  <c r="R16" i="170"/>
  <c r="U13" i="170"/>
  <c r="V10" i="170"/>
  <c r="S8" i="170"/>
  <c r="S5" i="170"/>
  <c r="S2" i="170"/>
  <c r="T52" i="170"/>
  <c r="P48" i="170"/>
  <c r="R44" i="170"/>
  <c r="T40" i="170"/>
  <c r="P36" i="170"/>
  <c r="R32" i="170"/>
  <c r="T28" i="170"/>
  <c r="P24" i="170"/>
  <c r="R20" i="170"/>
  <c r="T16" i="170"/>
  <c r="U12" i="170"/>
  <c r="P9" i="170"/>
  <c r="P6" i="170"/>
  <c r="R2" i="170"/>
  <c r="S52" i="170"/>
  <c r="Q44" i="170"/>
  <c r="S40" i="170"/>
  <c r="Q32" i="170"/>
  <c r="S28" i="170"/>
  <c r="Q20" i="170"/>
  <c r="S16" i="170"/>
  <c r="T12" i="170"/>
  <c r="Q2" i="170"/>
  <c r="P44" i="170"/>
  <c r="Q52" i="170"/>
  <c r="V47" i="170"/>
  <c r="Q40" i="170"/>
  <c r="V35" i="170"/>
  <c r="P32" i="170"/>
  <c r="Q28" i="170"/>
  <c r="V23" i="170"/>
  <c r="P20" i="170"/>
  <c r="Q16" i="170"/>
  <c r="S12" i="170"/>
  <c r="V5" i="170"/>
  <c r="P2" i="170"/>
  <c r="Q51" i="170"/>
  <c r="S47" i="170"/>
  <c r="U43" i="170"/>
  <c r="Q39" i="170"/>
  <c r="S35" i="170"/>
  <c r="U31" i="170"/>
  <c r="Q27" i="170"/>
  <c r="S23" i="170"/>
  <c r="U19" i="170"/>
  <c r="R15" i="170"/>
  <c r="P12" i="170"/>
  <c r="R5" i="170"/>
  <c r="T50" i="170"/>
  <c r="V46" i="170"/>
  <c r="T38" i="170"/>
  <c r="V34" i="170"/>
  <c r="T26" i="170"/>
  <c r="V22" i="170"/>
  <c r="V14" i="170"/>
  <c r="S11" i="170"/>
  <c r="R8" i="170"/>
  <c r="Q4" i="170"/>
  <c r="Q54" i="170"/>
  <c r="S50" i="170"/>
  <c r="U46" i="170"/>
  <c r="Q42" i="170"/>
  <c r="S6" i="170"/>
  <c r="U9" i="170"/>
  <c r="R14" i="170"/>
  <c r="P19" i="170"/>
  <c r="U23" i="170"/>
  <c r="P29" i="170"/>
  <c r="R38" i="170"/>
  <c r="T43" i="170"/>
  <c r="P49" i="170"/>
  <c r="U53" i="170"/>
  <c r="T6" i="170"/>
  <c r="S14" i="170"/>
  <c r="Q19" i="170"/>
  <c r="Q29" i="170"/>
  <c r="P34" i="170"/>
  <c r="S38" i="170"/>
  <c r="V43" i="170"/>
  <c r="Q49" i="170"/>
  <c r="V53" i="170"/>
  <c r="T2" i="170"/>
  <c r="U6" i="170"/>
  <c r="S10" i="170"/>
  <c r="T14" i="170"/>
  <c r="S19" i="170"/>
  <c r="Q24" i="170"/>
  <c r="R29" i="170"/>
  <c r="Q34" i="170"/>
  <c r="U38" i="170"/>
  <c r="S49" i="170"/>
  <c r="R3" i="169"/>
  <c r="R6" i="169"/>
  <c r="U11" i="169"/>
  <c r="S14" i="169"/>
  <c r="Q17" i="169"/>
  <c r="Q20" i="169"/>
  <c r="Q23" i="169"/>
  <c r="Q26" i="169"/>
  <c r="Q29" i="169"/>
  <c r="Q32" i="169"/>
  <c r="Q35" i="169"/>
  <c r="Q38" i="169"/>
  <c r="Q41" i="169"/>
  <c r="Q44" i="169"/>
  <c r="Q47" i="169"/>
  <c r="Q50" i="169"/>
  <c r="Q53" i="169"/>
  <c r="V3" i="169"/>
  <c r="V6" i="169"/>
  <c r="Q9" i="169"/>
  <c r="Q12" i="169"/>
  <c r="U17" i="169"/>
  <c r="U20" i="169"/>
  <c r="U23" i="169"/>
  <c r="U26" i="169"/>
  <c r="U29" i="169"/>
  <c r="U32" i="169"/>
  <c r="U35" i="169"/>
  <c r="U38" i="169"/>
  <c r="U41" i="169"/>
  <c r="U44" i="169"/>
  <c r="U47" i="169"/>
  <c r="U50" i="169"/>
  <c r="U53" i="169"/>
  <c r="U4" i="169"/>
  <c r="U7" i="169"/>
  <c r="P10" i="169"/>
  <c r="U15" i="169"/>
  <c r="T18" i="169"/>
  <c r="T21" i="169"/>
  <c r="T24" i="169"/>
  <c r="T27" i="169"/>
  <c r="T30" i="169"/>
  <c r="T33" i="169"/>
  <c r="T36" i="169"/>
  <c r="T39" i="169"/>
  <c r="T42" i="169"/>
  <c r="T45" i="169"/>
  <c r="T48" i="169"/>
  <c r="T51" i="169"/>
  <c r="T54" i="169"/>
  <c r="V4" i="169"/>
  <c r="V7" i="169"/>
  <c r="Q10" i="169"/>
  <c r="P13" i="169"/>
  <c r="V15" i="169"/>
  <c r="U18" i="169"/>
  <c r="U21" i="169"/>
  <c r="U24" i="169"/>
  <c r="U27" i="169"/>
  <c r="U30" i="169"/>
  <c r="U33" i="169"/>
  <c r="U36" i="169"/>
  <c r="U39" i="169"/>
  <c r="U42" i="169"/>
  <c r="U45" i="169"/>
  <c r="U48" i="169"/>
  <c r="U51" i="169"/>
  <c r="U54" i="169"/>
  <c r="R10" i="169"/>
  <c r="Q13" i="169"/>
  <c r="V18" i="169"/>
  <c r="V21" i="169"/>
  <c r="V24" i="169"/>
  <c r="V27" i="169"/>
  <c r="V30" i="169"/>
  <c r="V33" i="169"/>
  <c r="V36" i="169"/>
  <c r="V39" i="169"/>
  <c r="V42" i="169"/>
  <c r="V45" i="169"/>
  <c r="V48" i="169"/>
  <c r="V51" i="169"/>
  <c r="V54" i="169"/>
  <c r="V16" i="168"/>
  <c r="Q41" i="168"/>
  <c r="V44" i="168"/>
  <c r="T31" i="168"/>
  <c r="P23" i="168"/>
  <c r="Q23" i="168"/>
  <c r="Q33" i="168"/>
  <c r="Q13" i="168"/>
  <c r="S35" i="168"/>
  <c r="S23" i="168"/>
  <c r="Q46" i="168"/>
  <c r="T23" i="168"/>
  <c r="U23" i="168"/>
  <c r="R13" i="168"/>
  <c r="P24" i="168"/>
  <c r="T35" i="168"/>
  <c r="Q49" i="168"/>
  <c r="T12" i="168"/>
  <c r="Q35" i="168"/>
  <c r="Q24" i="168"/>
  <c r="U35" i="168"/>
  <c r="P9" i="168"/>
  <c r="V35" i="168"/>
  <c r="Q19" i="168"/>
  <c r="R19" i="168"/>
  <c r="P48" i="168"/>
  <c r="S19" i="168"/>
  <c r="S11" i="168"/>
  <c r="S37" i="168"/>
  <c r="T11" i="168"/>
  <c r="U19" i="168"/>
  <c r="S29" i="168"/>
  <c r="T37" i="168"/>
  <c r="V48" i="168"/>
  <c r="S53" i="168"/>
  <c r="P41" i="168"/>
  <c r="P35" i="168"/>
  <c r="T28" i="168"/>
  <c r="V22" i="168"/>
  <c r="P16" i="168"/>
  <c r="Q11" i="168"/>
  <c r="S5" i="168"/>
  <c r="T46" i="168"/>
  <c r="P28" i="168"/>
  <c r="V10" i="168"/>
  <c r="S46" i="168"/>
  <c r="Q53" i="168"/>
  <c r="R28" i="168"/>
  <c r="P11" i="168"/>
  <c r="R5" i="168"/>
  <c r="P34" i="168"/>
  <c r="Q15" i="168"/>
  <c r="V52" i="168"/>
  <c r="U20" i="168"/>
  <c r="R4" i="168"/>
  <c r="U52" i="168"/>
  <c r="P40" i="168"/>
  <c r="V33" i="168"/>
  <c r="Q9" i="168"/>
  <c r="Q4" i="168"/>
  <c r="P53" i="168"/>
  <c r="U46" i="168"/>
  <c r="V40" i="168"/>
  <c r="Q34" i="168"/>
  <c r="Q28" i="168"/>
  <c r="R15" i="168"/>
  <c r="Q5" i="168"/>
  <c r="U40" i="168"/>
  <c r="V20" i="168"/>
  <c r="T40" i="168"/>
  <c r="P15" i="168"/>
  <c r="R46" i="168"/>
  <c r="T20" i="168"/>
  <c r="S52" i="168"/>
  <c r="P46" i="168"/>
  <c r="V39" i="168"/>
  <c r="U26" i="168"/>
  <c r="Q20" i="168"/>
  <c r="V14" i="168"/>
  <c r="Q39" i="168"/>
  <c r="P20" i="168"/>
  <c r="U14" i="168"/>
  <c r="R3" i="168"/>
  <c r="Q45" i="168"/>
  <c r="V31" i="168"/>
  <c r="S14" i="168"/>
  <c r="Q3" i="168"/>
  <c r="V50" i="168"/>
  <c r="P45" i="168"/>
  <c r="U31" i="168"/>
  <c r="T25" i="168"/>
  <c r="V19" i="168"/>
  <c r="R14" i="168"/>
  <c r="P3" i="168"/>
  <c r="U25" i="168"/>
  <c r="V42" i="168"/>
  <c r="P37" i="168"/>
  <c r="P19" i="168"/>
  <c r="Q8" i="168"/>
  <c r="R49" i="168"/>
  <c r="Q42" i="168"/>
  <c r="V23" i="168"/>
  <c r="U12" i="168"/>
  <c r="V2" i="168"/>
  <c r="P29" i="168"/>
  <c r="T19" i="168"/>
  <c r="Q48" i="168"/>
  <c r="P4" i="168"/>
  <c r="U11" i="168"/>
  <c r="T29" i="168"/>
  <c r="U37" i="168"/>
  <c r="R11" i="168"/>
  <c r="Q37" i="168"/>
  <c r="Q29" i="168"/>
  <c r="S20" i="168"/>
  <c r="U29" i="168"/>
  <c r="V37" i="168"/>
  <c r="P49" i="168"/>
  <c r="P8" i="168"/>
  <c r="R16" i="168"/>
  <c r="P27" i="168"/>
  <c r="P32" i="168"/>
  <c r="Q44" i="168"/>
  <c r="S49" i="168"/>
  <c r="Q54" i="168"/>
  <c r="Q32" i="168"/>
  <c r="S44" i="168"/>
  <c r="V54" i="168"/>
  <c r="R8" i="168"/>
  <c r="R12" i="168"/>
  <c r="T16" i="168"/>
  <c r="T22" i="168"/>
  <c r="V27" i="168"/>
  <c r="Q38" i="168"/>
  <c r="T44" i="168"/>
  <c r="U49" i="168"/>
  <c r="V47" i="168"/>
  <c r="P44" i="168"/>
  <c r="S40" i="168"/>
  <c r="V36" i="168"/>
  <c r="U32" i="168"/>
  <c r="R25" i="168"/>
  <c r="Q21" i="168"/>
  <c r="T17" i="168"/>
  <c r="U10" i="168"/>
  <c r="V3" i="168"/>
  <c r="V51" i="168"/>
  <c r="U47" i="168"/>
  <c r="R40" i="168"/>
  <c r="Q36" i="168"/>
  <c r="T32" i="168"/>
  <c r="V28" i="168"/>
  <c r="Q25" i="168"/>
  <c r="P21" i="168"/>
  <c r="S17" i="168"/>
  <c r="T10" i="168"/>
  <c r="R7" i="168"/>
  <c r="U3" i="168"/>
  <c r="Q51" i="168"/>
  <c r="T47" i="168"/>
  <c r="V43" i="168"/>
  <c r="Q40" i="168"/>
  <c r="P36" i="168"/>
  <c r="S32" i="168"/>
  <c r="U28" i="168"/>
  <c r="P25" i="168"/>
  <c r="Q17" i="168"/>
  <c r="V13" i="168"/>
  <c r="S10" i="168"/>
  <c r="Q7" i="168"/>
  <c r="T3" i="168"/>
  <c r="R52" i="168"/>
  <c r="T43" i="168"/>
  <c r="P39" i="168"/>
  <c r="T26" i="168"/>
  <c r="S22" i="168"/>
  <c r="P18" i="168"/>
  <c r="P14" i="168"/>
  <c r="R10" i="168"/>
  <c r="V6" i="168"/>
  <c r="U2" i="168"/>
  <c r="P51" i="168"/>
  <c r="T13" i="168"/>
  <c r="Q2" i="168"/>
  <c r="V46" i="168"/>
  <c r="S38" i="168"/>
  <c r="V25" i="168"/>
  <c r="S13" i="168"/>
  <c r="P2" i="168"/>
  <c r="Q52" i="168"/>
  <c r="S47" i="168"/>
  <c r="S43" i="168"/>
  <c r="V34" i="168"/>
  <c r="V30" i="168"/>
  <c r="S26" i="168"/>
  <c r="R22" i="168"/>
  <c r="U6" i="168"/>
  <c r="T2" i="168"/>
  <c r="Q43" i="168"/>
  <c r="T34" i="168"/>
  <c r="P26" i="168"/>
  <c r="U17" i="168"/>
  <c r="T9" i="168"/>
  <c r="R2" i="168"/>
  <c r="T38" i="168"/>
  <c r="P17" i="168"/>
  <c r="Q6" i="168"/>
  <c r="V29" i="168"/>
  <c r="P6" i="168"/>
  <c r="P52" i="168"/>
  <c r="Q47" i="168"/>
  <c r="R43" i="168"/>
  <c r="V38" i="168"/>
  <c r="U34" i="168"/>
  <c r="Q30" i="168"/>
  <c r="Q26" i="168"/>
  <c r="Q22" i="168"/>
  <c r="V17" i="168"/>
  <c r="U9" i="168"/>
  <c r="T6" i="168"/>
  <c r="S2" i="168"/>
  <c r="P47" i="168"/>
  <c r="U38" i="168"/>
  <c r="P30" i="168"/>
  <c r="P22" i="168"/>
  <c r="U13" i="168"/>
  <c r="R6" i="168"/>
  <c r="P43" i="168"/>
  <c r="S34" i="168"/>
  <c r="S9" i="168"/>
  <c r="R34" i="168"/>
  <c r="V21" i="168"/>
  <c r="R9" i="168"/>
  <c r="V53" i="168"/>
  <c r="V49" i="168"/>
  <c r="V45" i="168"/>
  <c r="S41" i="168"/>
  <c r="R37" i="168"/>
  <c r="V32" i="168"/>
  <c r="S28" i="168"/>
  <c r="Q12" i="168"/>
  <c r="P5" i="168"/>
  <c r="P12" i="168"/>
  <c r="S16" i="168"/>
  <c r="Q27" i="168"/>
  <c r="P38" i="168"/>
  <c r="T49" i="168"/>
  <c r="S8" i="168"/>
  <c r="S12" i="168"/>
  <c r="U16" i="168"/>
  <c r="U22" i="168"/>
  <c r="P33" i="168"/>
  <c r="U44" i="168"/>
  <c r="S3" i="168"/>
  <c r="S6" i="168"/>
  <c r="V11" i="168"/>
  <c r="T14" i="168"/>
  <c r="R17" i="168"/>
  <c r="R20" i="168"/>
  <c r="R23" i="168"/>
  <c r="R26" i="168"/>
  <c r="R29" i="168"/>
  <c r="R32" i="168"/>
  <c r="R35" i="168"/>
  <c r="R38" i="168"/>
  <c r="R41" i="168"/>
  <c r="R44" i="168"/>
  <c r="R47" i="168"/>
  <c r="R50" i="168"/>
  <c r="R53" i="168"/>
  <c r="S4" i="168"/>
  <c r="S7" i="168"/>
  <c r="V9" i="168"/>
  <c r="V12" i="168"/>
  <c r="S15" i="168"/>
  <c r="R18" i="168"/>
  <c r="R21" i="168"/>
  <c r="R24" i="168"/>
  <c r="R27" i="168"/>
  <c r="R30" i="168"/>
  <c r="R33" i="168"/>
  <c r="R36" i="168"/>
  <c r="R39" i="168"/>
  <c r="R42" i="168"/>
  <c r="R45" i="168"/>
  <c r="R48" i="168"/>
  <c r="R51" i="168"/>
  <c r="R54" i="168"/>
  <c r="T4" i="168"/>
  <c r="T7" i="168"/>
  <c r="T15" i="168"/>
  <c r="S18" i="168"/>
  <c r="S21" i="168"/>
  <c r="S24" i="168"/>
  <c r="S27" i="168"/>
  <c r="S30" i="168"/>
  <c r="S33" i="168"/>
  <c r="S36" i="168"/>
  <c r="S39" i="168"/>
  <c r="S42" i="168"/>
  <c r="S45" i="168"/>
  <c r="S48" i="168"/>
  <c r="S51" i="168"/>
  <c r="S54" i="168"/>
  <c r="U4" i="168"/>
  <c r="U7" i="168"/>
  <c r="P10" i="168"/>
  <c r="U15" i="168"/>
  <c r="T18" i="168"/>
  <c r="T21" i="168"/>
  <c r="T24" i="168"/>
  <c r="T27" i="168"/>
  <c r="T30" i="168"/>
  <c r="T33" i="168"/>
  <c r="T36" i="168"/>
  <c r="T39" i="168"/>
  <c r="T42" i="168"/>
  <c r="T45" i="168"/>
  <c r="T48" i="168"/>
  <c r="T51" i="168"/>
  <c r="T54" i="168"/>
  <c r="V4" i="168"/>
  <c r="V7" i="168"/>
  <c r="Q10" i="168"/>
  <c r="P13" i="168"/>
  <c r="V15" i="168"/>
  <c r="U18" i="168"/>
  <c r="U21" i="168"/>
  <c r="U24" i="168"/>
  <c r="U27" i="168"/>
  <c r="U30" i="168"/>
  <c r="U33" i="168"/>
  <c r="U36" i="168"/>
  <c r="U39" i="168"/>
  <c r="U42" i="168"/>
  <c r="U45" i="168"/>
  <c r="U48" i="168"/>
  <c r="U51" i="168"/>
  <c r="U54" i="168"/>
  <c r="P5" i="167"/>
  <c r="R14" i="167"/>
  <c r="Q20" i="167"/>
  <c r="T25" i="167"/>
  <c r="T37" i="167"/>
  <c r="Q5" i="167"/>
  <c r="S14" i="167"/>
  <c r="R20" i="167"/>
  <c r="U25" i="167"/>
  <c r="R32" i="167"/>
  <c r="U37" i="167"/>
  <c r="R16" i="167"/>
  <c r="R33" i="167"/>
  <c r="Q11" i="167"/>
  <c r="R39" i="167"/>
  <c r="S7" i="167"/>
  <c r="R11" i="167"/>
  <c r="T16" i="167"/>
  <c r="T28" i="167"/>
  <c r="P34" i="167"/>
  <c r="Q38" i="167"/>
  <c r="T34" i="167"/>
  <c r="V26" i="167"/>
  <c r="P23" i="167"/>
  <c r="S19" i="167"/>
  <c r="S15" i="167"/>
  <c r="R12" i="167"/>
  <c r="Q6" i="167"/>
  <c r="V2" i="167"/>
  <c r="V41" i="167"/>
  <c r="P38" i="167"/>
  <c r="S34" i="167"/>
  <c r="R30" i="167"/>
  <c r="U26" i="167"/>
  <c r="R19" i="167"/>
  <c r="R15" i="167"/>
  <c r="Q12" i="167"/>
  <c r="P6" i="167"/>
  <c r="U2" i="167"/>
  <c r="U41" i="167"/>
  <c r="R34" i="167"/>
  <c r="Q30" i="167"/>
  <c r="T26" i="167"/>
  <c r="V22" i="167"/>
  <c r="Q19" i="167"/>
  <c r="Q15" i="167"/>
  <c r="P12" i="167"/>
  <c r="T2" i="167"/>
  <c r="V37" i="167"/>
  <c r="Q34" i="167"/>
  <c r="R26" i="167"/>
  <c r="U22" i="167"/>
  <c r="P19" i="167"/>
  <c r="V5" i="167"/>
  <c r="S2" i="167"/>
  <c r="T41" i="167"/>
  <c r="P30" i="167"/>
  <c r="P15" i="167"/>
  <c r="R42" i="167"/>
  <c r="U38" i="167"/>
  <c r="R31" i="167"/>
  <c r="Q27" i="167"/>
  <c r="T23" i="167"/>
  <c r="V19" i="167"/>
  <c r="Q16" i="167"/>
  <c r="U12" i="167"/>
  <c r="R9" i="167"/>
  <c r="U6" i="167"/>
  <c r="Q3" i="167"/>
  <c r="P41" i="167"/>
  <c r="Q32" i="167"/>
  <c r="P28" i="167"/>
  <c r="V9" i="167"/>
  <c r="P7" i="167"/>
  <c r="V40" i="167"/>
  <c r="S22" i="167"/>
  <c r="U13" i="167"/>
  <c r="V6" i="167"/>
  <c r="T17" i="167"/>
  <c r="R40" i="167"/>
  <c r="R36" i="167"/>
  <c r="P32" i="167"/>
  <c r="T22" i="167"/>
  <c r="V17" i="167"/>
  <c r="V13" i="167"/>
  <c r="U9" i="167"/>
  <c r="R2" i="167"/>
  <c r="Q36" i="167"/>
  <c r="R27" i="167"/>
  <c r="U17" i="167"/>
  <c r="T9" i="167"/>
  <c r="Q2" i="167"/>
  <c r="U40" i="167"/>
  <c r="P36" i="167"/>
  <c r="V31" i="167"/>
  <c r="P27" i="167"/>
  <c r="R22" i="167"/>
  <c r="T13" i="167"/>
  <c r="S9" i="167"/>
  <c r="S6" i="167"/>
  <c r="P2" i="167"/>
  <c r="U35" i="167"/>
  <c r="S31" i="167"/>
  <c r="T40" i="167"/>
  <c r="U31" i="167"/>
  <c r="Q22" i="167"/>
  <c r="R17" i="167"/>
  <c r="S13" i="167"/>
  <c r="Q9" i="167"/>
  <c r="R6" i="167"/>
  <c r="S40" i="167"/>
  <c r="V35" i="167"/>
  <c r="T31" i="167"/>
  <c r="Q26" i="167"/>
  <c r="P22" i="167"/>
  <c r="Q17" i="167"/>
  <c r="R13" i="167"/>
  <c r="P9" i="167"/>
  <c r="R21" i="167"/>
  <c r="T7" i="167"/>
  <c r="S11" i="167"/>
  <c r="U16" i="167"/>
  <c r="Q23" i="167"/>
  <c r="U28" i="167"/>
  <c r="U34" i="167"/>
  <c r="P40" i="167"/>
  <c r="P11" i="167"/>
  <c r="Q39" i="167"/>
  <c r="R7" i="167"/>
  <c r="S16" i="167"/>
  <c r="S28" i="167"/>
  <c r="P3" i="167"/>
  <c r="T11" i="167"/>
  <c r="V16" i="167"/>
  <c r="R23" i="167"/>
  <c r="V28" i="167"/>
  <c r="V34" i="167"/>
  <c r="Q40" i="167"/>
  <c r="Q7" i="167"/>
  <c r="R28" i="167"/>
  <c r="R3" i="167"/>
  <c r="P8" i="167"/>
  <c r="U11" i="167"/>
  <c r="U23" i="167"/>
  <c r="T3" i="167"/>
  <c r="T6" i="167"/>
  <c r="U14" i="167"/>
  <c r="S17" i="167"/>
  <c r="S20" i="167"/>
  <c r="S23" i="167"/>
  <c r="S26" i="167"/>
  <c r="S29" i="167"/>
  <c r="S32" i="167"/>
  <c r="S35" i="167"/>
  <c r="S38" i="167"/>
  <c r="S41" i="167"/>
  <c r="T15" i="167"/>
  <c r="S18" i="167"/>
  <c r="S21" i="167"/>
  <c r="S24" i="167"/>
  <c r="S27" i="167"/>
  <c r="S30" i="167"/>
  <c r="S33" i="167"/>
  <c r="S36" i="167"/>
  <c r="S39" i="167"/>
  <c r="S42" i="167"/>
  <c r="U4" i="167"/>
  <c r="U7" i="167"/>
  <c r="P10" i="167"/>
  <c r="U15" i="167"/>
  <c r="T18" i="167"/>
  <c r="T21" i="167"/>
  <c r="T24" i="167"/>
  <c r="T27" i="167"/>
  <c r="T30" i="167"/>
  <c r="T33" i="167"/>
  <c r="T36" i="167"/>
  <c r="T39" i="167"/>
  <c r="T42" i="167"/>
  <c r="V4" i="167"/>
  <c r="V7" i="167"/>
  <c r="Q10" i="167"/>
  <c r="P13" i="167"/>
  <c r="V15" i="167"/>
  <c r="U18" i="167"/>
  <c r="U21" i="167"/>
  <c r="U24" i="167"/>
  <c r="U27" i="167"/>
  <c r="U30" i="167"/>
  <c r="U33" i="167"/>
  <c r="U36" i="167"/>
  <c r="U39" i="167"/>
  <c r="U42" i="167"/>
  <c r="R10" i="167"/>
  <c r="Q13" i="167"/>
  <c r="V18" i="167"/>
  <c r="V21" i="167"/>
  <c r="V24" i="167"/>
  <c r="V27" i="167"/>
  <c r="V30" i="167"/>
  <c r="V33" i="167"/>
  <c r="V36" i="167"/>
  <c r="V39" i="167"/>
  <c r="V42" i="167"/>
  <c r="V3" i="166"/>
  <c r="Q8" i="166"/>
  <c r="S14" i="166"/>
  <c r="P18" i="166"/>
  <c r="T22" i="166"/>
  <c r="T26" i="166"/>
  <c r="Q31" i="166"/>
  <c r="Q35" i="166"/>
  <c r="V39" i="166"/>
  <c r="U43" i="166"/>
  <c r="U47" i="166"/>
  <c r="Q52" i="166"/>
  <c r="R16" i="166"/>
  <c r="V24" i="166"/>
  <c r="U32" i="166"/>
  <c r="Q41" i="166"/>
  <c r="P6" i="166"/>
  <c r="P9" i="166"/>
  <c r="S16" i="166"/>
  <c r="T20" i="166"/>
  <c r="V28" i="166"/>
  <c r="V32" i="166"/>
  <c r="R37" i="166"/>
  <c r="S41" i="166"/>
  <c r="V45" i="166"/>
  <c r="P50" i="166"/>
  <c r="Q54" i="166"/>
  <c r="T53" i="166"/>
  <c r="V49" i="166"/>
  <c r="Q46" i="166"/>
  <c r="P42" i="166"/>
  <c r="S38" i="166"/>
  <c r="U34" i="166"/>
  <c r="P31" i="166"/>
  <c r="Q23" i="166"/>
  <c r="T19" i="166"/>
  <c r="S12" i="166"/>
  <c r="R2" i="166"/>
  <c r="T49" i="166"/>
  <c r="V41" i="166"/>
  <c r="S34" i="166"/>
  <c r="V30" i="166"/>
  <c r="R19" i="166"/>
  <c r="R15" i="166"/>
  <c r="U5" i="166"/>
  <c r="P2" i="166"/>
  <c r="S53" i="166"/>
  <c r="U49" i="166"/>
  <c r="P46" i="166"/>
  <c r="Q38" i="166"/>
  <c r="T34" i="166"/>
  <c r="V26" i="166"/>
  <c r="P23" i="166"/>
  <c r="S19" i="166"/>
  <c r="R12" i="166"/>
  <c r="V5" i="166"/>
  <c r="Q2" i="166"/>
  <c r="Q53" i="166"/>
  <c r="P38" i="166"/>
  <c r="U26" i="166"/>
  <c r="U12" i="166"/>
  <c r="S20" i="166"/>
  <c r="U28" i="166"/>
  <c r="Q37" i="166"/>
  <c r="Q45" i="166"/>
  <c r="P54" i="166"/>
  <c r="Q6" i="166"/>
  <c r="Q9" i="166"/>
  <c r="Q13" i="166"/>
  <c r="T16" i="166"/>
  <c r="U20" i="166"/>
  <c r="P25" i="166"/>
  <c r="S37" i="166"/>
  <c r="T41" i="166"/>
  <c r="Q50" i="166"/>
  <c r="V54" i="166"/>
  <c r="S3" i="166"/>
  <c r="S6" i="166"/>
  <c r="V11" i="166"/>
  <c r="T14" i="166"/>
  <c r="R17" i="166"/>
  <c r="R20" i="166"/>
  <c r="R23" i="166"/>
  <c r="R26" i="166"/>
  <c r="R29" i="166"/>
  <c r="R32" i="166"/>
  <c r="R35" i="166"/>
  <c r="R38" i="166"/>
  <c r="R41" i="166"/>
  <c r="R44" i="166"/>
  <c r="R47" i="166"/>
  <c r="R50" i="166"/>
  <c r="R53" i="166"/>
  <c r="S4" i="166"/>
  <c r="S7" i="166"/>
  <c r="V9" i="166"/>
  <c r="V12" i="166"/>
  <c r="S15" i="166"/>
  <c r="R18" i="166"/>
  <c r="R21" i="166"/>
  <c r="R24" i="166"/>
  <c r="R27" i="166"/>
  <c r="R30" i="166"/>
  <c r="R33" i="166"/>
  <c r="R36" i="166"/>
  <c r="R39" i="166"/>
  <c r="R42" i="166"/>
  <c r="R45" i="166"/>
  <c r="R48" i="166"/>
  <c r="R51" i="166"/>
  <c r="R54" i="166"/>
  <c r="T4" i="166"/>
  <c r="T7" i="166"/>
  <c r="T15" i="166"/>
  <c r="S18" i="166"/>
  <c r="S21" i="166"/>
  <c r="S24" i="166"/>
  <c r="S27" i="166"/>
  <c r="S30" i="166"/>
  <c r="S33" i="166"/>
  <c r="S36" i="166"/>
  <c r="S39" i="166"/>
  <c r="S42" i="166"/>
  <c r="S45" i="166"/>
  <c r="S48" i="166"/>
  <c r="S51" i="166"/>
  <c r="S54" i="166"/>
  <c r="U4" i="166"/>
  <c r="U7" i="166"/>
  <c r="P10" i="166"/>
  <c r="U15" i="166"/>
  <c r="T18" i="166"/>
  <c r="T21" i="166"/>
  <c r="T24" i="166"/>
  <c r="T27" i="166"/>
  <c r="T30" i="166"/>
  <c r="T33" i="166"/>
  <c r="T36" i="166"/>
  <c r="T39" i="166"/>
  <c r="T42" i="166"/>
  <c r="T45" i="166"/>
  <c r="T48" i="166"/>
  <c r="T51" i="166"/>
  <c r="T54" i="166"/>
  <c r="V4" i="166"/>
  <c r="V7" i="166"/>
  <c r="Q10" i="166"/>
  <c r="P13" i="166"/>
  <c r="V15" i="166"/>
  <c r="U18" i="166"/>
  <c r="U21" i="166"/>
  <c r="U24" i="166"/>
  <c r="U27" i="166"/>
  <c r="U30" i="166"/>
  <c r="U33" i="166"/>
  <c r="U36" i="166"/>
  <c r="U39" i="166"/>
  <c r="U42" i="166"/>
  <c r="U45" i="166"/>
  <c r="U48" i="166"/>
  <c r="U51" i="166"/>
  <c r="U54" i="166"/>
  <c r="R9" i="165"/>
  <c r="T40" i="165"/>
  <c r="V40" i="165"/>
  <c r="U6" i="165"/>
  <c r="V6" i="165"/>
  <c r="U9" i="165"/>
  <c r="V28" i="165"/>
  <c r="Q47" i="165"/>
  <c r="R47" i="165"/>
  <c r="S14" i="165"/>
  <c r="Q35" i="165"/>
  <c r="R35" i="165"/>
  <c r="S35" i="165"/>
  <c r="S47" i="165"/>
  <c r="U23" i="165"/>
  <c r="U35" i="165"/>
  <c r="P2" i="165"/>
  <c r="V23" i="165"/>
  <c r="V35" i="165"/>
  <c r="T3" i="165"/>
  <c r="T13" i="165"/>
  <c r="P24" i="165"/>
  <c r="U13" i="165"/>
  <c r="Q24" i="165"/>
  <c r="U37" i="165"/>
  <c r="V13" i="165"/>
  <c r="S6" i="165"/>
  <c r="P26" i="165"/>
  <c r="T6" i="165"/>
  <c r="P14" i="165"/>
  <c r="S40" i="165"/>
  <c r="R8" i="165"/>
  <c r="Q16" i="165"/>
  <c r="S29" i="165"/>
  <c r="U29" i="165"/>
  <c r="V17" i="165"/>
  <c r="P18" i="165"/>
  <c r="P46" i="165"/>
  <c r="Q18" i="165"/>
  <c r="Q46" i="165"/>
  <c r="R46" i="165"/>
  <c r="Q9" i="165"/>
  <c r="V45" i="165"/>
  <c r="V42" i="165"/>
  <c r="V39" i="165"/>
  <c r="V36" i="165"/>
  <c r="V33" i="165"/>
  <c r="V30" i="165"/>
  <c r="V27" i="165"/>
  <c r="V24" i="165"/>
  <c r="V21" i="165"/>
  <c r="V18" i="165"/>
  <c r="Q13" i="165"/>
  <c r="R10" i="165"/>
  <c r="U45" i="165"/>
  <c r="U42" i="165"/>
  <c r="U39" i="165"/>
  <c r="U36" i="165"/>
  <c r="U33" i="165"/>
  <c r="U30" i="165"/>
  <c r="U27" i="165"/>
  <c r="U24" i="165"/>
  <c r="U21" i="165"/>
  <c r="U18" i="165"/>
  <c r="V15" i="165"/>
  <c r="P13" i="165"/>
  <c r="Q10" i="165"/>
  <c r="V7" i="165"/>
  <c r="V4" i="165"/>
  <c r="T45" i="165"/>
  <c r="T42" i="165"/>
  <c r="T39" i="165"/>
  <c r="T36" i="165"/>
  <c r="T33" i="165"/>
  <c r="T30" i="165"/>
  <c r="T27" i="165"/>
  <c r="T24" i="165"/>
  <c r="T21" i="165"/>
  <c r="T18" i="165"/>
  <c r="U15" i="165"/>
  <c r="P10" i="165"/>
  <c r="U7" i="165"/>
  <c r="U4" i="165"/>
  <c r="S45" i="165"/>
  <c r="S42" i="165"/>
  <c r="S39" i="165"/>
  <c r="S36" i="165"/>
  <c r="S33" i="165"/>
  <c r="S30" i="165"/>
  <c r="S27" i="165"/>
  <c r="S24" i="165"/>
  <c r="S21" i="165"/>
  <c r="S18" i="165"/>
  <c r="T15" i="165"/>
  <c r="T7" i="165"/>
  <c r="T4" i="165"/>
  <c r="R45" i="165"/>
  <c r="R42" i="165"/>
  <c r="R39" i="165"/>
  <c r="R36" i="165"/>
  <c r="R33" i="165"/>
  <c r="R30" i="165"/>
  <c r="R27" i="165"/>
  <c r="R24" i="165"/>
  <c r="R21" i="165"/>
  <c r="R18" i="165"/>
  <c r="S15" i="165"/>
  <c r="V12" i="165"/>
  <c r="V9" i="165"/>
  <c r="S7" i="165"/>
  <c r="S4" i="165"/>
  <c r="T47" i="165"/>
  <c r="T44" i="165"/>
  <c r="T41" i="165"/>
  <c r="T38" i="165"/>
  <c r="T35" i="165"/>
  <c r="T32" i="165"/>
  <c r="T29" i="165"/>
  <c r="P47" i="165"/>
  <c r="R43" i="165"/>
  <c r="P35" i="165"/>
  <c r="R31" i="165"/>
  <c r="R23" i="165"/>
  <c r="U19" i="165"/>
  <c r="P16" i="165"/>
  <c r="S12" i="165"/>
  <c r="P6" i="165"/>
  <c r="T2" i="165"/>
  <c r="Q12" i="165"/>
  <c r="R2" i="165"/>
  <c r="Q15" i="165"/>
  <c r="U5" i="165"/>
  <c r="Q42" i="165"/>
  <c r="T34" i="165"/>
  <c r="V22" i="165"/>
  <c r="Q43" i="165"/>
  <c r="V38" i="165"/>
  <c r="Q31" i="165"/>
  <c r="V26" i="165"/>
  <c r="Q23" i="165"/>
  <c r="T19" i="165"/>
  <c r="R12" i="165"/>
  <c r="S2" i="165"/>
  <c r="S19" i="165"/>
  <c r="V5" i="165"/>
  <c r="U46" i="165"/>
  <c r="U34" i="165"/>
  <c r="R38" i="165"/>
  <c r="S26" i="165"/>
  <c r="P15" i="165"/>
  <c r="V46" i="165"/>
  <c r="P43" i="165"/>
  <c r="U38" i="165"/>
  <c r="V34" i="165"/>
  <c r="P31" i="165"/>
  <c r="U26" i="165"/>
  <c r="P23" i="165"/>
  <c r="R15" i="165"/>
  <c r="S38" i="165"/>
  <c r="T26" i="165"/>
  <c r="P12" i="165"/>
  <c r="Q2" i="165"/>
  <c r="T46" i="165"/>
  <c r="Q30" i="165"/>
  <c r="Q19" i="165"/>
  <c r="R19" i="165"/>
  <c r="S46" i="165"/>
  <c r="P42" i="165"/>
  <c r="Q38" i="165"/>
  <c r="S34" i="165"/>
  <c r="P30" i="165"/>
  <c r="R26" i="165"/>
  <c r="U22" i="165"/>
  <c r="P19" i="165"/>
  <c r="V11" i="165"/>
  <c r="S5" i="165"/>
  <c r="P45" i="165"/>
  <c r="Q41" i="165"/>
  <c r="S37" i="165"/>
  <c r="P33" i="165"/>
  <c r="Q29" i="165"/>
  <c r="T25" i="165"/>
  <c r="U17" i="165"/>
  <c r="R14" i="165"/>
  <c r="P41" i="165"/>
  <c r="R37" i="165"/>
  <c r="P29" i="165"/>
  <c r="S25" i="165"/>
  <c r="Q21" i="165"/>
  <c r="T17" i="165"/>
  <c r="Q14" i="165"/>
  <c r="P8" i="165"/>
  <c r="P4" i="165"/>
  <c r="V44" i="165"/>
  <c r="Q37" i="165"/>
  <c r="V32" i="165"/>
  <c r="R40" i="165"/>
  <c r="Q34" i="165"/>
  <c r="T28" i="165"/>
  <c r="S23" i="165"/>
  <c r="S17" i="165"/>
  <c r="S13" i="165"/>
  <c r="T5" i="165"/>
  <c r="P27" i="165"/>
  <c r="P21" i="165"/>
  <c r="P32" i="165"/>
  <c r="Q45" i="165"/>
  <c r="Q40" i="165"/>
  <c r="P34" i="165"/>
  <c r="S28" i="165"/>
  <c r="R17" i="165"/>
  <c r="R13" i="165"/>
  <c r="R5" i="165"/>
  <c r="Q32" i="165"/>
  <c r="T8" i="165"/>
  <c r="R16" i="165"/>
  <c r="P40" i="165"/>
  <c r="R28" i="165"/>
  <c r="T22" i="165"/>
  <c r="Q17" i="165"/>
  <c r="Q5" i="165"/>
  <c r="Q39" i="165"/>
  <c r="R22" i="165"/>
  <c r="T12" i="165"/>
  <c r="R32" i="165"/>
  <c r="U8" i="165"/>
  <c r="S16" i="165"/>
  <c r="V43" i="165"/>
  <c r="U3" i="165"/>
  <c r="U44" i="165"/>
  <c r="Q33" i="165"/>
  <c r="Q28" i="165"/>
  <c r="S22" i="165"/>
  <c r="P17" i="165"/>
  <c r="U12" i="165"/>
  <c r="P5" i="165"/>
  <c r="S44" i="165"/>
  <c r="P28" i="165"/>
  <c r="S11" i="165"/>
  <c r="R11" i="165"/>
  <c r="R44" i="165"/>
  <c r="P39" i="165"/>
  <c r="U32" i="165"/>
  <c r="Q22" i="165"/>
  <c r="V16" i="165"/>
  <c r="R4" i="165"/>
  <c r="Q44" i="165"/>
  <c r="S32" i="165"/>
  <c r="Q27" i="165"/>
  <c r="P22" i="165"/>
  <c r="U16" i="165"/>
  <c r="U11" i="165"/>
  <c r="V8" i="165"/>
  <c r="Q4" i="165"/>
  <c r="P44" i="165"/>
  <c r="P38" i="165"/>
  <c r="T16" i="165"/>
  <c r="T11" i="165"/>
  <c r="V3" i="165"/>
  <c r="V37" i="165"/>
  <c r="Q26" i="165"/>
  <c r="S8" i="165"/>
  <c r="T43" i="165"/>
  <c r="T37" i="165"/>
  <c r="V31" i="165"/>
  <c r="U20" i="165"/>
  <c r="P11" i="165"/>
  <c r="Q8" i="165"/>
  <c r="S3" i="165"/>
  <c r="T31" i="165"/>
  <c r="S31" i="165"/>
  <c r="R25" i="165"/>
  <c r="V14" i="165"/>
  <c r="U10" i="165"/>
  <c r="P3" i="165"/>
  <c r="V41" i="165"/>
  <c r="U47" i="165"/>
  <c r="U41" i="165"/>
  <c r="P25" i="165"/>
  <c r="P20" i="165"/>
  <c r="T14" i="165"/>
  <c r="S10" i="165"/>
  <c r="V2" i="165"/>
  <c r="S43" i="165"/>
  <c r="P37" i="165"/>
  <c r="U31" i="165"/>
  <c r="V25" i="165"/>
  <c r="T20" i="165"/>
  <c r="R3" i="165"/>
  <c r="U25" i="165"/>
  <c r="S20" i="165"/>
  <c r="V10" i="165"/>
  <c r="R7" i="165"/>
  <c r="Q3" i="165"/>
  <c r="Q36" i="165"/>
  <c r="R20" i="165"/>
  <c r="Q7" i="165"/>
  <c r="V47" i="165"/>
  <c r="P36" i="165"/>
  <c r="Q25" i="165"/>
  <c r="Q20" i="165"/>
  <c r="U14" i="165"/>
  <c r="T10" i="165"/>
  <c r="P7" i="165"/>
  <c r="P9" i="165"/>
  <c r="R29" i="165"/>
  <c r="U40" i="165"/>
  <c r="S9" i="165"/>
  <c r="V29" i="165"/>
  <c r="R41" i="165"/>
  <c r="U2" i="165"/>
  <c r="T9" i="165"/>
  <c r="V19" i="165"/>
  <c r="S41" i="165"/>
  <c r="U43" i="165"/>
  <c r="Q11" i="165"/>
  <c r="Q6" i="165"/>
  <c r="R34" i="165"/>
  <c r="V20" i="165"/>
  <c r="R6" i="165"/>
  <c r="T23" i="165"/>
  <c r="V31" i="164"/>
  <c r="T35" i="164"/>
  <c r="P22" i="164"/>
  <c r="Q21" i="164"/>
  <c r="Q22" i="164"/>
  <c r="P8" i="164"/>
  <c r="R36" i="164"/>
  <c r="P23" i="164"/>
  <c r="Q23" i="164"/>
  <c r="P37" i="164"/>
  <c r="Q37" i="164"/>
  <c r="S37" i="164"/>
  <c r="Q2" i="164"/>
  <c r="V28" i="164"/>
  <c r="Q29" i="164"/>
  <c r="Q16" i="164"/>
  <c r="S29" i="164"/>
  <c r="P25" i="164"/>
  <c r="R14" i="164"/>
  <c r="S14" i="164"/>
  <c r="T2" i="164"/>
  <c r="U2" i="164"/>
  <c r="S43" i="164"/>
  <c r="T29" i="164"/>
  <c r="P2" i="164"/>
  <c r="R2" i="164"/>
  <c r="S2" i="164"/>
  <c r="R43" i="164"/>
  <c r="P16" i="164"/>
  <c r="R17" i="164"/>
  <c r="U32" i="164"/>
  <c r="P27" i="164"/>
  <c r="P21" i="164"/>
  <c r="U5" i="164"/>
  <c r="U43" i="164"/>
  <c r="Q15" i="164"/>
  <c r="T43" i="164"/>
  <c r="V25" i="164"/>
  <c r="Q9" i="164"/>
  <c r="V38" i="164"/>
  <c r="T32" i="164"/>
  <c r="S15" i="164"/>
  <c r="V9" i="164"/>
  <c r="T5" i="164"/>
  <c r="P32" i="164"/>
  <c r="R9" i="164"/>
  <c r="T37" i="164"/>
  <c r="P20" i="164"/>
  <c r="Q4" i="164"/>
  <c r="V43" i="164"/>
  <c r="Q32" i="164"/>
  <c r="V26" i="164"/>
  <c r="V20" i="164"/>
  <c r="R15" i="164"/>
  <c r="U9" i="164"/>
  <c r="S5" i="164"/>
  <c r="U37" i="164"/>
  <c r="S20" i="164"/>
  <c r="R19" i="164"/>
  <c r="S13" i="164"/>
  <c r="Q3" i="164"/>
  <c r="S41" i="164"/>
  <c r="V35" i="164"/>
  <c r="Q24" i="164"/>
  <c r="R41" i="164"/>
  <c r="U35" i="164"/>
  <c r="U29" i="164"/>
  <c r="P24" i="164"/>
  <c r="V12" i="164"/>
  <c r="Q8" i="164"/>
  <c r="V2" i="164"/>
  <c r="Q43" i="164"/>
  <c r="S35" i="164"/>
  <c r="S28" i="164"/>
  <c r="P7" i="164"/>
  <c r="S19" i="164"/>
  <c r="V40" i="164"/>
  <c r="R12" i="164"/>
  <c r="Q33" i="164"/>
  <c r="V17" i="164"/>
  <c r="P12" i="164"/>
  <c r="P40" i="164"/>
  <c r="P43" i="164"/>
  <c r="R35" i="164"/>
  <c r="R28" i="164"/>
  <c r="V13" i="164"/>
  <c r="Q40" i="164"/>
  <c r="U17" i="164"/>
  <c r="P11" i="164"/>
  <c r="Q35" i="164"/>
  <c r="Q28" i="164"/>
  <c r="V19" i="164"/>
  <c r="V6" i="164"/>
  <c r="R6" i="164"/>
  <c r="S12" i="164"/>
  <c r="U40" i="164"/>
  <c r="Q12" i="164"/>
  <c r="S25" i="164"/>
  <c r="V32" i="164"/>
  <c r="S17" i="164"/>
  <c r="P35" i="164"/>
  <c r="P28" i="164"/>
  <c r="U19" i="164"/>
  <c r="U12" i="164"/>
  <c r="U6" i="164"/>
  <c r="Q41" i="164"/>
  <c r="T19" i="164"/>
  <c r="T12" i="164"/>
  <c r="Q6" i="164"/>
  <c r="R33" i="164"/>
  <c r="P6" i="164"/>
  <c r="U25" i="164"/>
  <c r="T40" i="164"/>
  <c r="V5" i="164"/>
  <c r="R25" i="164"/>
  <c r="Q25" i="164"/>
  <c r="P4" i="164"/>
  <c r="R39" i="164"/>
  <c r="U31" i="164"/>
  <c r="Q17" i="164"/>
  <c r="V10" i="164"/>
  <c r="T3" i="164"/>
  <c r="Q39" i="164"/>
  <c r="T31" i="164"/>
  <c r="P17" i="164"/>
  <c r="T10" i="164"/>
  <c r="S3" i="164"/>
  <c r="P39" i="164"/>
  <c r="S31" i="164"/>
  <c r="T23" i="164"/>
  <c r="R3" i="164"/>
  <c r="P31" i="164"/>
  <c r="S23" i="164"/>
  <c r="S16" i="164"/>
  <c r="P9" i="164"/>
  <c r="R23" i="164"/>
  <c r="R16" i="164"/>
  <c r="Q14" i="164"/>
  <c r="P29" i="164"/>
  <c r="V42" i="164"/>
  <c r="V39" i="164"/>
  <c r="V36" i="164"/>
  <c r="V33" i="164"/>
  <c r="V30" i="164"/>
  <c r="V27" i="164"/>
  <c r="V24" i="164"/>
  <c r="V21" i="164"/>
  <c r="V18" i="164"/>
  <c r="Q13" i="164"/>
  <c r="R10" i="164"/>
  <c r="U42" i="164"/>
  <c r="U39" i="164"/>
  <c r="U36" i="164"/>
  <c r="U33" i="164"/>
  <c r="U30" i="164"/>
  <c r="U27" i="164"/>
  <c r="U24" i="164"/>
  <c r="U21" i="164"/>
  <c r="U18" i="164"/>
  <c r="V15" i="164"/>
  <c r="P13" i="164"/>
  <c r="Q10" i="164"/>
  <c r="V7" i="164"/>
  <c r="V4" i="164"/>
  <c r="T42" i="164"/>
  <c r="T39" i="164"/>
  <c r="T36" i="164"/>
  <c r="T33" i="164"/>
  <c r="T30" i="164"/>
  <c r="T27" i="164"/>
  <c r="T24" i="164"/>
  <c r="T21" i="164"/>
  <c r="T18" i="164"/>
  <c r="U15" i="164"/>
  <c r="P10" i="164"/>
  <c r="U7" i="164"/>
  <c r="U4" i="164"/>
  <c r="S42" i="164"/>
  <c r="S39" i="164"/>
  <c r="S36" i="164"/>
  <c r="S33" i="164"/>
  <c r="S30" i="164"/>
  <c r="S27" i="164"/>
  <c r="S24" i="164"/>
  <c r="S21" i="164"/>
  <c r="S18" i="164"/>
  <c r="T15" i="164"/>
  <c r="T7" i="164"/>
  <c r="T4" i="164"/>
  <c r="V41" i="164"/>
  <c r="R38" i="164"/>
  <c r="V34" i="164"/>
  <c r="R31" i="164"/>
  <c r="R27" i="164"/>
  <c r="V23" i="164"/>
  <c r="R20" i="164"/>
  <c r="V16" i="164"/>
  <c r="U13" i="164"/>
  <c r="S10" i="164"/>
  <c r="R7" i="164"/>
  <c r="U41" i="164"/>
  <c r="Q38" i="164"/>
  <c r="U34" i="164"/>
  <c r="Q31" i="164"/>
  <c r="Q27" i="164"/>
  <c r="U23" i="164"/>
  <c r="Q20" i="164"/>
  <c r="U16" i="164"/>
  <c r="T13" i="164"/>
  <c r="Q7" i="164"/>
  <c r="V3" i="164"/>
  <c r="R5" i="164"/>
  <c r="V11" i="164"/>
  <c r="P15" i="164"/>
  <c r="Q19" i="164"/>
  <c r="U26" i="164"/>
  <c r="U38" i="164"/>
  <c r="S6" i="164"/>
  <c r="S9" i="164"/>
  <c r="T16" i="164"/>
  <c r="T20" i="164"/>
  <c r="R24" i="164"/>
  <c r="T28" i="164"/>
  <c r="R32" i="164"/>
  <c r="P36" i="164"/>
  <c r="R40" i="164"/>
  <c r="P3" i="164"/>
  <c r="T6" i="164"/>
  <c r="T9" i="164"/>
  <c r="R13" i="164"/>
  <c r="U20" i="164"/>
  <c r="U28" i="164"/>
  <c r="S32" i="164"/>
  <c r="Q36" i="164"/>
  <c r="S40" i="164"/>
  <c r="U3" i="164"/>
  <c r="S7" i="164"/>
  <c r="U10" i="164"/>
  <c r="P14" i="164"/>
  <c r="T17" i="164"/>
  <c r="R21" i="164"/>
  <c r="T25" i="164"/>
  <c r="R29" i="164"/>
  <c r="P33" i="164"/>
  <c r="R37" i="164"/>
  <c r="P41" i="164"/>
  <c r="R4" i="164"/>
  <c r="T14" i="164"/>
  <c r="R22" i="164"/>
  <c r="V37" i="164"/>
  <c r="S4" i="164"/>
  <c r="S8" i="164"/>
  <c r="R11" i="164"/>
  <c r="U14" i="164"/>
  <c r="Q18" i="164"/>
  <c r="S22" i="164"/>
  <c r="Q26" i="164"/>
  <c r="Q34" i="164"/>
  <c r="P26" i="164"/>
  <c r="T8" i="164"/>
  <c r="S11" i="164"/>
  <c r="V14" i="164"/>
  <c r="R18" i="164"/>
  <c r="T22" i="164"/>
  <c r="R26" i="164"/>
  <c r="P30" i="164"/>
  <c r="R34" i="164"/>
  <c r="P38" i="164"/>
  <c r="P42" i="164"/>
  <c r="Q11" i="164"/>
  <c r="P34" i="164"/>
  <c r="U8" i="164"/>
  <c r="T11" i="164"/>
  <c r="U22" i="164"/>
  <c r="S26" i="164"/>
  <c r="Q30" i="164"/>
  <c r="S34" i="164"/>
  <c r="Q42" i="164"/>
  <c r="R8" i="164"/>
  <c r="P18" i="164"/>
  <c r="V29" i="164"/>
  <c r="T41" i="164"/>
  <c r="P5" i="164"/>
  <c r="S38" i="164"/>
  <c r="Q5" i="164"/>
  <c r="V8" i="164"/>
  <c r="U11" i="164"/>
  <c r="P19" i="164"/>
  <c r="V22" i="164"/>
  <c r="T26" i="164"/>
  <c r="R30" i="164"/>
  <c r="T34" i="164"/>
  <c r="T38" i="164"/>
  <c r="R42" i="164"/>
  <c r="V36" i="163"/>
  <c r="V33" i="163"/>
  <c r="V30" i="163"/>
  <c r="V27" i="163"/>
  <c r="V24" i="163"/>
  <c r="V21" i="163"/>
  <c r="V18" i="163"/>
  <c r="Q13" i="163"/>
  <c r="R10" i="163"/>
  <c r="T36" i="163"/>
  <c r="T33" i="163"/>
  <c r="T30" i="163"/>
  <c r="T27" i="163"/>
  <c r="T24" i="163"/>
  <c r="T21" i="163"/>
  <c r="T18" i="163"/>
  <c r="U15" i="163"/>
  <c r="P10" i="163"/>
  <c r="U7" i="163"/>
  <c r="U4" i="163"/>
  <c r="S36" i="163"/>
  <c r="S33" i="163"/>
  <c r="S30" i="163"/>
  <c r="S27" i="163"/>
  <c r="S24" i="163"/>
  <c r="S21" i="163"/>
  <c r="S18" i="163"/>
  <c r="T15" i="163"/>
  <c r="T7" i="163"/>
  <c r="T4" i="163"/>
  <c r="R36" i="163"/>
  <c r="R33" i="163"/>
  <c r="R30" i="163"/>
  <c r="R27" i="163"/>
  <c r="R24" i="163"/>
  <c r="R21" i="163"/>
  <c r="R18" i="163"/>
  <c r="S15" i="163"/>
  <c r="V12" i="163"/>
  <c r="V9" i="163"/>
  <c r="S7" i="163"/>
  <c r="S4" i="163"/>
  <c r="Q36" i="163"/>
  <c r="Q33" i="163"/>
  <c r="Q30" i="163"/>
  <c r="Q27" i="163"/>
  <c r="Q24" i="163"/>
  <c r="Q21" i="163"/>
  <c r="Q18" i="163"/>
  <c r="R15" i="163"/>
  <c r="U12" i="163"/>
  <c r="U9" i="163"/>
  <c r="R7" i="163"/>
  <c r="R4" i="163"/>
  <c r="T37" i="163"/>
  <c r="U29" i="163"/>
  <c r="P26" i="163"/>
  <c r="S22" i="163"/>
  <c r="U18" i="163"/>
  <c r="V14" i="163"/>
  <c r="T11" i="163"/>
  <c r="U8" i="163"/>
  <c r="Q5" i="163"/>
  <c r="P37" i="163"/>
  <c r="V32" i="163"/>
  <c r="Q29" i="163"/>
  <c r="T25" i="163"/>
  <c r="U17" i="163"/>
  <c r="R14" i="163"/>
  <c r="P11" i="163"/>
  <c r="Q8" i="163"/>
  <c r="Q4" i="163"/>
  <c r="S38" i="163"/>
  <c r="T34" i="163"/>
  <c r="U30" i="163"/>
  <c r="R26" i="163"/>
  <c r="R22" i="163"/>
  <c r="Q14" i="163"/>
  <c r="U10" i="163"/>
  <c r="P7" i="163"/>
  <c r="R3" i="163"/>
  <c r="V29" i="163"/>
  <c r="R38" i="163"/>
  <c r="S34" i="163"/>
  <c r="P30" i="163"/>
  <c r="Q26" i="163"/>
  <c r="Q22" i="163"/>
  <c r="V17" i="163"/>
  <c r="P14" i="163"/>
  <c r="T10" i="163"/>
  <c r="Q3" i="163"/>
  <c r="Q34" i="163"/>
  <c r="Q38" i="163"/>
  <c r="R34" i="163"/>
  <c r="P22" i="163"/>
  <c r="T17" i="163"/>
  <c r="S10" i="163"/>
  <c r="V6" i="163"/>
  <c r="P3" i="163"/>
  <c r="P38" i="163"/>
  <c r="V25" i="163"/>
  <c r="S17" i="163"/>
  <c r="Q10" i="163"/>
  <c r="U6" i="163"/>
  <c r="U37" i="163"/>
  <c r="U33" i="163"/>
  <c r="R29" i="163"/>
  <c r="R25" i="163"/>
  <c r="P17" i="163"/>
  <c r="T13" i="163"/>
  <c r="S9" i="163"/>
  <c r="R6" i="163"/>
  <c r="T2" i="163"/>
  <c r="S37" i="163"/>
  <c r="P33" i="163"/>
  <c r="P29" i="163"/>
  <c r="Q25" i="163"/>
  <c r="V20" i="163"/>
  <c r="S13" i="163"/>
  <c r="R9" i="163"/>
  <c r="Q6" i="163"/>
  <c r="S2" i="163"/>
  <c r="U36" i="163"/>
  <c r="S32" i="163"/>
  <c r="T28" i="163"/>
  <c r="P24" i="163"/>
  <c r="R20" i="163"/>
  <c r="S16" i="163"/>
  <c r="T12" i="163"/>
  <c r="U5" i="163"/>
  <c r="V28" i="163"/>
  <c r="S23" i="163"/>
  <c r="P19" i="163"/>
  <c r="U13" i="163"/>
  <c r="V3" i="163"/>
  <c r="V34" i="163"/>
  <c r="U28" i="163"/>
  <c r="R23" i="163"/>
  <c r="R13" i="163"/>
  <c r="U3" i="163"/>
  <c r="P34" i="163"/>
  <c r="P23" i="163"/>
  <c r="T8" i="163"/>
  <c r="R17" i="163"/>
  <c r="S12" i="163"/>
  <c r="S8" i="163"/>
  <c r="R8" i="163"/>
  <c r="U34" i="163"/>
  <c r="S28" i="163"/>
  <c r="Q23" i="163"/>
  <c r="P18" i="163"/>
  <c r="P13" i="163"/>
  <c r="V8" i="163"/>
  <c r="T3" i="163"/>
  <c r="R28" i="163"/>
  <c r="S3" i="163"/>
  <c r="Q28" i="163"/>
  <c r="P28" i="163"/>
  <c r="V22" i="163"/>
  <c r="Q17" i="163"/>
  <c r="R12" i="163"/>
  <c r="V2" i="163"/>
  <c r="U32" i="163"/>
  <c r="U22" i="163"/>
  <c r="Q12" i="163"/>
  <c r="P8" i="163"/>
  <c r="U2" i="163"/>
  <c r="S20" i="163"/>
  <c r="P27" i="163"/>
  <c r="Q35" i="163"/>
  <c r="T20" i="163"/>
  <c r="U27" i="163"/>
  <c r="R35" i="163"/>
  <c r="V19" i="163"/>
  <c r="V26" i="163"/>
  <c r="U14" i="163"/>
  <c r="Q20" i="163"/>
  <c r="P35" i="163"/>
  <c r="P2" i="163"/>
  <c r="P15" i="163"/>
  <c r="U20" i="163"/>
  <c r="S35" i="163"/>
  <c r="Q2" i="163"/>
  <c r="Q15" i="163"/>
  <c r="T35" i="163"/>
  <c r="R2" i="163"/>
  <c r="V15" i="163"/>
  <c r="P21" i="163"/>
  <c r="S29" i="163"/>
  <c r="U35" i="163"/>
  <c r="U26" i="163"/>
  <c r="Q31" i="163"/>
  <c r="T26" i="163"/>
  <c r="P20" i="163"/>
  <c r="P16" i="163"/>
  <c r="V10" i="163"/>
  <c r="U23" i="163"/>
  <c r="V37" i="163"/>
  <c r="S5" i="163"/>
  <c r="R11" i="163"/>
  <c r="T31" i="163"/>
  <c r="V7" i="163"/>
  <c r="T22" i="163"/>
  <c r="S11" i="163"/>
  <c r="U31" i="163"/>
  <c r="T6" i="163"/>
  <c r="R32" i="163"/>
  <c r="P9" i="163"/>
  <c r="V4" i="163"/>
  <c r="R16" i="163"/>
  <c r="P31" i="163"/>
  <c r="Q37" i="163"/>
  <c r="P5" i="163"/>
  <c r="R37" i="163"/>
  <c r="R5" i="163"/>
  <c r="T38" i="163"/>
  <c r="V5" i="163"/>
  <c r="U11" i="163"/>
  <c r="V31" i="163"/>
  <c r="U38" i="163"/>
  <c r="T19" i="163"/>
  <c r="S26" i="163"/>
  <c r="S14" i="163"/>
  <c r="U21" i="163"/>
  <c r="Q9" i="163"/>
  <c r="T9" i="163"/>
  <c r="T16" i="163"/>
  <c r="V23" i="163"/>
  <c r="T5" i="163"/>
  <c r="V11" i="163"/>
  <c r="Q19" i="163"/>
  <c r="P25" i="163"/>
  <c r="V38" i="163"/>
  <c r="V13" i="163"/>
  <c r="U19" i="163"/>
  <c r="T32" i="163"/>
  <c r="Q7" i="163"/>
  <c r="T14" i="163"/>
  <c r="T29" i="163"/>
  <c r="Q16" i="163"/>
  <c r="T23" i="163"/>
  <c r="Q11" i="163"/>
  <c r="S31" i="163"/>
  <c r="U24" i="163"/>
  <c r="P6" i="163"/>
  <c r="R19" i="163"/>
  <c r="S25" i="163"/>
  <c r="P32" i="163"/>
  <c r="V35" i="163"/>
  <c r="P4" i="163"/>
  <c r="P36" i="163"/>
  <c r="U16" i="163"/>
  <c r="R31" i="163"/>
  <c r="V16" i="163"/>
  <c r="S6" i="163"/>
  <c r="P12" i="163"/>
  <c r="S19" i="163"/>
  <c r="U25" i="163"/>
  <c r="Q32" i="163"/>
  <c r="R20" i="162"/>
  <c r="U20" i="162"/>
  <c r="P40" i="162"/>
  <c r="Q41" i="162"/>
  <c r="R41" i="162"/>
  <c r="U9" i="162"/>
  <c r="R29" i="162"/>
  <c r="S29" i="162"/>
  <c r="U30" i="162"/>
  <c r="T29" i="162"/>
  <c r="U18" i="162"/>
  <c r="Q29" i="162"/>
  <c r="R18" i="162"/>
  <c r="S39" i="162"/>
  <c r="U28" i="162"/>
  <c r="P8" i="162"/>
  <c r="S37" i="162"/>
  <c r="T6" i="162"/>
  <c r="T24" i="162"/>
  <c r="U39" i="162"/>
  <c r="V28" i="162"/>
  <c r="P39" i="162"/>
  <c r="U8" i="162"/>
  <c r="T28" i="162"/>
  <c r="Q8" i="162"/>
  <c r="V14" i="162"/>
  <c r="R37" i="162"/>
  <c r="U36" i="162"/>
  <c r="U13" i="162"/>
  <c r="S24" i="162"/>
  <c r="T13" i="162"/>
  <c r="T5" i="162"/>
  <c r="R24" i="162"/>
  <c r="P13" i="162"/>
  <c r="S5" i="162"/>
  <c r="T46" i="162"/>
  <c r="Q24" i="162"/>
  <c r="Q5" i="162"/>
  <c r="R46" i="162"/>
  <c r="T12" i="162"/>
  <c r="P5" i="162"/>
  <c r="Q46" i="162"/>
  <c r="T32" i="162"/>
  <c r="S12" i="162"/>
  <c r="U22" i="162"/>
  <c r="R12" i="162"/>
  <c r="S4" i="162"/>
  <c r="R31" i="162"/>
  <c r="Q12" i="162"/>
  <c r="R4" i="162"/>
  <c r="P31" i="162"/>
  <c r="V20" i="162"/>
  <c r="V8" i="162"/>
  <c r="U24" i="162"/>
  <c r="U33" i="162"/>
  <c r="U42" i="162"/>
  <c r="S15" i="162"/>
  <c r="P34" i="162"/>
  <c r="T43" i="162"/>
  <c r="S25" i="162"/>
  <c r="V34" i="162"/>
  <c r="T2" i="162"/>
  <c r="T17" i="162"/>
  <c r="Q45" i="162"/>
  <c r="R25" i="162"/>
  <c r="Q16" i="162"/>
  <c r="U34" i="162"/>
  <c r="U2" i="162"/>
  <c r="U17" i="162"/>
  <c r="Q27" i="162"/>
  <c r="Q35" i="162"/>
  <c r="R45" i="162"/>
  <c r="V2" i="162"/>
  <c r="T9" i="162"/>
  <c r="T35" i="162"/>
  <c r="U45" i="162"/>
  <c r="V45" i="162"/>
  <c r="V42" i="162"/>
  <c r="V39" i="162"/>
  <c r="V36" i="162"/>
  <c r="V33" i="162"/>
  <c r="V30" i="162"/>
  <c r="V27" i="162"/>
  <c r="V24" i="162"/>
  <c r="V21" i="162"/>
  <c r="V18" i="162"/>
  <c r="Q13" i="162"/>
  <c r="R10" i="162"/>
  <c r="T45" i="162"/>
  <c r="S42" i="162"/>
  <c r="R39" i="162"/>
  <c r="Q36" i="162"/>
  <c r="P33" i="162"/>
  <c r="V26" i="162"/>
  <c r="U23" i="162"/>
  <c r="T20" i="162"/>
  <c r="S17" i="162"/>
  <c r="T14" i="162"/>
  <c r="U11" i="162"/>
  <c r="Q6" i="162"/>
  <c r="Q3" i="162"/>
  <c r="S45" i="162"/>
  <c r="R42" i="162"/>
  <c r="Q39" i="162"/>
  <c r="P36" i="162"/>
  <c r="V29" i="162"/>
  <c r="U26" i="162"/>
  <c r="T23" i="162"/>
  <c r="S20" i="162"/>
  <c r="R17" i="162"/>
  <c r="S14" i="162"/>
  <c r="T11" i="162"/>
  <c r="P6" i="162"/>
  <c r="P3" i="162"/>
  <c r="U44" i="162"/>
  <c r="T41" i="162"/>
  <c r="S38" i="162"/>
  <c r="R35" i="162"/>
  <c r="Q32" i="162"/>
  <c r="P29" i="162"/>
  <c r="V22" i="162"/>
  <c r="U19" i="162"/>
  <c r="T16" i="162"/>
  <c r="V13" i="162"/>
  <c r="V10" i="162"/>
  <c r="R8" i="162"/>
  <c r="R5" i="162"/>
  <c r="R2" i="162"/>
  <c r="Q44" i="162"/>
  <c r="U40" i="162"/>
  <c r="Q37" i="162"/>
  <c r="T33" i="162"/>
  <c r="Q30" i="162"/>
  <c r="T26" i="162"/>
  <c r="Q23" i="162"/>
  <c r="T19" i="162"/>
  <c r="P16" i="162"/>
  <c r="S9" i="162"/>
  <c r="T3" i="162"/>
  <c r="S40" i="162"/>
  <c r="R33" i="162"/>
  <c r="R19" i="162"/>
  <c r="V15" i="162"/>
  <c r="U12" i="162"/>
  <c r="Q9" i="162"/>
  <c r="U6" i="162"/>
  <c r="R3" i="162"/>
  <c r="P44" i="162"/>
  <c r="T40" i="162"/>
  <c r="P37" i="162"/>
  <c r="S33" i="162"/>
  <c r="P30" i="162"/>
  <c r="S26" i="162"/>
  <c r="P23" i="162"/>
  <c r="S19" i="162"/>
  <c r="V12" i="162"/>
  <c r="R9" i="162"/>
  <c r="V6" i="162"/>
  <c r="S3" i="162"/>
  <c r="R26" i="162"/>
  <c r="U46" i="162"/>
  <c r="Q43" i="162"/>
  <c r="T39" i="162"/>
  <c r="V35" i="162"/>
  <c r="S32" i="162"/>
  <c r="T25" i="162"/>
  <c r="P22" i="162"/>
  <c r="S18" i="162"/>
  <c r="P15" i="162"/>
  <c r="U5" i="162"/>
  <c r="Q2" i="162"/>
  <c r="P46" i="162"/>
  <c r="Q42" i="162"/>
  <c r="U38" i="162"/>
  <c r="P35" i="162"/>
  <c r="U31" i="162"/>
  <c r="R28" i="162"/>
  <c r="R21" i="162"/>
  <c r="V17" i="162"/>
  <c r="R14" i="162"/>
  <c r="P11" i="162"/>
  <c r="S8" i="162"/>
  <c r="P45" i="162"/>
  <c r="S36" i="162"/>
  <c r="P28" i="162"/>
  <c r="P24" i="162"/>
  <c r="V19" i="162"/>
  <c r="R15" i="162"/>
  <c r="R11" i="162"/>
  <c r="Q4" i="162"/>
  <c r="T31" i="162"/>
  <c r="S31" i="162"/>
  <c r="T7" i="162"/>
  <c r="V40" i="162"/>
  <c r="R36" i="162"/>
  <c r="V31" i="162"/>
  <c r="Q19" i="162"/>
  <c r="Q15" i="162"/>
  <c r="Q11" i="162"/>
  <c r="V7" i="162"/>
  <c r="P4" i="162"/>
  <c r="T44" i="162"/>
  <c r="U35" i="162"/>
  <c r="T27" i="162"/>
  <c r="S23" i="162"/>
  <c r="U10" i="162"/>
  <c r="V3" i="162"/>
  <c r="V44" i="162"/>
  <c r="R40" i="162"/>
  <c r="U27" i="162"/>
  <c r="V23" i="162"/>
  <c r="P19" i="162"/>
  <c r="U7" i="162"/>
  <c r="Q40" i="162"/>
  <c r="R44" i="162"/>
  <c r="S35" i="162"/>
  <c r="Q31" i="162"/>
  <c r="R27" i="162"/>
  <c r="T18" i="162"/>
  <c r="U14" i="162"/>
  <c r="S10" i="162"/>
  <c r="R7" i="162"/>
  <c r="P43" i="162"/>
  <c r="R38" i="162"/>
  <c r="R34" i="162"/>
  <c r="V25" i="162"/>
  <c r="U21" i="162"/>
  <c r="Q17" i="162"/>
  <c r="S13" i="162"/>
  <c r="P9" i="162"/>
  <c r="Q38" i="162"/>
  <c r="Q34" i="162"/>
  <c r="U29" i="162"/>
  <c r="U25" i="162"/>
  <c r="T21" i="162"/>
  <c r="P17" i="162"/>
  <c r="R13" i="162"/>
  <c r="V5" i="162"/>
  <c r="S44" i="162"/>
  <c r="Q33" i="162"/>
  <c r="S28" i="162"/>
  <c r="T22" i="162"/>
  <c r="V16" i="162"/>
  <c r="P12" i="162"/>
  <c r="S7" i="162"/>
  <c r="S2" i="162"/>
  <c r="T38" i="162"/>
  <c r="R22" i="162"/>
  <c r="V11" i="162"/>
  <c r="P38" i="162"/>
  <c r="Q22" i="162"/>
  <c r="V38" i="162"/>
  <c r="Q28" i="162"/>
  <c r="S22" i="162"/>
  <c r="U16" i="162"/>
  <c r="Q7" i="162"/>
  <c r="P2" i="162"/>
  <c r="V43" i="162"/>
  <c r="V32" i="162"/>
  <c r="S16" i="162"/>
  <c r="P7" i="162"/>
  <c r="U43" i="162"/>
  <c r="U32" i="162"/>
  <c r="S27" i="162"/>
  <c r="R16" i="162"/>
  <c r="S11" i="162"/>
  <c r="S43" i="162"/>
  <c r="V37" i="162"/>
  <c r="R32" i="162"/>
  <c r="P27" i="162"/>
  <c r="S21" i="162"/>
  <c r="T10" i="162"/>
  <c r="S6" i="162"/>
  <c r="R43" i="162"/>
  <c r="U37" i="162"/>
  <c r="P32" i="162"/>
  <c r="Q21" i="162"/>
  <c r="U15" i="162"/>
  <c r="Q10" i="162"/>
  <c r="R6" i="162"/>
  <c r="T37" i="162"/>
  <c r="Q26" i="162"/>
  <c r="P21" i="162"/>
  <c r="T15" i="162"/>
  <c r="P10" i="162"/>
  <c r="V41" i="162"/>
  <c r="T36" i="162"/>
  <c r="T30" i="162"/>
  <c r="Q25" i="162"/>
  <c r="Q20" i="162"/>
  <c r="Q14" i="162"/>
  <c r="U41" i="162"/>
  <c r="S30" i="162"/>
  <c r="P25" i="162"/>
  <c r="P20" i="162"/>
  <c r="P14" i="162"/>
  <c r="V4" i="162"/>
  <c r="V46" i="162"/>
  <c r="S41" i="162"/>
  <c r="T8" i="162"/>
  <c r="R23" i="162"/>
  <c r="R30" i="162"/>
  <c r="S46" i="162"/>
  <c r="U3" i="162"/>
  <c r="P41" i="162"/>
  <c r="T4" i="162"/>
  <c r="V9" i="162"/>
  <c r="P18" i="162"/>
  <c r="P26" i="162"/>
  <c r="S34" i="162"/>
  <c r="P42" i="162"/>
  <c r="U4" i="162"/>
  <c r="Q18" i="162"/>
  <c r="T34" i="162"/>
  <c r="T42" i="162"/>
  <c r="U36" i="161"/>
  <c r="T36" i="161"/>
  <c r="S6" i="161"/>
  <c r="U24" i="161"/>
  <c r="Q6" i="161"/>
  <c r="Q23" i="161"/>
  <c r="S5" i="161"/>
  <c r="P23" i="161"/>
  <c r="U22" i="161"/>
  <c r="Q31" i="161"/>
  <c r="T2" i="161"/>
  <c r="R36" i="161"/>
  <c r="V24" i="161"/>
  <c r="R6" i="161"/>
  <c r="P36" i="161"/>
  <c r="T24" i="161"/>
  <c r="T5" i="161"/>
  <c r="U33" i="161"/>
  <c r="V12" i="161"/>
  <c r="P5" i="161"/>
  <c r="T33" i="161"/>
  <c r="Q12" i="161"/>
  <c r="P12" i="161"/>
  <c r="V11" i="161"/>
  <c r="S30" i="161"/>
  <c r="R10" i="161"/>
  <c r="R30" i="161"/>
  <c r="R18" i="161"/>
  <c r="Q30" i="161"/>
  <c r="Q18" i="161"/>
  <c r="P30" i="161"/>
  <c r="P18" i="161"/>
  <c r="V29" i="161"/>
  <c r="T17" i="161"/>
  <c r="Q38" i="161"/>
  <c r="P17" i="161"/>
  <c r="P38" i="161"/>
  <c r="U16" i="161"/>
  <c r="P8" i="161"/>
  <c r="T16" i="161"/>
  <c r="Q14" i="161"/>
  <c r="V37" i="161"/>
  <c r="V34" i="161"/>
  <c r="V31" i="161"/>
  <c r="V28" i="161"/>
  <c r="V25" i="161"/>
  <c r="V22" i="161"/>
  <c r="V19" i="161"/>
  <c r="V16" i="161"/>
  <c r="P14" i="161"/>
  <c r="R11" i="161"/>
  <c r="Q36" i="161"/>
  <c r="P33" i="161"/>
  <c r="V26" i="161"/>
  <c r="U23" i="161"/>
  <c r="T20" i="161"/>
  <c r="S17" i="161"/>
  <c r="T14" i="161"/>
  <c r="T11" i="161"/>
  <c r="P6" i="161"/>
  <c r="P3" i="161"/>
  <c r="U34" i="161"/>
  <c r="T31" i="161"/>
  <c r="S28" i="161"/>
  <c r="R25" i="161"/>
  <c r="Q22" i="161"/>
  <c r="P19" i="161"/>
  <c r="P13" i="161"/>
  <c r="P10" i="161"/>
  <c r="T32" i="161"/>
  <c r="R29" i="161"/>
  <c r="S22" i="161"/>
  <c r="V15" i="161"/>
  <c r="U12" i="161"/>
  <c r="R9" i="161"/>
  <c r="V3" i="161"/>
  <c r="V35" i="161"/>
  <c r="S32" i="161"/>
  <c r="Q29" i="161"/>
  <c r="U25" i="161"/>
  <c r="R22" i="161"/>
  <c r="V18" i="161"/>
  <c r="U15" i="161"/>
  <c r="T12" i="161"/>
  <c r="Q9" i="161"/>
  <c r="V6" i="161"/>
  <c r="U3" i="161"/>
  <c r="V38" i="161"/>
  <c r="T35" i="161"/>
  <c r="Q32" i="161"/>
  <c r="S25" i="161"/>
  <c r="S15" i="161"/>
  <c r="R12" i="161"/>
  <c r="T6" i="161"/>
  <c r="S3" i="161"/>
  <c r="U35" i="161"/>
  <c r="R32" i="161"/>
  <c r="P29" i="161"/>
  <c r="T25" i="161"/>
  <c r="P22" i="161"/>
  <c r="U18" i="161"/>
  <c r="T15" i="161"/>
  <c r="S12" i="161"/>
  <c r="P9" i="161"/>
  <c r="U6" i="161"/>
  <c r="T3" i="161"/>
  <c r="T18" i="161"/>
  <c r="T37" i="161"/>
  <c r="Q34" i="161"/>
  <c r="V30" i="161"/>
  <c r="T27" i="161"/>
  <c r="Q24" i="161"/>
  <c r="V20" i="161"/>
  <c r="R17" i="161"/>
  <c r="R14" i="161"/>
  <c r="S8" i="161"/>
  <c r="R5" i="161"/>
  <c r="Q2" i="161"/>
  <c r="S37" i="161"/>
  <c r="P34" i="161"/>
  <c r="U30" i="161"/>
  <c r="S27" i="161"/>
  <c r="P24" i="161"/>
  <c r="U20" i="161"/>
  <c r="Q17" i="161"/>
  <c r="V10" i="161"/>
  <c r="R8" i="161"/>
  <c r="Q5" i="161"/>
  <c r="P2" i="161"/>
  <c r="S36" i="161"/>
  <c r="U29" i="161"/>
  <c r="R26" i="161"/>
  <c r="S19" i="161"/>
  <c r="P16" i="161"/>
  <c r="U9" i="161"/>
  <c r="R7" i="161"/>
  <c r="Q4" i="161"/>
  <c r="S33" i="161"/>
  <c r="U28" i="161"/>
  <c r="S24" i="161"/>
  <c r="P20" i="161"/>
  <c r="R15" i="161"/>
  <c r="S11" i="161"/>
  <c r="T7" i="161"/>
  <c r="P37" i="161"/>
  <c r="T23" i="161"/>
  <c r="R19" i="161"/>
  <c r="V2" i="161"/>
  <c r="T10" i="161"/>
  <c r="U37" i="161"/>
  <c r="R33" i="161"/>
  <c r="T28" i="161"/>
  <c r="R24" i="161"/>
  <c r="Q15" i="161"/>
  <c r="Q11" i="161"/>
  <c r="V7" i="161"/>
  <c r="R3" i="161"/>
  <c r="R37" i="161"/>
  <c r="U19" i="161"/>
  <c r="P28" i="161"/>
  <c r="S23" i="161"/>
  <c r="Q7" i="161"/>
  <c r="V27" i="161"/>
  <c r="Q33" i="161"/>
  <c r="R28" i="161"/>
  <c r="P15" i="161"/>
  <c r="P11" i="161"/>
  <c r="U7" i="161"/>
  <c r="Q3" i="161"/>
  <c r="V23" i="161"/>
  <c r="U10" i="161"/>
  <c r="U32" i="161"/>
  <c r="V14" i="161"/>
  <c r="U2" i="161"/>
  <c r="P32" i="161"/>
  <c r="R23" i="161"/>
  <c r="U14" i="161"/>
  <c r="S10" i="161"/>
  <c r="P7" i="161"/>
  <c r="Q37" i="161"/>
  <c r="Q28" i="161"/>
  <c r="T19" i="161"/>
  <c r="V32" i="161"/>
  <c r="S7" i="161"/>
  <c r="Q19" i="161"/>
  <c r="V36" i="161"/>
  <c r="S35" i="161"/>
  <c r="P31" i="161"/>
  <c r="U26" i="161"/>
  <c r="V17" i="161"/>
  <c r="T13" i="161"/>
  <c r="S9" i="161"/>
  <c r="V5" i="161"/>
  <c r="R35" i="161"/>
  <c r="T26" i="161"/>
  <c r="V21" i="161"/>
  <c r="U17" i="161"/>
  <c r="S13" i="161"/>
  <c r="U5" i="161"/>
  <c r="S18" i="161"/>
  <c r="P25" i="161"/>
  <c r="R31" i="161"/>
  <c r="R38" i="161"/>
  <c r="Q8" i="161"/>
  <c r="Q13" i="161"/>
  <c r="Q25" i="161"/>
  <c r="S31" i="161"/>
  <c r="S38" i="161"/>
  <c r="T8" i="161"/>
  <c r="R13" i="161"/>
  <c r="U31" i="161"/>
  <c r="T38" i="161"/>
  <c r="R2" i="161"/>
  <c r="U8" i="161"/>
  <c r="U13" i="161"/>
  <c r="Q20" i="161"/>
  <c r="P26" i="161"/>
  <c r="U38" i="161"/>
  <c r="S2" i="161"/>
  <c r="V8" i="161"/>
  <c r="V13" i="161"/>
  <c r="R20" i="161"/>
  <c r="Q26" i="161"/>
  <c r="P21" i="161"/>
  <c r="Q21" i="161"/>
  <c r="S4" i="161"/>
  <c r="S21" i="161"/>
  <c r="U27" i="161"/>
  <c r="S34" i="161"/>
  <c r="T4" i="161"/>
  <c r="T9" i="161"/>
  <c r="T21" i="161"/>
  <c r="T34" i="161"/>
  <c r="S14" i="161"/>
  <c r="Q27" i="161"/>
  <c r="R4" i="161"/>
  <c r="R21" i="161"/>
  <c r="V9" i="161"/>
  <c r="Q16" i="161"/>
  <c r="U21" i="161"/>
  <c r="P27" i="161"/>
  <c r="R34" i="161"/>
  <c r="U4" i="161"/>
  <c r="V4" i="161"/>
  <c r="R16" i="161"/>
  <c r="S29" i="161"/>
  <c r="P35" i="161"/>
  <c r="V33" i="161"/>
  <c r="P4" i="161"/>
  <c r="R27" i="161"/>
  <c r="Q10" i="161"/>
  <c r="S16" i="161"/>
  <c r="T22" i="161"/>
  <c r="T29" i="161"/>
  <c r="Q35" i="161"/>
  <c r="S42" i="160"/>
  <c r="S39" i="160"/>
  <c r="S36" i="160"/>
  <c r="S33" i="160"/>
  <c r="S30" i="160"/>
  <c r="S27" i="160"/>
  <c r="S24" i="160"/>
  <c r="S21" i="160"/>
  <c r="S18" i="160"/>
  <c r="P10" i="160"/>
  <c r="S7" i="160"/>
  <c r="V41" i="160"/>
  <c r="V38" i="160"/>
  <c r="V35" i="160"/>
  <c r="V32" i="160"/>
  <c r="V29" i="160"/>
  <c r="V26" i="160"/>
  <c r="V23" i="160"/>
  <c r="V20" i="160"/>
  <c r="V17" i="160"/>
  <c r="R15" i="160"/>
  <c r="R12" i="160"/>
  <c r="U37" i="160"/>
  <c r="S34" i="160"/>
  <c r="Q31" i="160"/>
  <c r="U24" i="160"/>
  <c r="R21" i="160"/>
  <c r="P18" i="160"/>
  <c r="Q15" i="160"/>
  <c r="P9" i="160"/>
  <c r="S6" i="160"/>
  <c r="V3" i="160"/>
  <c r="R40" i="160"/>
  <c r="Q27" i="160"/>
  <c r="V40" i="160"/>
  <c r="T37" i="160"/>
  <c r="R34" i="160"/>
  <c r="P31" i="160"/>
  <c r="V27" i="160"/>
  <c r="T24" i="160"/>
  <c r="Q21" i="160"/>
  <c r="P15" i="160"/>
  <c r="V11" i="160"/>
  <c r="R6" i="160"/>
  <c r="U3" i="160"/>
  <c r="U11" i="160"/>
  <c r="Q6" i="160"/>
  <c r="P37" i="160"/>
  <c r="U40" i="160"/>
  <c r="S37" i="160"/>
  <c r="Q34" i="160"/>
  <c r="U27" i="160"/>
  <c r="R24" i="160"/>
  <c r="P21" i="160"/>
  <c r="U17" i="160"/>
  <c r="T3" i="160"/>
  <c r="V33" i="160"/>
  <c r="T40" i="160"/>
  <c r="R37" i="160"/>
  <c r="P34" i="160"/>
  <c r="V30" i="160"/>
  <c r="T27" i="160"/>
  <c r="Q24" i="160"/>
  <c r="T17" i="160"/>
  <c r="V14" i="160"/>
  <c r="T11" i="160"/>
  <c r="V8" i="160"/>
  <c r="P6" i="160"/>
  <c r="S3" i="160"/>
  <c r="T20" i="160"/>
  <c r="S40" i="160"/>
  <c r="Q37" i="160"/>
  <c r="U30" i="160"/>
  <c r="R27" i="160"/>
  <c r="P24" i="160"/>
  <c r="U20" i="160"/>
  <c r="S17" i="160"/>
  <c r="U14" i="160"/>
  <c r="S11" i="160"/>
  <c r="U8" i="160"/>
  <c r="R3" i="160"/>
  <c r="T30" i="160"/>
  <c r="R17" i="160"/>
  <c r="Q40" i="160"/>
  <c r="U33" i="160"/>
  <c r="R30" i="160"/>
  <c r="P27" i="160"/>
  <c r="U23" i="160"/>
  <c r="S20" i="160"/>
  <c r="Q17" i="160"/>
  <c r="S14" i="160"/>
  <c r="Q11" i="160"/>
  <c r="S8" i="160"/>
  <c r="V5" i="160"/>
  <c r="P3" i="160"/>
  <c r="U36" i="160"/>
  <c r="R33" i="160"/>
  <c r="P30" i="160"/>
  <c r="U26" i="160"/>
  <c r="S23" i="160"/>
  <c r="Q20" i="160"/>
  <c r="Q14" i="160"/>
  <c r="Q8" i="160"/>
  <c r="T5" i="160"/>
  <c r="R23" i="160"/>
  <c r="V39" i="160"/>
  <c r="T36" i="160"/>
  <c r="Q33" i="160"/>
  <c r="T26" i="160"/>
  <c r="P20" i="160"/>
  <c r="P14" i="160"/>
  <c r="P8" i="160"/>
  <c r="S5" i="160"/>
  <c r="U39" i="160"/>
  <c r="R36" i="160"/>
  <c r="P33" i="160"/>
  <c r="U29" i="160"/>
  <c r="S26" i="160"/>
  <c r="Q23" i="160"/>
  <c r="V10" i="160"/>
  <c r="R5" i="160"/>
  <c r="R42" i="160"/>
  <c r="P39" i="160"/>
  <c r="U35" i="160"/>
  <c r="S32" i="160"/>
  <c r="Q29" i="160"/>
  <c r="U22" i="160"/>
  <c r="S19" i="160"/>
  <c r="U16" i="160"/>
  <c r="S13" i="160"/>
  <c r="R10" i="160"/>
  <c r="T7" i="160"/>
  <c r="V4" i="160"/>
  <c r="V2" i="160"/>
  <c r="U41" i="160"/>
  <c r="S35" i="160"/>
  <c r="R29" i="160"/>
  <c r="P23" i="160"/>
  <c r="Q18" i="160"/>
  <c r="V12" i="160"/>
  <c r="U7" i="160"/>
  <c r="Q3" i="160"/>
  <c r="U12" i="160"/>
  <c r="R7" i="160"/>
  <c r="P12" i="160"/>
  <c r="T39" i="160"/>
  <c r="V6" i="160"/>
  <c r="Q10" i="160"/>
  <c r="V15" i="160"/>
  <c r="S15" i="160"/>
  <c r="Q25" i="160"/>
  <c r="Q42" i="160"/>
  <c r="T41" i="160"/>
  <c r="R35" i="160"/>
  <c r="P29" i="160"/>
  <c r="P17" i="160"/>
  <c r="Q12" i="160"/>
  <c r="V34" i="160"/>
  <c r="U2" i="160"/>
  <c r="P11" i="160"/>
  <c r="U9" i="160"/>
  <c r="R13" i="160"/>
  <c r="S41" i="160"/>
  <c r="Q35" i="160"/>
  <c r="V22" i="160"/>
  <c r="T12" i="160"/>
  <c r="Q7" i="160"/>
  <c r="P22" i="160"/>
  <c r="S2" i="160"/>
  <c r="U4" i="160"/>
  <c r="R14" i="160"/>
  <c r="V18" i="160"/>
  <c r="R41" i="160"/>
  <c r="P35" i="160"/>
  <c r="V28" i="160"/>
  <c r="T22" i="160"/>
  <c r="S12" i="160"/>
  <c r="P7" i="160"/>
  <c r="R22" i="160"/>
  <c r="T16" i="160"/>
  <c r="U5" i="160"/>
  <c r="U31" i="160"/>
  <c r="U18" i="160"/>
  <c r="Q41" i="160"/>
  <c r="U28" i="160"/>
  <c r="S22" i="160"/>
  <c r="P41" i="160"/>
  <c r="T28" i="160"/>
  <c r="R28" i="160"/>
  <c r="S4" i="160"/>
  <c r="P40" i="160"/>
  <c r="U34" i="160"/>
  <c r="S28" i="160"/>
  <c r="Q22" i="160"/>
  <c r="V16" i="160"/>
  <c r="R11" i="160"/>
  <c r="T2" i="160"/>
  <c r="T34" i="160"/>
  <c r="T8" i="160"/>
  <c r="R39" i="160"/>
  <c r="T33" i="160"/>
  <c r="Q28" i="160"/>
  <c r="S16" i="160"/>
  <c r="U10" i="160"/>
  <c r="U6" i="160"/>
  <c r="R2" i="160"/>
  <c r="Q39" i="160"/>
  <c r="P28" i="160"/>
  <c r="R16" i="160"/>
  <c r="T10" i="160"/>
  <c r="Q2" i="160"/>
  <c r="T21" i="160"/>
  <c r="R20" i="160"/>
  <c r="Q38" i="160"/>
  <c r="T19" i="160"/>
  <c r="R8" i="160"/>
  <c r="V21" i="160"/>
  <c r="T6" i="160"/>
  <c r="U38" i="160"/>
  <c r="R26" i="160"/>
  <c r="T38" i="160"/>
  <c r="U25" i="160"/>
  <c r="S9" i="160"/>
  <c r="P4" i="160"/>
  <c r="U32" i="160"/>
  <c r="U21" i="160"/>
  <c r="Q16" i="160"/>
  <c r="S10" i="160"/>
  <c r="T32" i="160"/>
  <c r="Q26" i="160"/>
  <c r="Q5" i="160"/>
  <c r="U42" i="160"/>
  <c r="Q36" i="160"/>
  <c r="P16" i="160"/>
  <c r="R32" i="160"/>
  <c r="U13" i="160"/>
  <c r="P25" i="160"/>
  <c r="S38" i="160"/>
  <c r="Q32" i="160"/>
  <c r="P26" i="160"/>
  <c r="V19" i="160"/>
  <c r="U15" i="160"/>
  <c r="P5" i="160"/>
  <c r="U19" i="160"/>
  <c r="V9" i="160"/>
  <c r="Q9" i="160"/>
  <c r="T42" i="160"/>
  <c r="P36" i="160"/>
  <c r="R38" i="160"/>
  <c r="P32" i="160"/>
  <c r="V25" i="160"/>
  <c r="T15" i="160"/>
  <c r="S25" i="160"/>
  <c r="S31" i="160"/>
  <c r="P38" i="160"/>
  <c r="V31" i="160"/>
  <c r="T25" i="160"/>
  <c r="R19" i="160"/>
  <c r="T14" i="160"/>
  <c r="T9" i="160"/>
  <c r="T4" i="160"/>
  <c r="Q19" i="160"/>
  <c r="V36" i="160"/>
  <c r="Q30" i="160"/>
  <c r="V42" i="160"/>
  <c r="V37" i="160"/>
  <c r="T31" i="160"/>
  <c r="R25" i="160"/>
  <c r="P19" i="160"/>
  <c r="V13" i="160"/>
  <c r="R9" i="160"/>
  <c r="R4" i="160"/>
  <c r="Q4" i="160"/>
  <c r="R31" i="160"/>
  <c r="P42" i="160"/>
  <c r="T29" i="160"/>
  <c r="V24" i="160"/>
  <c r="T18" i="160"/>
  <c r="Q13" i="160"/>
  <c r="T13" i="160"/>
  <c r="T35" i="160"/>
  <c r="S29" i="160"/>
  <c r="T23" i="160"/>
  <c r="R18" i="160"/>
  <c r="P13" i="160"/>
  <c r="V7" i="160"/>
  <c r="J3" i="155"/>
  <c r="J4" i="155"/>
  <c r="J5" i="155"/>
  <c r="J6" i="155"/>
  <c r="J7" i="155"/>
  <c r="J8" i="155"/>
  <c r="J9" i="155"/>
  <c r="J10" i="155"/>
  <c r="J11" i="155"/>
  <c r="J12" i="155"/>
  <c r="J13" i="155"/>
  <c r="J14" i="155"/>
  <c r="J15" i="155"/>
  <c r="J16" i="155"/>
  <c r="J17" i="155"/>
  <c r="J18" i="155"/>
  <c r="J19" i="155"/>
  <c r="J20" i="155"/>
  <c r="J21" i="155"/>
  <c r="J22" i="155"/>
  <c r="J23" i="155"/>
  <c r="J24" i="155"/>
  <c r="J25" i="155"/>
  <c r="J26" i="155"/>
  <c r="J27" i="155"/>
  <c r="J28" i="155"/>
  <c r="J29" i="155"/>
  <c r="J30" i="155"/>
  <c r="J31" i="155"/>
  <c r="J32" i="155"/>
  <c r="J33" i="155"/>
  <c r="J34" i="155"/>
  <c r="J35" i="155"/>
  <c r="J36" i="155"/>
  <c r="J37" i="155"/>
  <c r="J38" i="155"/>
  <c r="J39" i="155"/>
  <c r="J40" i="155"/>
  <c r="J41" i="155"/>
  <c r="J42" i="155"/>
  <c r="J43" i="155"/>
  <c r="J44" i="155"/>
  <c r="J45" i="155"/>
  <c r="J46" i="155"/>
  <c r="J47" i="155"/>
  <c r="J48" i="155"/>
  <c r="J49" i="155"/>
  <c r="J50" i="155"/>
  <c r="J51" i="155"/>
  <c r="J52" i="155"/>
  <c r="J53" i="155"/>
  <c r="J54" i="155"/>
  <c r="J55" i="155"/>
  <c r="J56" i="155"/>
  <c r="J57" i="155"/>
  <c r="J58" i="155"/>
  <c r="J59" i="155"/>
  <c r="J60" i="155"/>
  <c r="J61" i="155"/>
  <c r="J62" i="155"/>
  <c r="J63" i="155"/>
  <c r="J64" i="155"/>
  <c r="J65" i="155"/>
  <c r="J66" i="155"/>
  <c r="J67" i="155"/>
  <c r="J68" i="155"/>
  <c r="J69" i="155"/>
  <c r="J70" i="155"/>
  <c r="J71" i="155"/>
  <c r="J72" i="155"/>
  <c r="J73" i="155"/>
  <c r="J74" i="155"/>
  <c r="J75" i="155"/>
  <c r="J76" i="155"/>
  <c r="J77" i="155"/>
  <c r="J78" i="155"/>
  <c r="J79" i="155"/>
  <c r="J80" i="155"/>
  <c r="J81" i="155"/>
  <c r="J82" i="155"/>
  <c r="J83" i="155"/>
  <c r="J84" i="155"/>
  <c r="J85" i="155"/>
  <c r="J86" i="155"/>
  <c r="J87" i="155"/>
  <c r="J88" i="155"/>
  <c r="J89" i="155"/>
  <c r="J90" i="155"/>
  <c r="J91" i="155"/>
  <c r="J92" i="155"/>
  <c r="J93" i="155"/>
  <c r="J94" i="155"/>
  <c r="J95" i="155"/>
  <c r="J96" i="155"/>
  <c r="J97" i="155"/>
  <c r="J98" i="155"/>
  <c r="J99" i="155"/>
  <c r="J100" i="155"/>
  <c r="J101" i="155"/>
  <c r="J102" i="155"/>
  <c r="J103" i="155"/>
  <c r="J104" i="155"/>
  <c r="J105" i="155"/>
  <c r="J106" i="155"/>
  <c r="J107" i="155"/>
  <c r="J108" i="155"/>
  <c r="J109" i="155"/>
  <c r="J110" i="155"/>
  <c r="J111" i="155"/>
  <c r="J112" i="155"/>
  <c r="J113" i="155"/>
  <c r="J114" i="155"/>
  <c r="J115" i="155"/>
  <c r="J116" i="155"/>
  <c r="J117" i="155"/>
  <c r="J118" i="155"/>
  <c r="J119" i="155"/>
  <c r="J120" i="155"/>
  <c r="J121" i="155"/>
  <c r="J122" i="155"/>
  <c r="J123" i="155"/>
  <c r="J124" i="155"/>
  <c r="J125" i="155"/>
  <c r="J126" i="155"/>
  <c r="J127" i="155"/>
  <c r="J128" i="155"/>
  <c r="J129" i="155"/>
  <c r="J2" i="155"/>
  <c r="U12" i="113"/>
  <c r="T12" i="113"/>
  <c r="R17" i="113"/>
  <c r="R16" i="113"/>
  <c r="R15" i="113"/>
  <c r="R14" i="113"/>
  <c r="R13" i="113"/>
  <c r="R12" i="113" l="1"/>
  <c r="R7" i="113"/>
  <c r="R6" i="113"/>
  <c r="R5" i="113"/>
  <c r="R4" i="113"/>
  <c r="R3" i="113" l="1"/>
</calcChain>
</file>

<file path=xl/sharedStrings.xml><?xml version="1.0" encoding="utf-8"?>
<sst xmlns="http://schemas.openxmlformats.org/spreadsheetml/2006/main" count="1023" uniqueCount="154">
  <si>
    <t>Time (min)</t>
  </si>
  <si>
    <t>DECAY</t>
    <phoneticPr fontId="1" type="noConversion"/>
  </si>
  <si>
    <t>Free+Bound</t>
    <phoneticPr fontId="1" type="noConversion"/>
  </si>
  <si>
    <t>Free</t>
    <phoneticPr fontId="1" type="noConversion"/>
  </si>
  <si>
    <t>Bound</t>
    <phoneticPr fontId="1" type="noConversion"/>
  </si>
  <si>
    <t>Total Mass</t>
    <phoneticPr fontId="1" type="noConversion"/>
  </si>
  <si>
    <t xml:space="preserve">잘 작동 &gt; </t>
    <phoneticPr fontId="1" type="noConversion"/>
  </si>
  <si>
    <t>range(0,2,58) range(60,4,196) range(200,10,1190) range(1200,30,4320)</t>
    <phoneticPr fontId="1" type="noConversion"/>
  </si>
  <si>
    <t xml:space="preserve">range(0,2,58) range(60,5,205) range(210,30,4320) </t>
    <phoneticPr fontId="1" type="noConversion"/>
  </si>
  <si>
    <t xml:space="preserve">range(0,2,58) range(60,5,195) range(200,15,755) range(770,50,4320) </t>
    <phoneticPr fontId="1" type="noConversion"/>
  </si>
  <si>
    <t>Time (h)</t>
  </si>
  <si>
    <t>Decay</t>
    <phoneticPr fontId="1" type="noConversion"/>
  </si>
  <si>
    <t>Total Mass</t>
  </si>
  <si>
    <t>ECM</t>
  </si>
  <si>
    <t xml:space="preserve">No </t>
    <phoneticPr fontId="1" type="noConversion"/>
  </si>
  <si>
    <t>range(0,2,58) range(60,5,295) range(300,10,690) range(700,20,1500) range(1520,40,4320)</t>
  </si>
  <si>
    <t>잘 작동, 한 케이스당 1시간30분-1시간 50분 걸림 &gt; 그런데 작은 몰레큘, 리앱소션에서 잘 수렴안됨</t>
    <phoneticPr fontId="1" type="noConversion"/>
  </si>
  <si>
    <t>잘 작동, 한 케이스당 2-4시간 걸림 &gt; 작은 몰레큘, 리앱소션에서도 잘 작동</t>
    <phoneticPr fontId="1" type="noConversion"/>
  </si>
  <si>
    <t>sigma_ve</t>
  </si>
  <si>
    <t>sigma_le</t>
  </si>
  <si>
    <t>kf_m</t>
  </si>
  <si>
    <t>1/(10*60*60)[s]</t>
  </si>
  <si>
    <t>kr_m</t>
  </si>
  <si>
    <t>1/(1*24*60*60)[s]</t>
  </si>
  <si>
    <t>k_decay</t>
  </si>
  <si>
    <t>1/(10*24*60*60)[s]</t>
  </si>
  <si>
    <t>Baseline</t>
  </si>
  <si>
    <t>Total Area</t>
  </si>
  <si>
    <t>Total Peak Area</t>
  </si>
  <si>
    <t>Number of Peaks</t>
  </si>
  <si>
    <t>Lymph</t>
    <phoneticPr fontId="1" type="noConversion"/>
  </si>
  <si>
    <t>Vessel</t>
    <phoneticPr fontId="1" type="noConversion"/>
  </si>
  <si>
    <t>ECM</t>
    <phoneticPr fontId="1" type="noConversion"/>
  </si>
  <si>
    <t>% AUC</t>
    <phoneticPr fontId="1" type="noConversion"/>
  </si>
  <si>
    <t>0d reaction</t>
    <phoneticPr fontId="1" type="noConversion"/>
  </si>
  <si>
    <t>Time (h)</t>
    <phoneticPr fontId="1" type="noConversion"/>
  </si>
  <si>
    <t>Lymph</t>
  </si>
  <si>
    <t>Blood</t>
  </si>
  <si>
    <t>Blood</t>
    <phoneticPr fontId="1" type="noConversion"/>
  </si>
  <si>
    <t>Decay</t>
  </si>
  <si>
    <t>Lp_ve</t>
  </si>
  <si>
    <t>8e-12 [m/(Pa*s)]</t>
  </si>
  <si>
    <t>8E-12 m²·s/kg</t>
  </si>
  <si>
    <t>K</t>
  </si>
  <si>
    <t>1e-15 [m^2]</t>
  </si>
  <si>
    <t>1E-15 m²</t>
  </si>
  <si>
    <t>Hydraulic permeablility of 6mg/ml fibrin gel</t>
  </si>
  <si>
    <t>reflection coeff of IgG</t>
  </si>
  <si>
    <t>D_gel</t>
  </si>
  <si>
    <t>Forward reaction rate constant, drug dissociation</t>
  </si>
  <si>
    <t>Reverse reaction rate constant, drug dissociation</t>
  </si>
  <si>
    <t>P_artery</t>
  </si>
  <si>
    <t>3130 [Pa]</t>
  </si>
  <si>
    <t>3130 Pa</t>
  </si>
  <si>
    <t>P_vein</t>
  </si>
  <si>
    <t>2540 [Pa]</t>
  </si>
  <si>
    <t>2540 Pa</t>
  </si>
  <si>
    <t>P_lymph</t>
  </si>
  <si>
    <t>0 [Pa]</t>
  </si>
  <si>
    <t>0 Pa</t>
  </si>
  <si>
    <t>P_oncotic</t>
  </si>
  <si>
    <t>3590 [Pa]</t>
  </si>
  <si>
    <t>3590 Pa</t>
  </si>
  <si>
    <t>c_0</t>
  </si>
  <si>
    <t>1 [mol/m^3]</t>
  </si>
  <si>
    <t>1 mol/m³</t>
  </si>
  <si>
    <t>concentration at source</t>
  </si>
  <si>
    <t>sigma_AB</t>
  </si>
  <si>
    <t>reflec coef of albumin</t>
  </si>
  <si>
    <t>Ssa</t>
  </si>
  <si>
    <t>1.88E04[m^2/m^3]</t>
  </si>
  <si>
    <t>18800 1/m</t>
  </si>
  <si>
    <t>th</t>
  </si>
  <si>
    <t>20e-6 [m]</t>
  </si>
  <si>
    <t>2E-5 m</t>
  </si>
  <si>
    <t>thickness of barrier</t>
  </si>
  <si>
    <t>Mu</t>
  </si>
  <si>
    <t>0.0046 [Pa*s]</t>
  </si>
  <si>
    <t>0.0046 Pa·s</t>
  </si>
  <si>
    <t>dynamic viscosity of plasma</t>
  </si>
  <si>
    <t>porosity</t>
  </si>
  <si>
    <t>Expression</t>
    <phoneticPr fontId="1" type="noConversion"/>
  </si>
  <si>
    <t>Value</t>
    <phoneticPr fontId="1" type="noConversion"/>
  </si>
  <si>
    <t>Description</t>
    <phoneticPr fontId="1" type="noConversion"/>
  </si>
  <si>
    <t>Name</t>
    <phoneticPr fontId="1" type="noConversion"/>
  </si>
  <si>
    <t>Best combination</t>
    <phoneticPr fontId="1" type="noConversion"/>
  </si>
  <si>
    <t>3에서 수렴안하는 경우가 있어서 3에서  Strict&gt;Free , tolerance:physics-controlled로 바꿈. 한 케이스당 40-60분</t>
    <phoneticPr fontId="1" type="noConversion"/>
  </si>
  <si>
    <t>4e-12 [m/(Pa*s)]</t>
    <phoneticPr fontId="1" type="noConversion"/>
  </si>
  <si>
    <t>4E-12 m²·s/kg</t>
    <phoneticPr fontId="1" type="noConversion"/>
  </si>
  <si>
    <t>1e-17 [m^2]</t>
    <phoneticPr fontId="1" type="noConversion"/>
  </si>
  <si>
    <t>1e-13 [m^2]</t>
    <phoneticPr fontId="1" type="noConversion"/>
  </si>
  <si>
    <t>1E-13 m²</t>
    <phoneticPr fontId="1" type="noConversion"/>
  </si>
  <si>
    <t>3145 [Pa]</t>
    <phoneticPr fontId="1" type="noConversion"/>
  </si>
  <si>
    <t>3815 [Pa]</t>
    <phoneticPr fontId="1" type="noConversion"/>
  </si>
  <si>
    <t>30e-12 [m^2/s]</t>
    <phoneticPr fontId="1" type="noConversion"/>
  </si>
  <si>
    <t>3E-11 m²/s</t>
    <phoneticPr fontId="1" type="noConversion"/>
  </si>
  <si>
    <t>16e-12 [m/(Pa*s)]</t>
    <phoneticPr fontId="1" type="noConversion"/>
  </si>
  <si>
    <t>16E-12 m²·s/kg</t>
    <phoneticPr fontId="1" type="noConversion"/>
  </si>
  <si>
    <t>3590 [Pa]</t>
    <phoneticPr fontId="1" type="noConversion"/>
  </si>
  <si>
    <t>Lp_ve=8E-12, K=1E-15, P_oncotic=3590, sigma_ve=0.5, D_gel=3E-11, Concentration (mol)</t>
  </si>
  <si>
    <t>Lp_ve=8E-12, K=1E-15, P_oncotic=3590, sigma_ve=0.5, D_gel=3E-11, Cumulative integral: Normal convective flux (mol)</t>
  </si>
  <si>
    <t>Lp_ve=8E-12, K=1E-15, P_oncotic=3590, sigma_ve=0.5, D_gel=3E-11, Cumulative integral: Normal total flux (mol)</t>
  </si>
  <si>
    <t>Lp_ve=4E-12, K=1E-15, P_oncotic=3590, sigma_ve=0.5, D_gel=3E-11, Concentration (mol)</t>
  </si>
  <si>
    <t>Lp_ve=4E-12, K=1E-15, P_oncotic=3590, sigma_ve=0.5, D_gel=3E-11, Cumulative integral: Normal convective flux (mol)</t>
  </si>
  <si>
    <t>Lp_ve=4E-12, K=1E-15, P_oncotic=3590, sigma_ve=0.5, D_gel=3E-11, Cumulative integral: Normal total flux (mol)</t>
  </si>
  <si>
    <t>Lp_ve=1.6E-11, K=1E-15, P_oncotic=3590, sigma_ve=0.5, D_gel=3E-11, Concentration (mol)</t>
  </si>
  <si>
    <t>Lp_ve=1.6E-11, K=1E-15, P_oncotic=3590, sigma_ve=0.5, D_gel=3E-11, Cumulative integral: Normal convective flux (mol)</t>
  </si>
  <si>
    <t>Lp_ve=1.6E-11, K=1E-15, P_oncotic=3590, sigma_ve=0.5, D_gel=3E-11, Cumulative integral: Normal total flux (mol)</t>
  </si>
  <si>
    <t>Lp_ve=8E-12, K=1E-17, P_oncotic=3590, sigma_ve=0.5, D_gel=3E-11, Concentration (mol)</t>
  </si>
  <si>
    <t>Lp_ve=8E-12, K=1E-17, P_oncotic=3590, sigma_ve=0.5, D_gel=3E-11, Cumulative integral: Normal convective flux (mol)</t>
  </si>
  <si>
    <t>Lp_ve=8E-12, K=1E-17, P_oncotic=3590, sigma_ve=0.5, D_gel=3E-11, Cumulative integral: Normal total flux (mol)</t>
  </si>
  <si>
    <t>Lp_ve=8E-12, K=1E-13, P_oncotic=3590, sigma_ve=0.5, D_gel=3E-11, Concentration (mol)</t>
  </si>
  <si>
    <t>Lp_ve=8E-12, K=1E-13, P_oncotic=3590, sigma_ve=0.5, D_gel=3E-11, Cumulative integral: Normal convective flux (mol)</t>
  </si>
  <si>
    <t>Lp_ve=8E-12, K=1E-13, P_oncotic=3590, sigma_ve=0.5, D_gel=3E-11, Cumulative integral: Normal total flux (mol)</t>
  </si>
  <si>
    <t>Lp_ve=8E-12, K=1E-15, P_oncotic=3145, sigma_ve=0.5, D_gel=3E-11, Concentration (mol)</t>
  </si>
  <si>
    <t>Lp_ve=8E-12, K=1E-15, P_oncotic=3145, sigma_ve=0.5, D_gel=3E-11, Cumulative integral: Normal convective flux (mol)</t>
  </si>
  <si>
    <t>Lp_ve=8E-12, K=1E-15, P_oncotic=3145, sigma_ve=0.5, D_gel=3E-11, Cumulative integral: Normal total flux (mol)</t>
  </si>
  <si>
    <t>Lp_ve=8E-12, K=1E-15, P_oncotic=3815, sigma_ve=0.5, D_gel=3E-11, Concentration (mol)</t>
  </si>
  <si>
    <t>Lp_ve=8E-12, K=1E-15, P_oncotic=3815, sigma_ve=0.5, D_gel=3E-11, Cumulative integral: Normal convective flux (mol)</t>
  </si>
  <si>
    <t>Lp_ve=8E-12, K=1E-15, P_oncotic=3815, sigma_ve=0.5, D_gel=3E-11, Cumulative integral: Normal total flux (mol)</t>
  </si>
  <si>
    <t>Lp_ve=8E-12, K=1E-15, P_oncotic=3590, sigma_ve=0.1, D_gel=3E-11, Concentration (mol)</t>
  </si>
  <si>
    <t>Lp_ve=8E-12, K=1E-15, P_oncotic=3590, sigma_ve=0.1, D_gel=3E-11, Cumulative integral: Normal convective flux (mol)</t>
  </si>
  <si>
    <t>Lp_ve=8E-12, K=1E-15, P_oncotic=3590, sigma_ve=0.1, D_gel=3E-11, Cumulative integral: Normal total flux (mol)</t>
  </si>
  <si>
    <t>Lp_ve=8E-12, K=1E-15, P_oncotic=3590, sigma_ve=0.9, D_gel=3E-11, Concentration (mol)</t>
  </si>
  <si>
    <t>Lp_ve=8E-12, K=1E-15, P_oncotic=3590, sigma_ve=0.9, D_gel=3E-11, Cumulative integral: Normal convective flux (mol)</t>
  </si>
  <si>
    <t>Lp_ve=8E-12, K=1E-15, P_oncotic=3590, sigma_ve=0.9, D_gel=3E-11, Cumulative integral: Normal total flux (mol)</t>
  </si>
  <si>
    <t>Lp_ve=8E-12, K=1E-15, P_oncotic=3590, sigma_ve=0.5, D_gel=1E-10, Concentration (mol)</t>
  </si>
  <si>
    <t>Lp_ve=8E-12, K=1E-15, P_oncotic=3590, sigma_ve=0.5, D_gel=1E-10, Cumulative integral: Normal convective flux (mol)</t>
  </si>
  <si>
    <t>Lp_ve=8E-12, K=1E-15, P_oncotic=3590, sigma_ve=0.5, D_gel=1E-10, Cumulative integral: Normal total flux (mol)</t>
  </si>
  <si>
    <t>Lp_ve=8E-12, K=1E-15, P_oncotic=3590, sigma_ve=0.5, D_gel=1E-11, Concentration (mol)</t>
  </si>
  <si>
    <t>Lp_ve=8E-12, K=1E-15, P_oncotic=3590, sigma_ve=0.5, D_gel=1E-11, Cumulative integral: Normal convective flux (mol)</t>
  </si>
  <si>
    <t>Lp_ve=8E-12, K=1E-15, P_oncotic=3590, sigma_ve=0.5, D_gel=1E-11, Cumulative integral: Normal total flux (mol)</t>
  </si>
  <si>
    <t>Representative</t>
  </si>
  <si>
    <r>
      <t>low L</t>
    </r>
    <r>
      <rPr>
        <i/>
        <vertAlign val="subscript"/>
        <sz val="10"/>
        <rFont val="Arial"/>
        <family val="2"/>
      </rPr>
      <t>p</t>
    </r>
  </si>
  <si>
    <r>
      <t>high L</t>
    </r>
    <r>
      <rPr>
        <i/>
        <vertAlign val="subscript"/>
        <sz val="10"/>
        <rFont val="Arial"/>
        <family val="2"/>
      </rPr>
      <t>p</t>
    </r>
  </si>
  <si>
    <t>low K</t>
  </si>
  <si>
    <t>high K</t>
  </si>
  <si>
    <r>
      <t>low P</t>
    </r>
    <r>
      <rPr>
        <i/>
        <vertAlign val="subscript"/>
        <sz val="10"/>
        <rFont val="Arial"/>
        <family val="2"/>
      </rPr>
      <t>π</t>
    </r>
  </si>
  <si>
    <r>
      <t>high P</t>
    </r>
    <r>
      <rPr>
        <i/>
        <vertAlign val="subscript"/>
        <sz val="10"/>
        <rFont val="Arial"/>
        <family val="2"/>
      </rPr>
      <t>π</t>
    </r>
  </si>
  <si>
    <r>
      <t>low σ</t>
    </r>
    <r>
      <rPr>
        <i/>
        <vertAlign val="subscript"/>
        <sz val="10"/>
        <rFont val="Arial"/>
        <family val="2"/>
      </rPr>
      <t>BV</t>
    </r>
  </si>
  <si>
    <r>
      <t>high σ</t>
    </r>
    <r>
      <rPr>
        <i/>
        <vertAlign val="subscript"/>
        <sz val="10"/>
        <rFont val="Arial"/>
        <family val="2"/>
      </rPr>
      <t>BV</t>
    </r>
  </si>
  <si>
    <t>Circulation sum</t>
    <phoneticPr fontId="1" type="noConversion"/>
  </si>
  <si>
    <r>
      <t>low p</t>
    </r>
    <r>
      <rPr>
        <i/>
        <vertAlign val="subscript"/>
        <sz val="10"/>
        <rFont val="Arial"/>
        <family val="2"/>
      </rPr>
      <t>BV</t>
    </r>
  </si>
  <si>
    <r>
      <t>high p</t>
    </r>
    <r>
      <rPr>
        <i/>
        <vertAlign val="subscript"/>
        <sz val="10"/>
        <rFont val="Arial"/>
        <family val="2"/>
      </rPr>
      <t>BV</t>
    </r>
  </si>
  <si>
    <t>p_le</t>
  </si>
  <si>
    <t>1E-8 [m/s]</t>
  </si>
  <si>
    <t>1E-8 m/s</t>
  </si>
  <si>
    <t>p_ve</t>
  </si>
  <si>
    <t>3E-11 [m/s]</t>
    <phoneticPr fontId="1" type="noConversion"/>
  </si>
  <si>
    <t>3E-11 m/s</t>
    <phoneticPr fontId="1" type="noConversion"/>
  </si>
  <si>
    <t>10E-11 [m/s]</t>
    <phoneticPr fontId="1" type="noConversion"/>
  </si>
  <si>
    <t>1E-10 m/s</t>
    <phoneticPr fontId="1" type="noConversion"/>
  </si>
  <si>
    <t>1E-11 [m/s]</t>
    <phoneticPr fontId="1" type="noConversion"/>
  </si>
  <si>
    <t>1E-11 m/s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</si>
</sst>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1"/>
      <color theme="5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00B050"/>
      <name val="Arial"/>
      <family val="2"/>
    </font>
    <font>
      <b/>
      <sz val="11"/>
      <color rgb="FF132BD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i/>
      <sz val="11"/>
      <color theme="5"/>
      <name val="Arial"/>
      <family val="2"/>
    </font>
    <font>
      <b/>
      <i/>
      <sz val="11"/>
      <color rgb="FFFF0000"/>
      <name val="Arial"/>
      <family val="2"/>
    </font>
    <font>
      <b/>
      <i/>
      <sz val="11"/>
      <color rgb="FF00B050"/>
      <name val="Arial"/>
      <family val="2"/>
    </font>
    <font>
      <b/>
      <i/>
      <sz val="11"/>
      <color rgb="FF132BDF"/>
      <name val="Arial"/>
      <family val="2"/>
    </font>
    <font>
      <b/>
      <sz val="10"/>
      <name val="Arial"/>
      <family val="2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i/>
      <sz val="10"/>
      <name val="Arial"/>
      <family val="2"/>
    </font>
    <font>
      <i/>
      <vertAlign val="sub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1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10" fontId="0" fillId="0" borderId="0" xfId="0" applyNumberFormat="1"/>
    <xf numFmtId="11" fontId="2" fillId="0" borderId="0" xfId="0" applyNumberFormat="1" applyFont="1"/>
    <xf numFmtId="176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horizontal="left"/>
    </xf>
    <xf numFmtId="176" fontId="2" fillId="0" borderId="0" xfId="0" applyNumberFormat="1" applyFont="1"/>
    <xf numFmtId="0" fontId="9" fillId="0" borderId="2" xfId="0" applyFont="1" applyBorder="1" applyAlignment="1">
      <alignment horizontal="center"/>
    </xf>
    <xf numFmtId="11" fontId="3" fillId="0" borderId="3" xfId="0" applyNumberFormat="1" applyFont="1" applyBorder="1" applyAlignment="1">
      <alignment horizontal="center"/>
    </xf>
    <xf numFmtId="11" fontId="5" fillId="0" borderId="3" xfId="0" applyNumberFormat="1" applyFont="1" applyBorder="1" applyAlignment="1">
      <alignment horizontal="center"/>
    </xf>
    <xf numFmtId="11" fontId="6" fillId="0" borderId="3" xfId="0" applyNumberFormat="1" applyFont="1" applyBorder="1" applyAlignment="1">
      <alignment horizontal="center"/>
    </xf>
    <xf numFmtId="11" fontId="7" fillId="0" borderId="5" xfId="0" applyNumberFormat="1" applyFont="1" applyBorder="1" applyAlignment="1">
      <alignment horizontal="center"/>
    </xf>
    <xf numFmtId="0" fontId="10" fillId="0" borderId="1" xfId="0" applyFont="1" applyBorder="1"/>
    <xf numFmtId="2" fontId="11" fillId="0" borderId="4" xfId="0" applyNumberFormat="1" applyFont="1" applyBorder="1" applyAlignment="1">
      <alignment horizontal="center"/>
    </xf>
    <xf numFmtId="2" fontId="12" fillId="0" borderId="4" xfId="0" applyNumberFormat="1" applyFont="1" applyBorder="1" applyAlignment="1">
      <alignment horizontal="center"/>
    </xf>
    <xf numFmtId="2" fontId="13" fillId="0" borderId="4" xfId="0" applyNumberFormat="1" applyFont="1" applyBorder="1" applyAlignment="1">
      <alignment horizontal="center"/>
    </xf>
    <xf numFmtId="2" fontId="14" fillId="0" borderId="6" xfId="0" applyNumberFormat="1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/>
    </xf>
    <xf numFmtId="176" fontId="1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1" fontId="8" fillId="0" borderId="0" xfId="0" applyNumberFormat="1" applyFont="1" applyAlignment="1">
      <alignment horizontal="center"/>
    </xf>
    <xf numFmtId="11" fontId="3" fillId="0" borderId="0" xfId="0" applyNumberFormat="1" applyFont="1" applyAlignment="1">
      <alignment horizontal="center"/>
    </xf>
    <xf numFmtId="176" fontId="11" fillId="0" borderId="0" xfId="0" applyNumberFormat="1" applyFont="1" applyAlignment="1">
      <alignment horizontal="center"/>
    </xf>
    <xf numFmtId="11" fontId="5" fillId="0" borderId="0" xfId="0" applyNumberFormat="1" applyFont="1" applyAlignment="1">
      <alignment horizontal="center"/>
    </xf>
    <xf numFmtId="11" fontId="6" fillId="0" borderId="0" xfId="0" applyNumberFormat="1" applyFont="1" applyAlignment="1">
      <alignment horizontal="center"/>
    </xf>
    <xf numFmtId="11" fontId="7" fillId="0" borderId="0" xfId="0" applyNumberFormat="1" applyFont="1" applyAlignment="1">
      <alignment horizontal="center"/>
    </xf>
    <xf numFmtId="176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0" xfId="0" applyFont="1" applyAlignment="1">
      <alignment vertical="center"/>
    </xf>
    <xf numFmtId="0" fontId="17" fillId="0" borderId="0" xfId="0" applyFont="1"/>
    <xf numFmtId="11" fontId="17" fillId="0" borderId="0" xfId="0" applyNumberFormat="1" applyFont="1"/>
    <xf numFmtId="11" fontId="16" fillId="0" borderId="0" xfId="0" applyNumberFormat="1" applyFont="1"/>
    <xf numFmtId="11" fontId="18" fillId="0" borderId="0" xfId="0" applyNumberFormat="1" applyFont="1"/>
    <xf numFmtId="0" fontId="18" fillId="0" borderId="0" xfId="0" applyFo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" fontId="0" fillId="0" borderId="0" xfId="0" applyNumberFormat="1"/>
    <xf numFmtId="0" fontId="8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132BDF"/>
      <color rgb="FF00E668"/>
      <color rgb="FF050E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18</xdr:row>
          <xdr:rowOff>0</xdr:rowOff>
        </xdr:from>
        <xdr:to>
          <xdr:col>30</xdr:col>
          <xdr:colOff>6030</xdr:colOff>
          <xdr:row>32</xdr:row>
          <xdr:rowOff>25400</xdr:rowOff>
        </xdr:to>
        <xdr:sp macro="" textlink="">
          <xdr:nvSpPr>
            <xdr:cNvPr id="12292" name="Object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2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330200</xdr:colOff>
          <xdr:row>16</xdr:row>
          <xdr:rowOff>12700</xdr:rowOff>
        </xdr:from>
        <xdr:to>
          <xdr:col>28</xdr:col>
          <xdr:colOff>368300</xdr:colOff>
          <xdr:row>30</xdr:row>
          <xdr:rowOff>38100</xdr:rowOff>
        </xdr:to>
        <xdr:sp macro="" textlink="">
          <xdr:nvSpPr>
            <xdr:cNvPr id="15365" name="Object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3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18</xdr:row>
          <xdr:rowOff>0</xdr:rowOff>
        </xdr:from>
        <xdr:to>
          <xdr:col>28</xdr:col>
          <xdr:colOff>655483</xdr:colOff>
          <xdr:row>32</xdr:row>
          <xdr:rowOff>75887</xdr:rowOff>
        </xdr:to>
        <xdr:sp macro="" textlink="">
          <xdr:nvSpPr>
            <xdr:cNvPr id="16388" name="Object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4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18</xdr:row>
          <xdr:rowOff>0</xdr:rowOff>
        </xdr:from>
        <xdr:to>
          <xdr:col>28</xdr:col>
          <xdr:colOff>711200</xdr:colOff>
          <xdr:row>32</xdr:row>
          <xdr:rowOff>25400</xdr:rowOff>
        </xdr:to>
        <xdr:sp macro="" textlink="">
          <xdr:nvSpPr>
            <xdr:cNvPr id="17412" name="Object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05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18</xdr:row>
          <xdr:rowOff>0</xdr:rowOff>
        </xdr:from>
        <xdr:to>
          <xdr:col>28</xdr:col>
          <xdr:colOff>711200</xdr:colOff>
          <xdr:row>32</xdr:row>
          <xdr:rowOff>25400</xdr:rowOff>
        </xdr:to>
        <xdr:sp macro="" textlink="">
          <xdr:nvSpPr>
            <xdr:cNvPr id="18435" name="Object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6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673100</xdr:colOff>
          <xdr:row>16</xdr:row>
          <xdr:rowOff>152400</xdr:rowOff>
        </xdr:from>
        <xdr:to>
          <xdr:col>28</xdr:col>
          <xdr:colOff>685800</xdr:colOff>
          <xdr:row>30</xdr:row>
          <xdr:rowOff>177800</xdr:rowOff>
        </xdr:to>
        <xdr:sp macro="" textlink="">
          <xdr:nvSpPr>
            <xdr:cNvPr id="19459" name="Object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7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19</xdr:row>
          <xdr:rowOff>0</xdr:rowOff>
        </xdr:from>
        <xdr:to>
          <xdr:col>28</xdr:col>
          <xdr:colOff>711200</xdr:colOff>
          <xdr:row>33</xdr:row>
          <xdr:rowOff>25400</xdr:rowOff>
        </xdr:to>
        <xdr:sp macro="" textlink="">
          <xdr:nvSpPr>
            <xdr:cNvPr id="20484" name="Object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08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647700</xdr:colOff>
          <xdr:row>17</xdr:row>
          <xdr:rowOff>76200</xdr:rowOff>
        </xdr:from>
        <xdr:to>
          <xdr:col>28</xdr:col>
          <xdr:colOff>673100</xdr:colOff>
          <xdr:row>31</xdr:row>
          <xdr:rowOff>50800</xdr:rowOff>
        </xdr:to>
        <xdr:sp macro="" textlink="">
          <xdr:nvSpPr>
            <xdr:cNvPr id="21507" name="Object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9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18</xdr:row>
          <xdr:rowOff>0</xdr:rowOff>
        </xdr:from>
        <xdr:to>
          <xdr:col>28</xdr:col>
          <xdr:colOff>711200</xdr:colOff>
          <xdr:row>31</xdr:row>
          <xdr:rowOff>177800</xdr:rowOff>
        </xdr:to>
        <xdr:sp macro="" textlink="">
          <xdr:nvSpPr>
            <xdr:cNvPr id="22531" name="Object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A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18</xdr:row>
          <xdr:rowOff>0</xdr:rowOff>
        </xdr:from>
        <xdr:to>
          <xdr:col>28</xdr:col>
          <xdr:colOff>711200</xdr:colOff>
          <xdr:row>31</xdr:row>
          <xdr:rowOff>177800</xdr:rowOff>
        </xdr:to>
        <xdr:sp macro="" textlink="">
          <xdr:nvSpPr>
            <xdr:cNvPr id="24578" name="Object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B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17</xdr:row>
          <xdr:rowOff>0</xdr:rowOff>
        </xdr:from>
        <xdr:to>
          <xdr:col>28</xdr:col>
          <xdr:colOff>711200</xdr:colOff>
          <xdr:row>30</xdr:row>
          <xdr:rowOff>177800</xdr:rowOff>
        </xdr:to>
        <xdr:sp macro="" textlink="">
          <xdr:nvSpPr>
            <xdr:cNvPr id="23555" name="Object 3" hidden="1">
              <a:extLst>
                <a:ext uri="{63B3BB69-23CF-44E3-9099-C40C66FF867C}">
                  <a14:compatExt spid="_x0000_s23555"/>
                </a:ext>
                <a:ext uri="{FF2B5EF4-FFF2-40B4-BE49-F238E27FC236}">
                  <a16:creationId xmlns:a16="http://schemas.microsoft.com/office/drawing/2014/main" id="{00000000-0008-0000-0C00-00000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6.emf"/><Relationship Id="rId4" Type="http://schemas.openxmlformats.org/officeDocument/2006/relationships/oleObject" Target="../embeddings/oleObject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7.emf"/><Relationship Id="rId4" Type="http://schemas.openxmlformats.org/officeDocument/2006/relationships/oleObject" Target="../embeddings/oleObject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11.emf"/><Relationship Id="rId4" Type="http://schemas.openxmlformats.org/officeDocument/2006/relationships/oleObject" Target="../embeddings/oleObject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2B6B-6080-42B8-904B-EBF8EA04B7E2}">
  <dimension ref="C2:U17"/>
  <sheetViews>
    <sheetView workbookViewId="0">
      <selection activeCell="R38" sqref="R38"/>
    </sheetView>
  </sheetViews>
  <sheetFormatPr baseColWidth="10" defaultColWidth="8.83203125" defaultRowHeight="17"/>
  <sheetData>
    <row r="2" spans="3:21">
      <c r="C2" t="s">
        <v>14</v>
      </c>
    </row>
    <row r="3" spans="3:21">
      <c r="C3">
        <v>1</v>
      </c>
      <c r="D3" t="s">
        <v>6</v>
      </c>
      <c r="E3" t="s">
        <v>7</v>
      </c>
      <c r="L3">
        <v>270</v>
      </c>
      <c r="R3">
        <f>SUM(R4:R11)</f>
        <v>168</v>
      </c>
    </row>
    <row r="4" spans="3:21">
      <c r="E4" t="s">
        <v>8</v>
      </c>
      <c r="L4">
        <v>198</v>
      </c>
      <c r="N4">
        <v>0</v>
      </c>
      <c r="O4">
        <v>2</v>
      </c>
      <c r="P4">
        <v>58</v>
      </c>
      <c r="R4">
        <f>(P4-N4)/O4+1</f>
        <v>30</v>
      </c>
    </row>
    <row r="5" spans="3:21">
      <c r="C5">
        <v>2</v>
      </c>
      <c r="D5" t="s">
        <v>16</v>
      </c>
      <c r="E5" t="s">
        <v>9</v>
      </c>
      <c r="L5">
        <v>169</v>
      </c>
      <c r="N5">
        <v>60</v>
      </c>
      <c r="O5">
        <v>5</v>
      </c>
      <c r="P5">
        <v>195</v>
      </c>
      <c r="R5">
        <f>(P5-N5)/O5+1</f>
        <v>28</v>
      </c>
    </row>
    <row r="6" spans="3:21">
      <c r="N6">
        <v>200</v>
      </c>
      <c r="O6">
        <v>15</v>
      </c>
      <c r="P6">
        <v>755</v>
      </c>
      <c r="R6">
        <f>(P6-N6)/O6+1</f>
        <v>38</v>
      </c>
    </row>
    <row r="7" spans="3:21">
      <c r="N7">
        <v>770</v>
      </c>
      <c r="O7">
        <v>50</v>
      </c>
      <c r="P7">
        <v>4320</v>
      </c>
      <c r="R7">
        <f>(P7-N7)/O7+1</f>
        <v>72</v>
      </c>
    </row>
    <row r="11" spans="3:21">
      <c r="C11">
        <v>3</v>
      </c>
      <c r="D11" t="s">
        <v>17</v>
      </c>
      <c r="E11" t="s">
        <v>15</v>
      </c>
    </row>
    <row r="12" spans="3:21">
      <c r="C12">
        <v>4</v>
      </c>
      <c r="D12" t="s">
        <v>86</v>
      </c>
      <c r="E12" t="s">
        <v>15</v>
      </c>
      <c r="R12">
        <f>SUM(R13:R20)</f>
        <v>230</v>
      </c>
      <c r="T12">
        <f>R12/R3</f>
        <v>1.3690476190476191</v>
      </c>
      <c r="U12">
        <f>T12*2</f>
        <v>2.7380952380952381</v>
      </c>
    </row>
    <row r="13" spans="3:21">
      <c r="N13">
        <v>0</v>
      </c>
      <c r="O13">
        <v>2</v>
      </c>
      <c r="P13">
        <v>58</v>
      </c>
      <c r="R13">
        <f>(P13-N13)/O13+1</f>
        <v>30</v>
      </c>
    </row>
    <row r="14" spans="3:21">
      <c r="N14">
        <v>60</v>
      </c>
      <c r="O14">
        <v>5</v>
      </c>
      <c r="P14">
        <v>295</v>
      </c>
      <c r="R14">
        <f>(P14-N14)/O14+1</f>
        <v>48</v>
      </c>
    </row>
    <row r="15" spans="3:21">
      <c r="N15">
        <v>300</v>
      </c>
      <c r="O15">
        <v>10</v>
      </c>
      <c r="P15">
        <v>690</v>
      </c>
      <c r="R15">
        <f>(P15-N15)/O15+1</f>
        <v>40</v>
      </c>
    </row>
    <row r="16" spans="3:21">
      <c r="N16">
        <v>700</v>
      </c>
      <c r="O16">
        <v>20</v>
      </c>
      <c r="P16">
        <v>1500</v>
      </c>
      <c r="R16">
        <f>(P16-N16)/O16+1</f>
        <v>41</v>
      </c>
    </row>
    <row r="17" spans="14:18">
      <c r="N17">
        <v>1520</v>
      </c>
      <c r="O17">
        <v>40</v>
      </c>
      <c r="P17">
        <v>4320</v>
      </c>
      <c r="R17">
        <f>(P17-N17)/O17+1</f>
        <v>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FF3A-6301-420D-99D3-6160541FB62C}">
  <dimension ref="A1:K129"/>
  <sheetViews>
    <sheetView workbookViewId="0">
      <selection activeCell="L39" sqref="L39"/>
    </sheetView>
  </sheetViews>
  <sheetFormatPr baseColWidth="10" defaultColWidth="8.83203125" defaultRowHeight="17"/>
  <sheetData>
    <row r="1" spans="1:11">
      <c r="A1" t="s">
        <v>34</v>
      </c>
      <c r="F1" t="s">
        <v>10</v>
      </c>
      <c r="G1" t="s">
        <v>2</v>
      </c>
      <c r="H1" t="s">
        <v>3</v>
      </c>
      <c r="I1" s="4" t="s">
        <v>4</v>
      </c>
      <c r="J1" s="3" t="s">
        <v>1</v>
      </c>
    </row>
    <row r="2" spans="1:11">
      <c r="F2">
        <v>0</v>
      </c>
      <c r="G2">
        <v>100</v>
      </c>
      <c r="H2">
        <v>100</v>
      </c>
      <c r="I2">
        <v>0</v>
      </c>
      <c r="J2">
        <f>100-G2</f>
        <v>0</v>
      </c>
    </row>
    <row r="3" spans="1:11">
      <c r="F3" s="1">
        <v>2.8124999999999998E-4</v>
      </c>
      <c r="G3">
        <v>100</v>
      </c>
      <c r="H3">
        <v>99.997</v>
      </c>
      <c r="I3">
        <v>2.8124000000000001E-3</v>
      </c>
      <c r="J3">
        <f t="shared" ref="J3:J66" si="0">100-G3</f>
        <v>0</v>
      </c>
      <c r="K3" s="1"/>
    </row>
    <row r="4" spans="1:11">
      <c r="A4" s="1" t="s">
        <v>20</v>
      </c>
      <c r="B4" s="1" t="s">
        <v>22</v>
      </c>
      <c r="C4" s="1" t="s">
        <v>24</v>
      </c>
      <c r="F4" s="1">
        <v>4.9505999999999997E-4</v>
      </c>
      <c r="G4">
        <v>100</v>
      </c>
      <c r="H4">
        <v>99.995000000000005</v>
      </c>
      <c r="I4">
        <v>4.9503000000000004E-3</v>
      </c>
      <c r="J4">
        <f t="shared" si="0"/>
        <v>0</v>
      </c>
      <c r="K4" s="1"/>
    </row>
    <row r="5" spans="1:11">
      <c r="A5" s="1" t="s">
        <v>21</v>
      </c>
      <c r="B5" s="1" t="s">
        <v>23</v>
      </c>
      <c r="C5" s="1" t="s">
        <v>25</v>
      </c>
      <c r="F5" s="1">
        <v>9.2267E-4</v>
      </c>
      <c r="G5">
        <v>100</v>
      </c>
      <c r="H5">
        <v>99.99</v>
      </c>
      <c r="I5">
        <v>9.2257999999999993E-3</v>
      </c>
      <c r="J5">
        <f t="shared" si="0"/>
        <v>0</v>
      </c>
      <c r="K5" s="1"/>
    </row>
    <row r="6" spans="1:11">
      <c r="B6" s="1"/>
      <c r="F6">
        <v>1.7779E-3</v>
      </c>
      <c r="G6">
        <v>99.998999999999995</v>
      </c>
      <c r="H6">
        <v>99.980999999999995</v>
      </c>
      <c r="I6">
        <v>1.7776E-2</v>
      </c>
      <c r="J6">
        <f t="shared" si="0"/>
        <v>1.0000000000047748E-3</v>
      </c>
    </row>
    <row r="7" spans="1:11">
      <c r="B7" s="1"/>
      <c r="F7">
        <v>3.4883000000000002E-3</v>
      </c>
      <c r="G7">
        <v>99.998999999999995</v>
      </c>
      <c r="H7">
        <v>99.963999999999999</v>
      </c>
      <c r="I7">
        <v>3.4870999999999999E-2</v>
      </c>
      <c r="J7">
        <f t="shared" si="0"/>
        <v>1.0000000000047748E-3</v>
      </c>
    </row>
    <row r="8" spans="1:11">
      <c r="B8" s="1"/>
      <c r="F8">
        <v>6.9091999999999999E-3</v>
      </c>
      <c r="G8">
        <v>99.997</v>
      </c>
      <c r="H8">
        <v>99.927999999999997</v>
      </c>
      <c r="I8">
        <v>6.9044999999999995E-2</v>
      </c>
      <c r="J8">
        <f t="shared" si="0"/>
        <v>3.0000000000001137E-3</v>
      </c>
    </row>
    <row r="9" spans="1:11">
      <c r="F9">
        <v>1.3750999999999999E-2</v>
      </c>
      <c r="G9">
        <v>99.994</v>
      </c>
      <c r="H9">
        <v>99.856999999999999</v>
      </c>
      <c r="I9">
        <v>0.13732</v>
      </c>
      <c r="J9">
        <f t="shared" si="0"/>
        <v>6.0000000000002274E-3</v>
      </c>
    </row>
    <row r="10" spans="1:11">
      <c r="F10">
        <v>2.7435000000000001E-2</v>
      </c>
      <c r="G10">
        <v>99.989000000000004</v>
      </c>
      <c r="H10">
        <v>99.715000000000003</v>
      </c>
      <c r="I10">
        <v>0.27360000000000001</v>
      </c>
      <c r="J10">
        <f t="shared" si="0"/>
        <v>1.099999999999568E-2</v>
      </c>
    </row>
    <row r="11" spans="1:11">
      <c r="F11">
        <v>3.4276000000000001E-2</v>
      </c>
      <c r="G11">
        <v>99.986000000000004</v>
      </c>
      <c r="H11">
        <v>99.644000000000005</v>
      </c>
      <c r="I11">
        <v>0.34166000000000002</v>
      </c>
      <c r="J11">
        <f t="shared" si="0"/>
        <v>1.3999999999995794E-2</v>
      </c>
    </row>
    <row r="12" spans="1:11">
      <c r="F12">
        <v>4.7960000000000003E-2</v>
      </c>
      <c r="G12">
        <v>99.98</v>
      </c>
      <c r="H12">
        <v>99.503</v>
      </c>
      <c r="I12">
        <v>0.47752</v>
      </c>
      <c r="J12">
        <f t="shared" si="0"/>
        <v>1.9999999999996021E-2</v>
      </c>
    </row>
    <row r="13" spans="1:11">
      <c r="F13">
        <v>7.5327000000000005E-2</v>
      </c>
      <c r="G13">
        <v>99.968999999999994</v>
      </c>
      <c r="H13">
        <v>99.221000000000004</v>
      </c>
      <c r="I13">
        <v>0.74812000000000001</v>
      </c>
      <c r="J13">
        <f t="shared" si="0"/>
        <v>3.1000000000005912E-2</v>
      </c>
    </row>
    <row r="14" spans="1:11">
      <c r="F14">
        <v>0.10269</v>
      </c>
      <c r="G14">
        <v>99.956999999999994</v>
      </c>
      <c r="H14">
        <v>98.94</v>
      </c>
      <c r="I14">
        <v>1.0176000000000001</v>
      </c>
      <c r="J14">
        <f t="shared" si="0"/>
        <v>4.3000000000006366E-2</v>
      </c>
    </row>
    <row r="15" spans="1:11">
      <c r="F15">
        <v>0.13006000000000001</v>
      </c>
      <c r="G15">
        <v>99.945999999999998</v>
      </c>
      <c r="H15">
        <v>98.66</v>
      </c>
      <c r="I15">
        <v>1.286</v>
      </c>
      <c r="J15">
        <f t="shared" si="0"/>
        <v>5.4000000000002046E-2</v>
      </c>
    </row>
    <row r="16" spans="1:11">
      <c r="F16">
        <v>0.18479999999999999</v>
      </c>
      <c r="G16">
        <v>99.923000000000002</v>
      </c>
      <c r="H16">
        <v>98.102999999999994</v>
      </c>
      <c r="I16">
        <v>1.8202</v>
      </c>
      <c r="J16">
        <f t="shared" si="0"/>
        <v>7.6999999999998181E-2</v>
      </c>
    </row>
    <row r="17" spans="6:10">
      <c r="F17">
        <v>0.23952999999999999</v>
      </c>
      <c r="G17">
        <v>99.9</v>
      </c>
      <c r="H17">
        <v>97.55</v>
      </c>
      <c r="I17">
        <v>2.3502999999999998</v>
      </c>
      <c r="J17">
        <f t="shared" si="0"/>
        <v>9.9999999999994316E-2</v>
      </c>
    </row>
    <row r="18" spans="6:10">
      <c r="F18">
        <v>0.29426000000000002</v>
      </c>
      <c r="G18">
        <v>99.876999999999995</v>
      </c>
      <c r="H18">
        <v>97.001000000000005</v>
      </c>
      <c r="I18">
        <v>2.8761999999999999</v>
      </c>
      <c r="J18">
        <f t="shared" si="0"/>
        <v>0.12300000000000466</v>
      </c>
    </row>
    <row r="19" spans="6:10">
      <c r="F19">
        <v>0.40372999999999998</v>
      </c>
      <c r="G19">
        <v>99.831999999999994</v>
      </c>
      <c r="H19">
        <v>95.917000000000002</v>
      </c>
      <c r="I19">
        <v>3.915</v>
      </c>
      <c r="J19">
        <f t="shared" si="0"/>
        <v>0.16800000000000637</v>
      </c>
    </row>
    <row r="20" spans="6:10">
      <c r="F20">
        <v>0.55705000000000005</v>
      </c>
      <c r="G20">
        <v>99.768000000000001</v>
      </c>
      <c r="H20">
        <v>94.426000000000002</v>
      </c>
      <c r="I20">
        <v>5.3418000000000001</v>
      </c>
      <c r="J20">
        <f t="shared" si="0"/>
        <v>0.23199999999999932</v>
      </c>
    </row>
    <row r="21" spans="6:10">
      <c r="F21">
        <v>0.71036999999999995</v>
      </c>
      <c r="G21">
        <v>99.703999999999994</v>
      </c>
      <c r="H21">
        <v>92.968000000000004</v>
      </c>
      <c r="I21">
        <v>6.7359999999999998</v>
      </c>
      <c r="J21">
        <f t="shared" si="0"/>
        <v>0.29600000000000648</v>
      </c>
    </row>
    <row r="22" spans="6:10">
      <c r="F22">
        <v>0.86368</v>
      </c>
      <c r="G22">
        <v>99.641000000000005</v>
      </c>
      <c r="H22">
        <v>91.542000000000002</v>
      </c>
      <c r="I22">
        <v>8.0984999999999996</v>
      </c>
      <c r="J22">
        <f t="shared" si="0"/>
        <v>0.35899999999999466</v>
      </c>
    </row>
    <row r="23" spans="6:10">
      <c r="F23">
        <v>1.0169999999999999</v>
      </c>
      <c r="G23">
        <v>99.576999999999998</v>
      </c>
      <c r="H23">
        <v>90.147000000000006</v>
      </c>
      <c r="I23">
        <v>9.4298999999999999</v>
      </c>
      <c r="J23">
        <f t="shared" si="0"/>
        <v>0.42300000000000182</v>
      </c>
    </row>
    <row r="24" spans="6:10">
      <c r="F24">
        <v>1.3236000000000001</v>
      </c>
      <c r="G24">
        <v>99.45</v>
      </c>
      <c r="H24">
        <v>87.447999999999993</v>
      </c>
      <c r="I24">
        <v>12.002000000000001</v>
      </c>
      <c r="J24">
        <f t="shared" si="0"/>
        <v>0.54999999999999716</v>
      </c>
    </row>
    <row r="25" spans="6:10">
      <c r="F25">
        <v>1.4003000000000001</v>
      </c>
      <c r="G25">
        <v>99.418000000000006</v>
      </c>
      <c r="H25">
        <v>86.792000000000002</v>
      </c>
      <c r="I25">
        <v>12.625999999999999</v>
      </c>
      <c r="J25">
        <f t="shared" si="0"/>
        <v>0.58199999999999363</v>
      </c>
    </row>
    <row r="26" spans="6:10">
      <c r="F26">
        <v>1.5536000000000001</v>
      </c>
      <c r="G26">
        <v>99.355000000000004</v>
      </c>
      <c r="H26">
        <v>85.501000000000005</v>
      </c>
      <c r="I26">
        <v>13.853999999999999</v>
      </c>
      <c r="J26">
        <f t="shared" si="0"/>
        <v>0.64499999999999602</v>
      </c>
    </row>
    <row r="27" spans="6:10">
      <c r="F27">
        <v>1.8602000000000001</v>
      </c>
      <c r="G27">
        <v>99.227999999999994</v>
      </c>
      <c r="H27">
        <v>83.001999999999995</v>
      </c>
      <c r="I27">
        <v>16.225999999999999</v>
      </c>
      <c r="J27">
        <f t="shared" si="0"/>
        <v>0.77200000000000557</v>
      </c>
    </row>
    <row r="28" spans="6:10">
      <c r="F28">
        <v>1.9276</v>
      </c>
      <c r="G28">
        <v>99.2</v>
      </c>
      <c r="H28">
        <v>82.468000000000004</v>
      </c>
      <c r="I28">
        <v>16.731999999999999</v>
      </c>
      <c r="J28">
        <f t="shared" si="0"/>
        <v>0.79999999999999716</v>
      </c>
    </row>
    <row r="29" spans="6:10">
      <c r="F29">
        <v>2.0623</v>
      </c>
      <c r="G29">
        <v>99.144000000000005</v>
      </c>
      <c r="H29">
        <v>81.415000000000006</v>
      </c>
      <c r="I29">
        <v>17.728999999999999</v>
      </c>
      <c r="J29">
        <f t="shared" si="0"/>
        <v>0.85599999999999454</v>
      </c>
    </row>
    <row r="30" spans="6:10">
      <c r="F30">
        <v>2.3315999999999999</v>
      </c>
      <c r="G30">
        <v>99.033000000000001</v>
      </c>
      <c r="H30">
        <v>79.37</v>
      </c>
      <c r="I30">
        <v>19.663</v>
      </c>
      <c r="J30">
        <f t="shared" si="0"/>
        <v>0.96699999999999875</v>
      </c>
    </row>
    <row r="31" spans="6:10">
      <c r="F31">
        <v>2.601</v>
      </c>
      <c r="G31">
        <v>98.921999999999997</v>
      </c>
      <c r="H31">
        <v>77.402000000000001</v>
      </c>
      <c r="I31">
        <v>21.52</v>
      </c>
      <c r="J31">
        <f t="shared" si="0"/>
        <v>1.078000000000003</v>
      </c>
    </row>
    <row r="32" spans="6:10">
      <c r="F32">
        <v>2.8702999999999999</v>
      </c>
      <c r="G32">
        <v>98.811000000000007</v>
      </c>
      <c r="H32">
        <v>75.509</v>
      </c>
      <c r="I32">
        <v>23.302</v>
      </c>
      <c r="J32">
        <f t="shared" si="0"/>
        <v>1.188999999999993</v>
      </c>
    </row>
    <row r="33" spans="6:10">
      <c r="F33">
        <v>3.1396000000000002</v>
      </c>
      <c r="G33">
        <v>98.7</v>
      </c>
      <c r="H33">
        <v>73.686999999999998</v>
      </c>
      <c r="I33">
        <v>25.013000000000002</v>
      </c>
      <c r="J33">
        <f t="shared" si="0"/>
        <v>1.2999999999999972</v>
      </c>
    </row>
    <row r="34" spans="6:10">
      <c r="F34">
        <v>3.2069999999999999</v>
      </c>
      <c r="G34">
        <v>98.673000000000002</v>
      </c>
      <c r="H34">
        <v>73.242999999999995</v>
      </c>
      <c r="I34">
        <v>25.43</v>
      </c>
      <c r="J34">
        <f t="shared" si="0"/>
        <v>1.3269999999999982</v>
      </c>
    </row>
    <row r="35" spans="6:10">
      <c r="F35">
        <v>3.3416999999999999</v>
      </c>
      <c r="G35">
        <v>98.617000000000004</v>
      </c>
      <c r="H35">
        <v>72.366</v>
      </c>
      <c r="I35">
        <v>26.251000000000001</v>
      </c>
      <c r="J35">
        <f t="shared" si="0"/>
        <v>1.3829999999999956</v>
      </c>
    </row>
    <row r="36" spans="6:10">
      <c r="F36">
        <v>3.6110000000000002</v>
      </c>
      <c r="G36">
        <v>98.507000000000005</v>
      </c>
      <c r="H36">
        <v>70.664000000000001</v>
      </c>
      <c r="I36">
        <v>27.843</v>
      </c>
      <c r="J36">
        <f t="shared" si="0"/>
        <v>1.492999999999995</v>
      </c>
    </row>
    <row r="37" spans="6:10">
      <c r="F37">
        <v>4.1497000000000002</v>
      </c>
      <c r="G37">
        <v>98.286000000000001</v>
      </c>
      <c r="H37">
        <v>67.448999999999998</v>
      </c>
      <c r="I37">
        <v>30.837</v>
      </c>
      <c r="J37">
        <f t="shared" si="0"/>
        <v>1.7139999999999986</v>
      </c>
    </row>
    <row r="38" spans="6:10">
      <c r="F38">
        <v>4.1565000000000003</v>
      </c>
      <c r="G38">
        <v>98.283000000000001</v>
      </c>
      <c r="H38">
        <v>67.41</v>
      </c>
      <c r="I38">
        <v>30.873000000000001</v>
      </c>
      <c r="J38">
        <f t="shared" si="0"/>
        <v>1.7169999999999987</v>
      </c>
    </row>
    <row r="39" spans="6:10">
      <c r="F39">
        <v>4.1700999999999997</v>
      </c>
      <c r="G39">
        <v>98.277000000000001</v>
      </c>
      <c r="H39">
        <v>67.331999999999994</v>
      </c>
      <c r="I39">
        <v>30.946000000000002</v>
      </c>
      <c r="J39">
        <f t="shared" si="0"/>
        <v>1.722999999999999</v>
      </c>
    </row>
    <row r="40" spans="6:10">
      <c r="F40">
        <v>4.1974</v>
      </c>
      <c r="G40">
        <v>98.266000000000005</v>
      </c>
      <c r="H40">
        <v>67.176000000000002</v>
      </c>
      <c r="I40">
        <v>31.09</v>
      </c>
      <c r="J40">
        <f t="shared" si="0"/>
        <v>1.7339999999999947</v>
      </c>
    </row>
    <row r="41" spans="6:10">
      <c r="F41">
        <v>4.2110000000000003</v>
      </c>
      <c r="G41">
        <v>98.260999999999996</v>
      </c>
      <c r="H41">
        <v>67.097999999999999</v>
      </c>
      <c r="I41">
        <v>31.163</v>
      </c>
      <c r="J41">
        <f t="shared" si="0"/>
        <v>1.7390000000000043</v>
      </c>
    </row>
    <row r="42" spans="6:10">
      <c r="F42">
        <v>4.2382999999999997</v>
      </c>
      <c r="G42">
        <v>98.25</v>
      </c>
      <c r="H42">
        <v>66.942999999999998</v>
      </c>
      <c r="I42">
        <v>31.306000000000001</v>
      </c>
      <c r="J42">
        <f t="shared" si="0"/>
        <v>1.75</v>
      </c>
    </row>
    <row r="43" spans="6:10">
      <c r="F43">
        <v>4.2416999999999998</v>
      </c>
      <c r="G43">
        <v>98.248000000000005</v>
      </c>
      <c r="H43">
        <v>66.924000000000007</v>
      </c>
      <c r="I43">
        <v>31.324000000000002</v>
      </c>
      <c r="J43">
        <f t="shared" si="0"/>
        <v>1.7519999999999953</v>
      </c>
    </row>
    <row r="44" spans="6:10">
      <c r="F44">
        <v>4.2484999999999999</v>
      </c>
      <c r="G44">
        <v>98.245000000000005</v>
      </c>
      <c r="H44">
        <v>66.885000000000005</v>
      </c>
      <c r="I44">
        <v>31.36</v>
      </c>
      <c r="J44">
        <f t="shared" si="0"/>
        <v>1.7549999999999955</v>
      </c>
    </row>
    <row r="45" spans="6:10">
      <c r="F45">
        <v>4.2519</v>
      </c>
      <c r="G45">
        <v>98.244</v>
      </c>
      <c r="H45">
        <v>66.866</v>
      </c>
      <c r="I45">
        <v>31.378</v>
      </c>
      <c r="J45">
        <f t="shared" si="0"/>
        <v>1.7560000000000002</v>
      </c>
    </row>
    <row r="46" spans="6:10">
      <c r="F46">
        <v>4.2537000000000003</v>
      </c>
      <c r="G46">
        <v>98.242999999999995</v>
      </c>
      <c r="H46">
        <v>66.855999999999995</v>
      </c>
      <c r="I46">
        <v>31.387</v>
      </c>
      <c r="J46">
        <f t="shared" si="0"/>
        <v>1.757000000000005</v>
      </c>
    </row>
    <row r="47" spans="6:10">
      <c r="F47">
        <v>4.2571000000000003</v>
      </c>
      <c r="G47">
        <v>98.242000000000004</v>
      </c>
      <c r="H47">
        <v>66.837000000000003</v>
      </c>
      <c r="I47">
        <v>31.405000000000001</v>
      </c>
      <c r="J47">
        <f t="shared" si="0"/>
        <v>1.7579999999999956</v>
      </c>
    </row>
    <row r="48" spans="6:10">
      <c r="F48">
        <v>4.2638999999999996</v>
      </c>
      <c r="G48">
        <v>98.239000000000004</v>
      </c>
      <c r="H48">
        <v>66.799000000000007</v>
      </c>
      <c r="I48">
        <v>31.44</v>
      </c>
      <c r="J48">
        <f t="shared" si="0"/>
        <v>1.7609999999999957</v>
      </c>
    </row>
    <row r="49" spans="6:10">
      <c r="F49">
        <v>4.2774999999999999</v>
      </c>
      <c r="G49">
        <v>98.233000000000004</v>
      </c>
      <c r="H49">
        <v>66.721999999999994</v>
      </c>
      <c r="I49">
        <v>31.512</v>
      </c>
      <c r="J49">
        <f t="shared" si="0"/>
        <v>1.7669999999999959</v>
      </c>
    </row>
    <row r="50" spans="6:10">
      <c r="F50">
        <v>4.2843</v>
      </c>
      <c r="G50">
        <v>98.230999999999995</v>
      </c>
      <c r="H50">
        <v>66.683000000000007</v>
      </c>
      <c r="I50">
        <v>31.547000000000001</v>
      </c>
      <c r="J50">
        <f t="shared" si="0"/>
        <v>1.7690000000000055</v>
      </c>
    </row>
    <row r="51" spans="6:10">
      <c r="F51">
        <v>4.298</v>
      </c>
      <c r="G51">
        <v>98.224999999999994</v>
      </c>
      <c r="H51">
        <v>66.606999999999999</v>
      </c>
      <c r="I51">
        <v>31.619</v>
      </c>
      <c r="J51">
        <f t="shared" si="0"/>
        <v>1.7750000000000057</v>
      </c>
    </row>
    <row r="52" spans="6:10">
      <c r="F52">
        <v>4.3251999999999997</v>
      </c>
      <c r="G52">
        <v>98.213999999999999</v>
      </c>
      <c r="H52">
        <v>66.453999999999994</v>
      </c>
      <c r="I52">
        <v>31.76</v>
      </c>
      <c r="J52">
        <f t="shared" si="0"/>
        <v>1.7860000000000014</v>
      </c>
    </row>
    <row r="53" spans="6:10">
      <c r="F53">
        <v>4.3798000000000004</v>
      </c>
      <c r="G53">
        <v>98.191999999999993</v>
      </c>
      <c r="H53">
        <v>66.149000000000001</v>
      </c>
      <c r="I53">
        <v>32.042000000000002</v>
      </c>
      <c r="J53">
        <f t="shared" si="0"/>
        <v>1.8080000000000069</v>
      </c>
    </row>
    <row r="54" spans="6:10">
      <c r="F54">
        <v>4.407</v>
      </c>
      <c r="G54">
        <v>98.18</v>
      </c>
      <c r="H54">
        <v>65.998000000000005</v>
      </c>
      <c r="I54">
        <v>32.182000000000002</v>
      </c>
      <c r="J54">
        <f t="shared" si="0"/>
        <v>1.8199999999999932</v>
      </c>
    </row>
    <row r="55" spans="6:10">
      <c r="F55">
        <v>4.4615999999999998</v>
      </c>
      <c r="G55">
        <v>98.158000000000001</v>
      </c>
      <c r="H55">
        <v>65.697999999999993</v>
      </c>
      <c r="I55">
        <v>32.460999999999999</v>
      </c>
      <c r="J55">
        <f t="shared" si="0"/>
        <v>1.8419999999999987</v>
      </c>
    </row>
    <row r="56" spans="6:10">
      <c r="F56">
        <v>4.5705999999999998</v>
      </c>
      <c r="G56">
        <v>98.114000000000004</v>
      </c>
      <c r="H56">
        <v>65.102999999999994</v>
      </c>
      <c r="I56">
        <v>33.01</v>
      </c>
      <c r="J56">
        <f t="shared" si="0"/>
        <v>1.8859999999999957</v>
      </c>
    </row>
    <row r="57" spans="6:10">
      <c r="F57">
        <v>4.7888000000000002</v>
      </c>
      <c r="G57">
        <v>98.024000000000001</v>
      </c>
      <c r="H57">
        <v>63.942</v>
      </c>
      <c r="I57">
        <v>34.082000000000001</v>
      </c>
      <c r="J57">
        <f t="shared" si="0"/>
        <v>1.9759999999999991</v>
      </c>
    </row>
    <row r="58" spans="6:10">
      <c r="F58">
        <v>5.2251000000000003</v>
      </c>
      <c r="G58">
        <v>97.846000000000004</v>
      </c>
      <c r="H58">
        <v>61.725999999999999</v>
      </c>
      <c r="I58">
        <v>36.121000000000002</v>
      </c>
      <c r="J58">
        <f t="shared" si="0"/>
        <v>2.1539999999999964</v>
      </c>
    </row>
    <row r="59" spans="6:10">
      <c r="F59">
        <v>5.6612999999999998</v>
      </c>
      <c r="G59">
        <v>97.668999999999997</v>
      </c>
      <c r="H59">
        <v>59.642000000000003</v>
      </c>
      <c r="I59">
        <v>38.026000000000003</v>
      </c>
      <c r="J59">
        <f t="shared" si="0"/>
        <v>2.3310000000000031</v>
      </c>
    </row>
    <row r="60" spans="6:10">
      <c r="F60">
        <v>5.7704000000000004</v>
      </c>
      <c r="G60">
        <v>97.623999999999995</v>
      </c>
      <c r="H60">
        <v>59.142000000000003</v>
      </c>
      <c r="I60">
        <v>38.482999999999997</v>
      </c>
      <c r="J60">
        <f t="shared" si="0"/>
        <v>2.3760000000000048</v>
      </c>
    </row>
    <row r="61" spans="6:10">
      <c r="F61">
        <v>5.9885000000000002</v>
      </c>
      <c r="G61">
        <v>97.536000000000001</v>
      </c>
      <c r="H61">
        <v>58.162999999999997</v>
      </c>
      <c r="I61">
        <v>39.372999999999998</v>
      </c>
      <c r="J61">
        <f t="shared" si="0"/>
        <v>2.4639999999999986</v>
      </c>
    </row>
    <row r="62" spans="6:10">
      <c r="F62">
        <v>6.2066999999999997</v>
      </c>
      <c r="G62">
        <v>97.447000000000003</v>
      </c>
      <c r="H62">
        <v>57.213999999999999</v>
      </c>
      <c r="I62">
        <v>40.232999999999997</v>
      </c>
      <c r="J62">
        <f t="shared" si="0"/>
        <v>2.5529999999999973</v>
      </c>
    </row>
    <row r="63" spans="6:10">
      <c r="F63">
        <v>6.234</v>
      </c>
      <c r="G63">
        <v>97.436000000000007</v>
      </c>
      <c r="H63">
        <v>57.097000000000001</v>
      </c>
      <c r="I63">
        <v>40.338999999999999</v>
      </c>
      <c r="J63">
        <f t="shared" si="0"/>
        <v>2.563999999999993</v>
      </c>
    </row>
    <row r="64" spans="6:10">
      <c r="F64">
        <v>6.2885</v>
      </c>
      <c r="G64">
        <v>97.414000000000001</v>
      </c>
      <c r="H64">
        <v>56.865000000000002</v>
      </c>
      <c r="I64">
        <v>40.548000000000002</v>
      </c>
      <c r="J64">
        <f t="shared" si="0"/>
        <v>2.5859999999999985</v>
      </c>
    </row>
    <row r="65" spans="6:10">
      <c r="F65">
        <v>6.3975999999999997</v>
      </c>
      <c r="G65">
        <v>97.37</v>
      </c>
      <c r="H65">
        <v>56.406999999999996</v>
      </c>
      <c r="I65">
        <v>40.962000000000003</v>
      </c>
      <c r="J65">
        <f t="shared" si="0"/>
        <v>2.6299999999999955</v>
      </c>
    </row>
    <row r="66" spans="6:10">
      <c r="F66">
        <v>6.4520999999999997</v>
      </c>
      <c r="G66">
        <v>97.346999999999994</v>
      </c>
      <c r="H66">
        <v>56.180999999999997</v>
      </c>
      <c r="I66">
        <v>41.167000000000002</v>
      </c>
      <c r="J66">
        <f t="shared" si="0"/>
        <v>2.6530000000000058</v>
      </c>
    </row>
    <row r="67" spans="6:10">
      <c r="F67">
        <v>6.5612000000000004</v>
      </c>
      <c r="G67">
        <v>97.302999999999997</v>
      </c>
      <c r="H67">
        <v>55.732999999999997</v>
      </c>
      <c r="I67">
        <v>41.57</v>
      </c>
      <c r="J67">
        <f t="shared" ref="J67:J129" si="1">100-G67</f>
        <v>2.6970000000000027</v>
      </c>
    </row>
    <row r="68" spans="6:10">
      <c r="F68">
        <v>6.5747999999999998</v>
      </c>
      <c r="G68">
        <v>97.298000000000002</v>
      </c>
      <c r="H68">
        <v>55.677</v>
      </c>
      <c r="I68">
        <v>41.62</v>
      </c>
      <c r="J68">
        <f t="shared" si="1"/>
        <v>2.7019999999999982</v>
      </c>
    </row>
    <row r="69" spans="6:10">
      <c r="F69">
        <v>6.5765000000000002</v>
      </c>
      <c r="G69">
        <v>97.296999999999997</v>
      </c>
      <c r="H69">
        <v>55.670999999999999</v>
      </c>
      <c r="I69">
        <v>41.625999999999998</v>
      </c>
      <c r="J69">
        <f t="shared" si="1"/>
        <v>2.703000000000003</v>
      </c>
    </row>
    <row r="70" spans="6:10">
      <c r="F70">
        <v>6.5773999999999999</v>
      </c>
      <c r="G70">
        <v>97.296999999999997</v>
      </c>
      <c r="H70">
        <v>55.667000000000002</v>
      </c>
      <c r="I70">
        <v>41.63</v>
      </c>
      <c r="J70">
        <f t="shared" si="1"/>
        <v>2.703000000000003</v>
      </c>
    </row>
    <row r="71" spans="6:10">
      <c r="F71">
        <v>6.5791000000000004</v>
      </c>
      <c r="G71">
        <v>97.296000000000006</v>
      </c>
      <c r="H71">
        <v>55.66</v>
      </c>
      <c r="I71">
        <v>41.636000000000003</v>
      </c>
      <c r="J71">
        <f t="shared" si="1"/>
        <v>2.7039999999999935</v>
      </c>
    </row>
    <row r="72" spans="6:10">
      <c r="F72">
        <v>6.5791000000000004</v>
      </c>
      <c r="G72">
        <v>97.296000000000006</v>
      </c>
      <c r="H72">
        <v>55.66</v>
      </c>
      <c r="I72">
        <v>41.636000000000003</v>
      </c>
      <c r="J72">
        <f t="shared" si="1"/>
        <v>2.7039999999999935</v>
      </c>
    </row>
    <row r="73" spans="6:10">
      <c r="F73">
        <v>6.5792000000000002</v>
      </c>
      <c r="G73">
        <v>97.296000000000006</v>
      </c>
      <c r="H73">
        <v>55.658999999999999</v>
      </c>
      <c r="I73">
        <v>41.636000000000003</v>
      </c>
      <c r="J73">
        <f t="shared" si="1"/>
        <v>2.7039999999999935</v>
      </c>
    </row>
    <row r="74" spans="6:10">
      <c r="F74">
        <v>6.5793999999999997</v>
      </c>
      <c r="G74">
        <v>97.296000000000006</v>
      </c>
      <c r="H74">
        <v>55.658999999999999</v>
      </c>
      <c r="I74">
        <v>41.637</v>
      </c>
      <c r="J74">
        <f t="shared" si="1"/>
        <v>2.7039999999999935</v>
      </c>
    </row>
    <row r="75" spans="6:10">
      <c r="F75">
        <v>6.5799000000000003</v>
      </c>
      <c r="G75">
        <v>97.296000000000006</v>
      </c>
      <c r="H75">
        <v>55.656999999999996</v>
      </c>
      <c r="I75">
        <v>41.639000000000003</v>
      </c>
      <c r="J75">
        <f t="shared" si="1"/>
        <v>2.7039999999999935</v>
      </c>
    </row>
    <row r="76" spans="6:10">
      <c r="F76">
        <v>6.5807000000000002</v>
      </c>
      <c r="G76">
        <v>97.295000000000002</v>
      </c>
      <c r="H76">
        <v>55.652999999999999</v>
      </c>
      <c r="I76">
        <v>41.642000000000003</v>
      </c>
      <c r="J76">
        <f t="shared" si="1"/>
        <v>2.7049999999999983</v>
      </c>
    </row>
    <row r="77" spans="6:10">
      <c r="F77">
        <v>6.5823999999999998</v>
      </c>
      <c r="G77">
        <v>97.295000000000002</v>
      </c>
      <c r="H77">
        <v>55.646000000000001</v>
      </c>
      <c r="I77">
        <v>41.648000000000003</v>
      </c>
      <c r="J77">
        <f t="shared" si="1"/>
        <v>2.7049999999999983</v>
      </c>
    </row>
    <row r="78" spans="6:10">
      <c r="F78">
        <v>6.5857999999999999</v>
      </c>
      <c r="G78">
        <v>97.293000000000006</v>
      </c>
      <c r="H78">
        <v>55.633000000000003</v>
      </c>
      <c r="I78">
        <v>41.661000000000001</v>
      </c>
      <c r="J78">
        <f t="shared" si="1"/>
        <v>2.7069999999999936</v>
      </c>
    </row>
    <row r="79" spans="6:10">
      <c r="F79">
        <v>6.5875000000000004</v>
      </c>
      <c r="G79">
        <v>97.293000000000006</v>
      </c>
      <c r="H79">
        <v>55.625999999999998</v>
      </c>
      <c r="I79">
        <v>41.667000000000002</v>
      </c>
      <c r="J79">
        <f t="shared" si="1"/>
        <v>2.7069999999999936</v>
      </c>
    </row>
    <row r="80" spans="6:10">
      <c r="F80">
        <v>6.5909000000000004</v>
      </c>
      <c r="G80">
        <v>97.290999999999997</v>
      </c>
      <c r="H80">
        <v>55.612000000000002</v>
      </c>
      <c r="I80">
        <v>41.679000000000002</v>
      </c>
      <c r="J80">
        <f t="shared" si="1"/>
        <v>2.7090000000000032</v>
      </c>
    </row>
    <row r="81" spans="6:10">
      <c r="F81">
        <v>6.5978000000000003</v>
      </c>
      <c r="G81">
        <v>97.287999999999997</v>
      </c>
      <c r="H81">
        <v>55.584000000000003</v>
      </c>
      <c r="I81">
        <v>41.704000000000001</v>
      </c>
      <c r="J81">
        <f t="shared" si="1"/>
        <v>2.7120000000000033</v>
      </c>
    </row>
    <row r="82" spans="6:10">
      <c r="F82">
        <v>6.6113999999999997</v>
      </c>
      <c r="G82">
        <v>97.283000000000001</v>
      </c>
      <c r="H82">
        <v>55.529000000000003</v>
      </c>
      <c r="I82">
        <v>41.753999999999998</v>
      </c>
      <c r="J82">
        <f t="shared" si="1"/>
        <v>2.7169999999999987</v>
      </c>
    </row>
    <row r="83" spans="6:10">
      <c r="F83">
        <v>6.6387</v>
      </c>
      <c r="G83">
        <v>97.272000000000006</v>
      </c>
      <c r="H83">
        <v>55.418999999999997</v>
      </c>
      <c r="I83">
        <v>41.853000000000002</v>
      </c>
      <c r="J83">
        <f t="shared" si="1"/>
        <v>2.7279999999999944</v>
      </c>
    </row>
    <row r="84" spans="6:10">
      <c r="F84">
        <v>6.6932</v>
      </c>
      <c r="G84">
        <v>97.25</v>
      </c>
      <c r="H84">
        <v>55.2</v>
      </c>
      <c r="I84">
        <v>42.05</v>
      </c>
      <c r="J84">
        <f t="shared" si="1"/>
        <v>2.75</v>
      </c>
    </row>
    <row r="85" spans="6:10">
      <c r="F85">
        <v>6.8022999999999998</v>
      </c>
      <c r="G85">
        <v>97.206000000000003</v>
      </c>
      <c r="H85">
        <v>54.767000000000003</v>
      </c>
      <c r="I85">
        <v>42.438000000000002</v>
      </c>
      <c r="J85">
        <f t="shared" si="1"/>
        <v>2.7939999999999969</v>
      </c>
    </row>
    <row r="86" spans="6:10">
      <c r="F86">
        <v>7.0204000000000004</v>
      </c>
      <c r="G86">
        <v>97.117000000000004</v>
      </c>
      <c r="H86">
        <v>53.921999999999997</v>
      </c>
      <c r="I86">
        <v>43.195</v>
      </c>
      <c r="J86">
        <f t="shared" si="1"/>
        <v>2.8829999999999956</v>
      </c>
    </row>
    <row r="87" spans="6:10">
      <c r="F87">
        <v>7.4566999999999997</v>
      </c>
      <c r="G87">
        <v>96.941000000000003</v>
      </c>
      <c r="H87">
        <v>52.307000000000002</v>
      </c>
      <c r="I87">
        <v>44.634</v>
      </c>
      <c r="J87">
        <f t="shared" si="1"/>
        <v>3.0589999999999975</v>
      </c>
    </row>
    <row r="88" spans="6:10">
      <c r="F88">
        <v>7.8929999999999998</v>
      </c>
      <c r="G88">
        <v>96.765000000000001</v>
      </c>
      <c r="H88">
        <v>50.787999999999997</v>
      </c>
      <c r="I88">
        <v>45.975999999999999</v>
      </c>
      <c r="J88">
        <f t="shared" si="1"/>
        <v>3.2349999999999994</v>
      </c>
    </row>
    <row r="89" spans="6:10">
      <c r="F89">
        <v>8.3292000000000002</v>
      </c>
      <c r="G89">
        <v>96.588999999999999</v>
      </c>
      <c r="H89">
        <v>49.36</v>
      </c>
      <c r="I89">
        <v>47.228999999999999</v>
      </c>
      <c r="J89">
        <f t="shared" si="1"/>
        <v>3.4110000000000014</v>
      </c>
    </row>
    <row r="90" spans="6:10">
      <c r="F90">
        <v>8.7654999999999994</v>
      </c>
      <c r="G90">
        <v>96.414000000000001</v>
      </c>
      <c r="H90">
        <v>48.017000000000003</v>
      </c>
      <c r="I90">
        <v>48.396000000000001</v>
      </c>
      <c r="J90">
        <f t="shared" si="1"/>
        <v>3.5859999999999985</v>
      </c>
    </row>
    <row r="91" spans="6:10">
      <c r="F91">
        <v>9.2018000000000004</v>
      </c>
      <c r="G91">
        <v>96.238</v>
      </c>
      <c r="H91">
        <v>46.753999999999998</v>
      </c>
      <c r="I91">
        <v>49.484000000000002</v>
      </c>
      <c r="J91">
        <f t="shared" si="1"/>
        <v>3.7620000000000005</v>
      </c>
    </row>
    <row r="92" spans="6:10">
      <c r="F92">
        <v>10.074</v>
      </c>
      <c r="G92">
        <v>95.888999999999996</v>
      </c>
      <c r="H92">
        <v>44.447000000000003</v>
      </c>
      <c r="I92">
        <v>51.442</v>
      </c>
      <c r="J92">
        <f t="shared" si="1"/>
        <v>4.1110000000000042</v>
      </c>
    </row>
    <row r="93" spans="6:10">
      <c r="F93">
        <v>10.86</v>
      </c>
      <c r="G93">
        <v>95.575999999999993</v>
      </c>
      <c r="H93">
        <v>42.597000000000001</v>
      </c>
      <c r="I93">
        <v>52.978999999999999</v>
      </c>
      <c r="J93">
        <f t="shared" si="1"/>
        <v>4.4240000000000066</v>
      </c>
    </row>
    <row r="94" spans="6:10">
      <c r="F94">
        <v>11.645</v>
      </c>
      <c r="G94">
        <v>95.263999999999996</v>
      </c>
      <c r="H94">
        <v>40.938000000000002</v>
      </c>
      <c r="I94">
        <v>54.326000000000001</v>
      </c>
      <c r="J94">
        <f t="shared" si="1"/>
        <v>4.7360000000000042</v>
      </c>
    </row>
    <row r="95" spans="6:10">
      <c r="F95">
        <v>12.43</v>
      </c>
      <c r="G95">
        <v>94.953000000000003</v>
      </c>
      <c r="H95">
        <v>39.448</v>
      </c>
      <c r="I95">
        <v>55.505000000000003</v>
      </c>
      <c r="J95">
        <f t="shared" si="1"/>
        <v>5.046999999999997</v>
      </c>
    </row>
    <row r="96" spans="6:10">
      <c r="F96">
        <v>13.215999999999999</v>
      </c>
      <c r="G96">
        <v>94.641999999999996</v>
      </c>
      <c r="H96">
        <v>38.11</v>
      </c>
      <c r="I96">
        <v>56.531999999999996</v>
      </c>
      <c r="J96">
        <f t="shared" si="1"/>
        <v>5.3580000000000041</v>
      </c>
    </row>
    <row r="97" spans="6:10">
      <c r="F97">
        <v>14.000999999999999</v>
      </c>
      <c r="G97">
        <v>94.332999999999998</v>
      </c>
      <c r="H97">
        <v>36.906999999999996</v>
      </c>
      <c r="I97">
        <v>57.426000000000002</v>
      </c>
      <c r="J97">
        <f t="shared" si="1"/>
        <v>5.6670000000000016</v>
      </c>
    </row>
    <row r="98" spans="6:10">
      <c r="F98">
        <v>14.786</v>
      </c>
      <c r="G98">
        <v>94.025000000000006</v>
      </c>
      <c r="H98">
        <v>35.825000000000003</v>
      </c>
      <c r="I98">
        <v>58.2</v>
      </c>
      <c r="J98">
        <f t="shared" si="1"/>
        <v>5.9749999999999943</v>
      </c>
    </row>
    <row r="99" spans="6:10">
      <c r="F99">
        <v>16.356999999999999</v>
      </c>
      <c r="G99">
        <v>93.412000000000006</v>
      </c>
      <c r="H99">
        <v>33.972000000000001</v>
      </c>
      <c r="I99">
        <v>59.44</v>
      </c>
      <c r="J99">
        <f t="shared" si="1"/>
        <v>6.5879999999999939</v>
      </c>
    </row>
    <row r="100" spans="6:10">
      <c r="F100">
        <v>17.927</v>
      </c>
      <c r="G100">
        <v>92.802000000000007</v>
      </c>
      <c r="H100">
        <v>32.463000000000001</v>
      </c>
      <c r="I100">
        <v>60.34</v>
      </c>
      <c r="J100">
        <f t="shared" si="1"/>
        <v>7.1979999999999933</v>
      </c>
    </row>
    <row r="101" spans="6:10">
      <c r="F101">
        <v>19.498000000000001</v>
      </c>
      <c r="G101">
        <v>92.197000000000003</v>
      </c>
      <c r="H101">
        <v>31.227</v>
      </c>
      <c r="I101">
        <v>60.97</v>
      </c>
      <c r="J101">
        <f t="shared" si="1"/>
        <v>7.8029999999999973</v>
      </c>
    </row>
    <row r="102" spans="6:10">
      <c r="F102">
        <v>20.911999999999999</v>
      </c>
      <c r="G102">
        <v>91.656000000000006</v>
      </c>
      <c r="H102">
        <v>30.302</v>
      </c>
      <c r="I102">
        <v>61.353000000000002</v>
      </c>
      <c r="J102">
        <f t="shared" si="1"/>
        <v>8.3439999999999941</v>
      </c>
    </row>
    <row r="103" spans="6:10">
      <c r="F103">
        <v>22.324999999999999</v>
      </c>
      <c r="G103">
        <v>91.117000000000004</v>
      </c>
      <c r="H103">
        <v>29.521000000000001</v>
      </c>
      <c r="I103">
        <v>61.595999999999997</v>
      </c>
      <c r="J103">
        <f t="shared" si="1"/>
        <v>8.8829999999999956</v>
      </c>
    </row>
    <row r="104" spans="6:10">
      <c r="F104">
        <v>23.739000000000001</v>
      </c>
      <c r="G104">
        <v>90.581999999999994</v>
      </c>
      <c r="H104">
        <v>28.856999999999999</v>
      </c>
      <c r="I104">
        <v>61.725999999999999</v>
      </c>
      <c r="J104">
        <f t="shared" si="1"/>
        <v>9.4180000000000064</v>
      </c>
    </row>
    <row r="105" spans="6:10">
      <c r="F105">
        <v>25.152000000000001</v>
      </c>
      <c r="G105">
        <v>90.05</v>
      </c>
      <c r="H105">
        <v>28.288</v>
      </c>
      <c r="I105">
        <v>61.762999999999998</v>
      </c>
      <c r="J105">
        <f t="shared" si="1"/>
        <v>9.9500000000000028</v>
      </c>
    </row>
    <row r="106" spans="6:10">
      <c r="F106">
        <v>26.565999999999999</v>
      </c>
      <c r="G106">
        <v>89.522000000000006</v>
      </c>
      <c r="H106">
        <v>27.795999999999999</v>
      </c>
      <c r="I106">
        <v>61.725000000000001</v>
      </c>
      <c r="J106">
        <f t="shared" si="1"/>
        <v>10.477999999999994</v>
      </c>
    </row>
    <row r="107" spans="6:10">
      <c r="F107">
        <v>27.978999999999999</v>
      </c>
      <c r="G107">
        <v>88.995999999999995</v>
      </c>
      <c r="H107">
        <v>27.369</v>
      </c>
      <c r="I107">
        <v>61.627000000000002</v>
      </c>
      <c r="J107">
        <f t="shared" si="1"/>
        <v>11.004000000000005</v>
      </c>
    </row>
    <row r="108" spans="6:10">
      <c r="F108">
        <v>29.393000000000001</v>
      </c>
      <c r="G108">
        <v>88.472999999999999</v>
      </c>
      <c r="H108">
        <v>26.992999999999999</v>
      </c>
      <c r="I108">
        <v>61.481000000000002</v>
      </c>
      <c r="J108">
        <f t="shared" si="1"/>
        <v>11.527000000000001</v>
      </c>
    </row>
    <row r="109" spans="6:10">
      <c r="F109">
        <v>30.806000000000001</v>
      </c>
      <c r="G109">
        <v>87.953999999999994</v>
      </c>
      <c r="H109">
        <v>26.658999999999999</v>
      </c>
      <c r="I109">
        <v>61.295000000000002</v>
      </c>
      <c r="J109">
        <f t="shared" si="1"/>
        <v>12.046000000000006</v>
      </c>
    </row>
    <row r="110" spans="6:10">
      <c r="F110">
        <v>32.22</v>
      </c>
      <c r="G110">
        <v>87.436999999999998</v>
      </c>
      <c r="H110">
        <v>26.36</v>
      </c>
      <c r="I110">
        <v>61.076999999999998</v>
      </c>
      <c r="J110">
        <f t="shared" si="1"/>
        <v>12.563000000000002</v>
      </c>
    </row>
    <row r="111" spans="6:10">
      <c r="F111">
        <v>33.634</v>
      </c>
      <c r="G111">
        <v>86.924000000000007</v>
      </c>
      <c r="H111">
        <v>26.088999999999999</v>
      </c>
      <c r="I111">
        <v>60.835000000000001</v>
      </c>
      <c r="J111">
        <f t="shared" si="1"/>
        <v>13.075999999999993</v>
      </c>
    </row>
    <row r="112" spans="6:10">
      <c r="F112">
        <v>35.046999999999997</v>
      </c>
      <c r="G112">
        <v>86.412999999999997</v>
      </c>
      <c r="H112">
        <v>25.841000000000001</v>
      </c>
      <c r="I112">
        <v>60.572000000000003</v>
      </c>
      <c r="J112">
        <f t="shared" si="1"/>
        <v>13.587000000000003</v>
      </c>
    </row>
    <row r="113" spans="6:10">
      <c r="F113">
        <v>36.460999999999999</v>
      </c>
      <c r="G113">
        <v>85.906000000000006</v>
      </c>
      <c r="H113">
        <v>25.613</v>
      </c>
      <c r="I113">
        <v>60.292999999999999</v>
      </c>
      <c r="J113">
        <f t="shared" si="1"/>
        <v>14.093999999999994</v>
      </c>
    </row>
    <row r="114" spans="6:10">
      <c r="F114">
        <v>37.874000000000002</v>
      </c>
      <c r="G114">
        <v>85.400999999999996</v>
      </c>
      <c r="H114">
        <v>25.4</v>
      </c>
      <c r="I114">
        <v>60.000999999999998</v>
      </c>
      <c r="J114">
        <f t="shared" si="1"/>
        <v>14.599000000000004</v>
      </c>
    </row>
    <row r="115" spans="6:10">
      <c r="F115">
        <v>39.287999999999997</v>
      </c>
      <c r="G115">
        <v>84.9</v>
      </c>
      <c r="H115">
        <v>25.2</v>
      </c>
      <c r="I115">
        <v>59.7</v>
      </c>
      <c r="J115">
        <f t="shared" si="1"/>
        <v>15.099999999999994</v>
      </c>
    </row>
    <row r="116" spans="6:10">
      <c r="F116">
        <v>40.701000000000001</v>
      </c>
      <c r="G116">
        <v>84.400999999999996</v>
      </c>
      <c r="H116">
        <v>25.010999999999999</v>
      </c>
      <c r="I116">
        <v>59.390999999999998</v>
      </c>
      <c r="J116">
        <f t="shared" si="1"/>
        <v>15.599000000000004</v>
      </c>
    </row>
    <row r="117" spans="6:10">
      <c r="F117">
        <v>42.115000000000002</v>
      </c>
      <c r="G117">
        <v>83.906000000000006</v>
      </c>
      <c r="H117">
        <v>24.83</v>
      </c>
      <c r="I117">
        <v>59.076000000000001</v>
      </c>
      <c r="J117">
        <f t="shared" si="1"/>
        <v>16.093999999999994</v>
      </c>
    </row>
    <row r="118" spans="6:10">
      <c r="F118">
        <v>43.527999999999999</v>
      </c>
      <c r="G118">
        <v>83.412999999999997</v>
      </c>
      <c r="H118">
        <v>24.657</v>
      </c>
      <c r="I118">
        <v>58.756</v>
      </c>
      <c r="J118">
        <f t="shared" si="1"/>
        <v>16.587000000000003</v>
      </c>
    </row>
    <row r="119" spans="6:10">
      <c r="F119">
        <v>46.354999999999997</v>
      </c>
      <c r="G119">
        <v>82.436000000000007</v>
      </c>
      <c r="H119">
        <v>24.327999999999999</v>
      </c>
      <c r="I119">
        <v>58.107999999999997</v>
      </c>
      <c r="J119">
        <f t="shared" si="1"/>
        <v>17.563999999999993</v>
      </c>
    </row>
    <row r="120" spans="6:10">
      <c r="F120">
        <v>49.183</v>
      </c>
      <c r="G120">
        <v>81.471000000000004</v>
      </c>
      <c r="H120">
        <v>24.015999999999998</v>
      </c>
      <c r="I120">
        <v>57.454000000000001</v>
      </c>
      <c r="J120">
        <f t="shared" si="1"/>
        <v>18.528999999999996</v>
      </c>
    </row>
    <row r="121" spans="6:10">
      <c r="F121">
        <v>52.01</v>
      </c>
      <c r="G121">
        <v>80.516999999999996</v>
      </c>
      <c r="H121">
        <v>23.716999999999999</v>
      </c>
      <c r="I121">
        <v>56.798999999999999</v>
      </c>
      <c r="J121">
        <f t="shared" si="1"/>
        <v>19.483000000000004</v>
      </c>
    </row>
    <row r="122" spans="6:10">
      <c r="F122">
        <v>54.837000000000003</v>
      </c>
      <c r="G122">
        <v>79.573999999999998</v>
      </c>
      <c r="H122">
        <v>23.428000000000001</v>
      </c>
      <c r="I122">
        <v>56.146000000000001</v>
      </c>
      <c r="J122">
        <f t="shared" si="1"/>
        <v>20.426000000000002</v>
      </c>
    </row>
    <row r="123" spans="6:10">
      <c r="F123">
        <v>57.664000000000001</v>
      </c>
      <c r="G123">
        <v>78.641999999999996</v>
      </c>
      <c r="H123">
        <v>23.146000000000001</v>
      </c>
      <c r="I123">
        <v>55.496000000000002</v>
      </c>
      <c r="J123">
        <f t="shared" si="1"/>
        <v>21.358000000000004</v>
      </c>
    </row>
    <row r="124" spans="6:10">
      <c r="F124">
        <v>60.491</v>
      </c>
      <c r="G124">
        <v>77.721000000000004</v>
      </c>
      <c r="H124">
        <v>22.87</v>
      </c>
      <c r="I124">
        <v>54.850999999999999</v>
      </c>
      <c r="J124">
        <f t="shared" si="1"/>
        <v>22.278999999999996</v>
      </c>
    </row>
    <row r="125" spans="6:10">
      <c r="F125">
        <v>63.317999999999998</v>
      </c>
      <c r="G125">
        <v>76.811000000000007</v>
      </c>
      <c r="H125">
        <v>22.597999999999999</v>
      </c>
      <c r="I125">
        <v>54.212000000000003</v>
      </c>
      <c r="J125">
        <f t="shared" si="1"/>
        <v>23.188999999999993</v>
      </c>
    </row>
    <row r="126" spans="6:10">
      <c r="F126">
        <v>66.144999999999996</v>
      </c>
      <c r="G126">
        <v>75.911000000000001</v>
      </c>
      <c r="H126">
        <v>22.331</v>
      </c>
      <c r="I126">
        <v>53.58</v>
      </c>
      <c r="J126">
        <f t="shared" si="1"/>
        <v>24.088999999999999</v>
      </c>
    </row>
    <row r="127" spans="6:10">
      <c r="F127">
        <v>68.971999999999994</v>
      </c>
      <c r="G127">
        <v>75.022000000000006</v>
      </c>
      <c r="H127">
        <v>22.068000000000001</v>
      </c>
      <c r="I127">
        <v>52.954000000000001</v>
      </c>
      <c r="J127">
        <f t="shared" si="1"/>
        <v>24.977999999999994</v>
      </c>
    </row>
    <row r="128" spans="6:10">
      <c r="F128">
        <v>71.799000000000007</v>
      </c>
      <c r="G128">
        <v>74.144000000000005</v>
      </c>
      <c r="H128">
        <v>21.809000000000001</v>
      </c>
      <c r="I128">
        <v>52.335000000000001</v>
      </c>
      <c r="J128">
        <f t="shared" si="1"/>
        <v>25.855999999999995</v>
      </c>
    </row>
    <row r="129" spans="6:10">
      <c r="F129">
        <v>72</v>
      </c>
      <c r="G129">
        <v>74.081999999999994</v>
      </c>
      <c r="H129">
        <v>21.791</v>
      </c>
      <c r="I129">
        <v>52.290999999999997</v>
      </c>
      <c r="J129">
        <f t="shared" si="1"/>
        <v>25.918000000000006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71C8-4563-4D69-BC7B-DFE02096A3ED}">
  <dimension ref="A1:BM602"/>
  <sheetViews>
    <sheetView topLeftCell="D14" zoomScale="75" zoomScaleNormal="100" workbookViewId="0">
      <selection activeCell="AB48" sqref="AB46:AB48"/>
    </sheetView>
  </sheetViews>
  <sheetFormatPr baseColWidth="10" defaultColWidth="8.83203125" defaultRowHeight="17"/>
  <cols>
    <col min="11" max="11" width="9.1640625" bestFit="1" customWidth="1"/>
    <col min="13" max="13" width="13.1640625" bestFit="1" customWidth="1"/>
    <col min="15" max="15" width="9" bestFit="1" customWidth="1"/>
    <col min="16" max="16" width="13.5" customWidth="1"/>
    <col min="17" max="17" width="10" bestFit="1" customWidth="1"/>
    <col min="18" max="18" width="9.6640625" bestFit="1" customWidth="1"/>
    <col min="19" max="19" width="9.83203125" bestFit="1" customWidth="1"/>
    <col min="20" max="20" width="11.1640625" bestFit="1" customWidth="1"/>
    <col min="21" max="21" width="9.83203125" bestFit="1" customWidth="1"/>
    <col min="22" max="22" width="13.5" bestFit="1" customWidth="1"/>
    <col min="29" max="29" width="9.5" bestFit="1" customWidth="1"/>
    <col min="32" max="32" width="13.6640625" customWidth="1"/>
    <col min="33" max="33" width="18.5" customWidth="1"/>
    <col min="34" max="34" width="9.1640625" bestFit="1" customWidth="1"/>
    <col min="35" max="35" width="9.1640625" customWidth="1"/>
    <col min="46" max="46" width="7.5" customWidth="1"/>
    <col min="47" max="47" width="15" customWidth="1"/>
    <col min="48" max="48" width="11" bestFit="1" customWidth="1"/>
    <col min="49" max="49" width="9.1640625" bestFit="1" customWidth="1"/>
    <col min="51" max="56" width="9.1640625" bestFit="1" customWidth="1"/>
  </cols>
  <sheetData>
    <row r="1" spans="1:65">
      <c r="A1" s="1">
        <f>K2</f>
        <v>1.2735707007310202E-10</v>
      </c>
      <c r="B1" s="7" t="s">
        <v>0</v>
      </c>
      <c r="C1" s="7" t="s">
        <v>99</v>
      </c>
      <c r="D1" s="7" t="s">
        <v>99</v>
      </c>
      <c r="E1" s="7" t="s">
        <v>99</v>
      </c>
      <c r="F1" s="7" t="s">
        <v>99</v>
      </c>
      <c r="G1" s="7" t="s">
        <v>99</v>
      </c>
      <c r="H1" s="7" t="s">
        <v>100</v>
      </c>
      <c r="I1" s="7" t="s">
        <v>101</v>
      </c>
      <c r="J1" s="7"/>
      <c r="N1" s="7"/>
      <c r="O1" t="s">
        <v>35</v>
      </c>
      <c r="P1" t="s">
        <v>5</v>
      </c>
      <c r="Q1" t="s">
        <v>30</v>
      </c>
      <c r="R1" t="s">
        <v>38</v>
      </c>
      <c r="S1" s="3" t="s">
        <v>11</v>
      </c>
      <c r="T1" t="s">
        <v>32</v>
      </c>
      <c r="U1" t="s">
        <v>3</v>
      </c>
      <c r="V1" s="4" t="s">
        <v>4</v>
      </c>
      <c r="X1" s="3"/>
      <c r="Y1" s="3" t="s">
        <v>12</v>
      </c>
      <c r="Z1" s="3" t="s">
        <v>36</v>
      </c>
      <c r="AA1" s="3" t="s">
        <v>37</v>
      </c>
      <c r="AB1" s="3" t="s">
        <v>39</v>
      </c>
      <c r="AC1" s="3" t="s">
        <v>13</v>
      </c>
      <c r="AF1" s="35" t="s">
        <v>85</v>
      </c>
      <c r="AJ1" s="7"/>
      <c r="AK1" s="7"/>
    </row>
    <row r="2" spans="1:65">
      <c r="B2" s="7">
        <v>0</v>
      </c>
      <c r="C2" s="8">
        <v>1.2710000000000001E-10</v>
      </c>
      <c r="D2" s="8">
        <v>1.2710000000000001E-10</v>
      </c>
      <c r="E2" s="8">
        <v>1.2710000000000001E-10</v>
      </c>
      <c r="F2" s="8">
        <v>2.5706999999999998E-13</v>
      </c>
      <c r="G2" s="8">
        <v>7.3102000000000006E-20</v>
      </c>
      <c r="H2" s="8">
        <v>0</v>
      </c>
      <c r="I2" s="7">
        <v>0</v>
      </c>
      <c r="J2" s="8"/>
      <c r="K2" s="1">
        <f>SUM(C2,F2,G2)</f>
        <v>1.2735707007310202E-10</v>
      </c>
      <c r="N2" s="7"/>
      <c r="O2">
        <f>B2/60</f>
        <v>0</v>
      </c>
      <c r="P2" s="6">
        <f>(SUM(F2:J2)+C2)/$A$1*100</f>
        <v>99.999999999999972</v>
      </c>
      <c r="Q2" s="6">
        <f t="shared" ref="Q2:Q65" si="0">(H2+F2)/$A$1*100</f>
        <v>0.2018498068873944</v>
      </c>
      <c r="R2" s="6">
        <f t="shared" ref="R2:R65" si="1">(G2+I2)/$A$1*100</f>
        <v>5.7399247609920664E-8</v>
      </c>
      <c r="S2" s="5">
        <f t="shared" ref="S2:S65" si="2">J2/$A$1*100</f>
        <v>0</v>
      </c>
      <c r="T2" s="6">
        <f t="shared" ref="T2:V17" si="3">C2/$A$1*100</f>
        <v>99.798150135713342</v>
      </c>
      <c r="U2" s="1">
        <f t="shared" si="3"/>
        <v>99.798150135713342</v>
      </c>
      <c r="V2" s="1">
        <f t="shared" si="3"/>
        <v>99.798150135713342</v>
      </c>
      <c r="X2" s="9" t="s">
        <v>26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45" t="s">
        <v>84</v>
      </c>
      <c r="AG2" s="46" t="s">
        <v>81</v>
      </c>
      <c r="AH2" s="7" t="s">
        <v>82</v>
      </c>
      <c r="AI2" s="7" t="s">
        <v>83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>
      <c r="B3" s="7">
        <v>2.476</v>
      </c>
      <c r="C3" s="8">
        <v>1.2478999999999999E-10</v>
      </c>
      <c r="D3" s="8">
        <v>1.2478999999999999E-10</v>
      </c>
      <c r="E3" s="8">
        <v>1.2478999999999999E-10</v>
      </c>
      <c r="F3" s="8">
        <v>2.4837E-12</v>
      </c>
      <c r="G3" s="8">
        <v>1.1951000000000001E-17</v>
      </c>
      <c r="H3" s="8">
        <v>5.4358000000000002E-14</v>
      </c>
      <c r="I3" s="8">
        <v>2.2275E-15</v>
      </c>
      <c r="J3" s="8"/>
      <c r="K3" s="1"/>
      <c r="L3" s="1"/>
      <c r="N3" s="7"/>
      <c r="O3">
        <f t="shared" ref="O3:O66" si="4">B3/60</f>
        <v>4.1266666666666667E-2</v>
      </c>
      <c r="P3" s="6">
        <f t="shared" ref="P3:P65" si="5">(SUM(F3:J3)+C3)/$A$1*100</f>
        <v>99.97897829929137</v>
      </c>
      <c r="Q3" s="6">
        <f t="shared" si="0"/>
        <v>1.9928677681915683</v>
      </c>
      <c r="R3" s="6">
        <f t="shared" si="1"/>
        <v>1.7584033605001837E-3</v>
      </c>
      <c r="S3" s="5">
        <f t="shared" si="2"/>
        <v>0</v>
      </c>
      <c r="T3" s="6">
        <f t="shared" si="3"/>
        <v>97.984352127739314</v>
      </c>
      <c r="U3" s="1">
        <f t="shared" si="3"/>
        <v>97.984352127739314</v>
      </c>
      <c r="V3" s="1">
        <f t="shared" si="3"/>
        <v>97.984352127739314</v>
      </c>
      <c r="X3" s="9"/>
      <c r="Y3" s="2"/>
      <c r="Z3" s="2"/>
      <c r="AA3" s="2"/>
      <c r="AB3" s="2"/>
      <c r="AC3" s="2"/>
      <c r="AD3" s="1"/>
      <c r="AE3" s="1"/>
      <c r="AF3" s="43" t="s">
        <v>40</v>
      </c>
      <c r="AG3" s="43" t="s">
        <v>41</v>
      </c>
      <c r="AH3" s="7" t="s">
        <v>42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B4" s="7">
        <v>4.524</v>
      </c>
      <c r="C4" s="8">
        <v>1.2436E-10</v>
      </c>
      <c r="D4" s="8">
        <v>1.2436E-10</v>
      </c>
      <c r="E4" s="8">
        <v>1.2436E-10</v>
      </c>
      <c r="F4" s="8">
        <v>2.8047E-12</v>
      </c>
      <c r="G4" s="8">
        <v>1.5766000000000001E-17</v>
      </c>
      <c r="H4" s="8">
        <v>1.5154E-13</v>
      </c>
      <c r="I4" s="8">
        <v>6.5470000000000001E-15</v>
      </c>
      <c r="J4" s="8"/>
      <c r="K4" s="1"/>
      <c r="L4" s="1"/>
      <c r="N4" s="7"/>
      <c r="O4">
        <f t="shared" si="4"/>
        <v>7.5399999999999995E-2</v>
      </c>
      <c r="P4" s="6">
        <f t="shared" si="5"/>
        <v>99.973093518025848</v>
      </c>
      <c r="Q4" s="6">
        <f t="shared" si="0"/>
        <v>2.3212217415987504</v>
      </c>
      <c r="R4" s="6">
        <f t="shared" si="1"/>
        <v>5.1530441115149872E-3</v>
      </c>
      <c r="S4" s="5">
        <f t="shared" si="2"/>
        <v>0</v>
      </c>
      <c r="T4" s="6">
        <f t="shared" si="3"/>
        <v>97.646718732315591</v>
      </c>
      <c r="U4" s="1">
        <f t="shared" si="3"/>
        <v>97.646718732315591</v>
      </c>
      <c r="V4" s="1">
        <f t="shared" si="3"/>
        <v>97.646718732315591</v>
      </c>
      <c r="X4" s="9" t="s">
        <v>27</v>
      </c>
      <c r="Y4" s="2">
        <v>7239</v>
      </c>
      <c r="Z4" s="2">
        <v>3470</v>
      </c>
      <c r="AA4" s="2">
        <v>1333</v>
      </c>
      <c r="AB4" s="2">
        <v>0</v>
      </c>
      <c r="AC4" s="2">
        <v>2435</v>
      </c>
      <c r="AD4" s="1"/>
      <c r="AE4" s="1"/>
      <c r="AF4" s="43" t="s">
        <v>43</v>
      </c>
      <c r="AG4" s="43" t="s">
        <v>44</v>
      </c>
      <c r="AH4" s="1" t="s">
        <v>45</v>
      </c>
      <c r="AI4" s="1" t="s">
        <v>46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B5" s="7">
        <v>6.5720000000000001</v>
      </c>
      <c r="C5" s="8">
        <v>1.2412000000000001E-10</v>
      </c>
      <c r="D5" s="8">
        <v>1.2412000000000001E-10</v>
      </c>
      <c r="E5" s="8">
        <v>1.2412000000000001E-10</v>
      </c>
      <c r="F5" s="8">
        <v>2.9293E-12</v>
      </c>
      <c r="G5" s="8">
        <v>2.0617999999999999E-17</v>
      </c>
      <c r="H5" s="8">
        <v>2.5932E-13</v>
      </c>
      <c r="I5" s="8">
        <v>1.2235999999999999E-14</v>
      </c>
      <c r="J5" s="8"/>
      <c r="K5" s="1"/>
      <c r="L5" s="1"/>
      <c r="N5" s="7"/>
      <c r="O5">
        <f t="shared" si="4"/>
        <v>0.10953333333333333</v>
      </c>
      <c r="P5" s="6">
        <f t="shared" si="5"/>
        <v>99.971581118283225</v>
      </c>
      <c r="Q5" s="6">
        <f t="shared" si="0"/>
        <v>2.5036851100372801</v>
      </c>
      <c r="R5" s="6">
        <f t="shared" si="1"/>
        <v>9.6238222133759755E-3</v>
      </c>
      <c r="S5" s="5">
        <f t="shared" si="2"/>
        <v>0</v>
      </c>
      <c r="T5" s="6">
        <f t="shared" si="3"/>
        <v>97.458272186032573</v>
      </c>
      <c r="U5" s="1">
        <f t="shared" si="3"/>
        <v>97.458272186032573</v>
      </c>
      <c r="V5" s="1">
        <f t="shared" si="3"/>
        <v>97.458272186032573</v>
      </c>
      <c r="X5" s="9" t="s">
        <v>28</v>
      </c>
      <c r="Y5" s="2">
        <v>7239</v>
      </c>
      <c r="Z5" s="2">
        <v>3470</v>
      </c>
      <c r="AA5" s="2">
        <v>1333</v>
      </c>
      <c r="AB5" s="2">
        <v>0</v>
      </c>
      <c r="AC5" s="2">
        <v>2435</v>
      </c>
      <c r="AD5" s="1"/>
      <c r="AE5" s="1"/>
      <c r="AF5" s="44" t="s">
        <v>60</v>
      </c>
      <c r="AG5" s="44" t="s">
        <v>61</v>
      </c>
      <c r="AH5" s="1" t="s">
        <v>62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B6" s="7">
        <v>8.6199999999999992</v>
      </c>
      <c r="C6" s="8">
        <v>1.2395E-10</v>
      </c>
      <c r="D6" s="8">
        <v>1.2395E-10</v>
      </c>
      <c r="E6" s="8">
        <v>1.2395E-10</v>
      </c>
      <c r="F6" s="8">
        <v>2.9775000000000002E-12</v>
      </c>
      <c r="G6" s="8">
        <v>2.5739000000000001E-17</v>
      </c>
      <c r="H6" s="8">
        <v>3.7149000000000002E-13</v>
      </c>
      <c r="I6" s="8">
        <v>1.946E-14</v>
      </c>
      <c r="J6" s="8"/>
      <c r="K6" s="1"/>
      <c r="L6" s="1"/>
      <c r="N6" s="7"/>
      <c r="O6">
        <f t="shared" si="4"/>
        <v>0.14366666666666666</v>
      </c>
      <c r="P6" s="6">
        <f t="shared" si="5"/>
        <v>99.969695962634901</v>
      </c>
      <c r="Q6" s="6">
        <f t="shared" si="0"/>
        <v>2.6296066626514762</v>
      </c>
      <c r="R6" s="6">
        <f t="shared" si="1"/>
        <v>1.5300084234676041E-2</v>
      </c>
      <c r="S6" s="5">
        <f t="shared" si="2"/>
        <v>0</v>
      </c>
      <c r="T6" s="6">
        <f t="shared" si="3"/>
        <v>97.324789215748766</v>
      </c>
      <c r="U6" s="1">
        <f t="shared" si="3"/>
        <v>97.324789215748766</v>
      </c>
      <c r="V6" s="1">
        <f t="shared" si="3"/>
        <v>97.324789215748766</v>
      </c>
      <c r="X6" s="9" t="s">
        <v>29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43" t="s">
        <v>18</v>
      </c>
      <c r="AG6" s="43">
        <v>0.5</v>
      </c>
      <c r="AH6" s="1">
        <v>0.5</v>
      </c>
      <c r="AI6" s="1" t="s">
        <v>47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B7" s="7">
        <v>10.667999999999999</v>
      </c>
      <c r="C7" s="8">
        <v>1.238E-10</v>
      </c>
      <c r="D7" s="8">
        <v>1.238E-10</v>
      </c>
      <c r="E7" s="8">
        <v>1.238E-10</v>
      </c>
      <c r="F7" s="8">
        <v>2.9983999999999998E-12</v>
      </c>
      <c r="G7" s="8">
        <v>3.1017000000000001E-17</v>
      </c>
      <c r="H7" s="8">
        <v>4.8557000000000002E-13</v>
      </c>
      <c r="I7" s="8">
        <v>2.8414000000000001E-14</v>
      </c>
      <c r="J7" s="8"/>
      <c r="K7" s="1"/>
      <c r="L7" s="1"/>
      <c r="N7" s="7"/>
      <c r="O7">
        <f t="shared" si="4"/>
        <v>0.17779999999999999</v>
      </c>
      <c r="P7" s="6">
        <f t="shared" si="5"/>
        <v>99.964937120431259</v>
      </c>
      <c r="Q7" s="6">
        <f t="shared" si="0"/>
        <v>2.7355921410568151</v>
      </c>
      <c r="R7" s="6">
        <f t="shared" si="1"/>
        <v>2.2334855052548532E-2</v>
      </c>
      <c r="S7" s="5">
        <f t="shared" si="2"/>
        <v>0</v>
      </c>
      <c r="T7" s="6">
        <f t="shared" si="3"/>
        <v>97.207010124321883</v>
      </c>
      <c r="U7" s="1">
        <f t="shared" si="3"/>
        <v>97.207010124321883</v>
      </c>
      <c r="V7" s="1">
        <f t="shared" si="3"/>
        <v>97.207010124321883</v>
      </c>
      <c r="X7" s="9"/>
      <c r="Y7" s="2"/>
      <c r="Z7" s="2"/>
      <c r="AA7" s="2"/>
      <c r="AB7" s="2"/>
      <c r="AC7" s="2"/>
      <c r="AD7" s="1"/>
      <c r="AE7" s="1"/>
      <c r="AF7" s="43" t="s">
        <v>48</v>
      </c>
      <c r="AG7" s="43" t="s">
        <v>94</v>
      </c>
      <c r="AH7" s="1" t="s">
        <v>95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B8" s="7">
        <v>12.715999999999999</v>
      </c>
      <c r="C8" s="8">
        <v>1.2367E-10</v>
      </c>
      <c r="D8" s="8">
        <v>1.2367E-10</v>
      </c>
      <c r="E8" s="8">
        <v>1.2367E-10</v>
      </c>
      <c r="F8" s="8">
        <v>3.0052000000000002E-12</v>
      </c>
      <c r="G8" s="8">
        <v>3.7469000000000003E-17</v>
      </c>
      <c r="H8" s="8">
        <v>6.0056000000000002E-13</v>
      </c>
      <c r="I8" s="8">
        <v>3.9341999999999999E-14</v>
      </c>
      <c r="J8" s="8"/>
      <c r="K8" s="1"/>
      <c r="L8" s="1"/>
      <c r="M8" s="4"/>
      <c r="N8" s="7"/>
      <c r="O8">
        <f t="shared" si="4"/>
        <v>0.21193333333333333</v>
      </c>
      <c r="P8" s="6">
        <f t="shared" si="5"/>
        <v>99.967076343639221</v>
      </c>
      <c r="Q8" s="6">
        <f t="shared" si="0"/>
        <v>2.8312209113560169</v>
      </c>
      <c r="R8" s="6">
        <f t="shared" si="1"/>
        <v>3.0920520531287722E-2</v>
      </c>
      <c r="S8" s="5">
        <f t="shared" si="2"/>
        <v>0</v>
      </c>
      <c r="T8" s="6">
        <f t="shared" si="3"/>
        <v>97.104934911751911</v>
      </c>
      <c r="U8" s="1">
        <f t="shared" si="3"/>
        <v>97.104934911751911</v>
      </c>
      <c r="V8" s="1">
        <f t="shared" si="3"/>
        <v>97.104934911751911</v>
      </c>
      <c r="X8" s="9"/>
      <c r="Y8" s="2">
        <f>Y4/$Y$4*100</f>
        <v>100</v>
      </c>
      <c r="Z8" s="10">
        <f>Z4/$Y$4*100</f>
        <v>47.934797623981211</v>
      </c>
      <c r="AA8" s="10">
        <f>AA4/$Y$4*100</f>
        <v>18.414145600221023</v>
      </c>
      <c r="AB8" s="10">
        <f>AB4/$Y$4*100</f>
        <v>0</v>
      </c>
      <c r="AC8" s="10">
        <f>AC4/$Y$4*100</f>
        <v>33.637242713081918</v>
      </c>
      <c r="AD8" s="1"/>
      <c r="AE8" s="1"/>
      <c r="AF8" s="44" t="s">
        <v>20</v>
      </c>
      <c r="AG8" s="44">
        <v>0</v>
      </c>
      <c r="AH8" s="1">
        <v>0</v>
      </c>
      <c r="AI8" s="1" t="s">
        <v>49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>
      <c r="B9" s="7">
        <v>14.763999999999999</v>
      </c>
      <c r="C9" s="8">
        <v>1.2353999999999999E-10</v>
      </c>
      <c r="D9" s="8">
        <v>1.2353999999999999E-10</v>
      </c>
      <c r="E9" s="8">
        <v>1.2353999999999999E-10</v>
      </c>
      <c r="F9" s="8">
        <v>3.0054000000000001E-12</v>
      </c>
      <c r="G9" s="8">
        <v>4.4933E-17</v>
      </c>
      <c r="H9" s="8">
        <v>7.1593999999999998E-13</v>
      </c>
      <c r="I9" s="8">
        <v>5.2427000000000001E-14</v>
      </c>
      <c r="J9" s="8"/>
      <c r="K9" s="1"/>
      <c r="L9" s="1"/>
      <c r="N9" s="7"/>
      <c r="O9">
        <f t="shared" si="4"/>
        <v>0.24606666666666666</v>
      </c>
      <c r="P9" s="6">
        <f t="shared" si="5"/>
        <v>99.966033970413122</v>
      </c>
      <c r="Q9" s="6">
        <f t="shared" si="0"/>
        <v>2.9219736272701455</v>
      </c>
      <c r="R9" s="6">
        <f t="shared" si="1"/>
        <v>4.1200643961015665E-2</v>
      </c>
      <c r="S9" s="5">
        <f t="shared" si="2"/>
        <v>0</v>
      </c>
      <c r="T9" s="6">
        <f t="shared" si="3"/>
        <v>97.00285969918194</v>
      </c>
      <c r="U9" s="1">
        <f t="shared" si="3"/>
        <v>97.00285969918194</v>
      </c>
      <c r="V9" s="1">
        <f t="shared" si="3"/>
        <v>97.00285969918194</v>
      </c>
      <c r="X9" s="9"/>
      <c r="Y9" s="2"/>
      <c r="Z9" s="2"/>
      <c r="AA9" s="2"/>
      <c r="AB9" s="2"/>
      <c r="AC9" s="2"/>
      <c r="AD9" s="1"/>
      <c r="AE9" s="1"/>
      <c r="AF9" s="44" t="s">
        <v>22</v>
      </c>
      <c r="AG9" s="44">
        <v>0</v>
      </c>
      <c r="AH9" s="1">
        <v>0</v>
      </c>
      <c r="AI9" s="1" t="s">
        <v>50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8" thickBot="1">
      <c r="B10" s="7">
        <v>16.812000000000001</v>
      </c>
      <c r="C10" s="8">
        <v>1.2340999999999999E-10</v>
      </c>
      <c r="D10" s="8">
        <v>1.2340999999999999E-10</v>
      </c>
      <c r="E10" s="8">
        <v>1.2340999999999999E-10</v>
      </c>
      <c r="F10" s="8">
        <v>3.0028000000000001E-12</v>
      </c>
      <c r="G10" s="8">
        <v>5.2188999999999999E-17</v>
      </c>
      <c r="H10" s="8">
        <v>8.3146999999999999E-13</v>
      </c>
      <c r="I10" s="8">
        <v>6.7779000000000006E-14</v>
      </c>
      <c r="J10" s="8"/>
      <c r="K10" s="1"/>
      <c r="L10" s="1"/>
      <c r="N10" s="7"/>
      <c r="O10">
        <f t="shared" si="4"/>
        <v>0.2802</v>
      </c>
      <c r="P10" s="6">
        <f t="shared" si="5"/>
        <v>99.964690704586531</v>
      </c>
      <c r="Q10" s="6">
        <f t="shared" si="0"/>
        <v>3.0106455792357325</v>
      </c>
      <c r="R10" s="6">
        <f t="shared" si="1"/>
        <v>5.3260638738835159E-2</v>
      </c>
      <c r="S10" s="5">
        <f t="shared" si="2"/>
        <v>0</v>
      </c>
      <c r="T10" s="6">
        <f t="shared" si="3"/>
        <v>96.900784486611983</v>
      </c>
      <c r="U10" s="1">
        <f t="shared" si="3"/>
        <v>96.900784486611983</v>
      </c>
      <c r="V10" s="1">
        <f t="shared" si="3"/>
        <v>96.900784486611983</v>
      </c>
      <c r="X10" s="9"/>
      <c r="Y10" s="2"/>
      <c r="Z10" s="2"/>
      <c r="AA10" s="2"/>
      <c r="AB10" s="2"/>
      <c r="AC10" s="2"/>
      <c r="AD10" s="1"/>
      <c r="AE10" s="1"/>
      <c r="AF10" s="44" t="s">
        <v>24</v>
      </c>
      <c r="AG10" s="44">
        <v>0</v>
      </c>
      <c r="AH10" s="1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>
      <c r="B11" s="7">
        <v>20.908000000000001</v>
      </c>
      <c r="C11" s="8">
        <v>1.2315000000000001E-10</v>
      </c>
      <c r="D11" s="8">
        <v>1.2315000000000001E-10</v>
      </c>
      <c r="E11" s="8">
        <v>1.2315000000000001E-10</v>
      </c>
      <c r="F11" s="8">
        <v>2.9959000000000002E-12</v>
      </c>
      <c r="G11" s="8">
        <v>6.5131000000000003E-17</v>
      </c>
      <c r="H11" s="8">
        <v>1.0625999999999999E-12</v>
      </c>
      <c r="I11" s="8">
        <v>1.0529E-13</v>
      </c>
      <c r="J11" s="8"/>
      <c r="K11" s="1"/>
      <c r="L11" s="1"/>
      <c r="N11" s="7"/>
      <c r="O11">
        <f t="shared" si="4"/>
        <v>0.3484666666666667</v>
      </c>
      <c r="P11" s="6">
        <f t="shared" si="5"/>
        <v>99.966067889221051</v>
      </c>
      <c r="Q11" s="6">
        <f t="shared" si="0"/>
        <v>3.1867096170400675</v>
      </c>
      <c r="R11" s="6">
        <f t="shared" si="1"/>
        <v>8.2724210708935847E-2</v>
      </c>
      <c r="S11" s="5">
        <f t="shared" si="2"/>
        <v>0</v>
      </c>
      <c r="T11" s="6">
        <f t="shared" si="3"/>
        <v>96.696634061472054</v>
      </c>
      <c r="U11" s="1">
        <f t="shared" si="3"/>
        <v>96.696634061472054</v>
      </c>
      <c r="V11" s="1">
        <f t="shared" si="3"/>
        <v>96.696634061472054</v>
      </c>
      <c r="X11" s="9"/>
      <c r="Y11" s="2"/>
      <c r="Z11" s="2"/>
      <c r="AA11" s="16"/>
      <c r="AB11" s="11" t="s">
        <v>33</v>
      </c>
      <c r="AC11" s="2"/>
      <c r="AD11" s="1"/>
      <c r="AE11" s="1"/>
      <c r="AF11" s="43"/>
      <c r="AG11" s="43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B12" s="7">
        <v>25.004000000000001</v>
      </c>
      <c r="C12" s="8">
        <v>1.2287000000000001E-10</v>
      </c>
      <c r="D12" s="8">
        <v>1.2287000000000001E-10</v>
      </c>
      <c r="E12" s="8">
        <v>1.2287000000000001E-10</v>
      </c>
      <c r="F12" s="8">
        <v>2.9876999999999999E-12</v>
      </c>
      <c r="G12" s="8">
        <v>7.8125E-17</v>
      </c>
      <c r="H12" s="8">
        <v>1.2937E-12</v>
      </c>
      <c r="I12" s="8">
        <v>1.5145E-13</v>
      </c>
      <c r="J12" s="8"/>
      <c r="K12" s="1"/>
      <c r="L12" s="1"/>
      <c r="N12" s="7"/>
      <c r="O12">
        <f t="shared" si="4"/>
        <v>0.41673333333333334</v>
      </c>
      <c r="P12" s="6">
        <f t="shared" si="5"/>
        <v>99.957488070296435</v>
      </c>
      <c r="Q12" s="6">
        <f t="shared" si="0"/>
        <v>3.3617293469004177</v>
      </c>
      <c r="R12" s="6">
        <f t="shared" si="1"/>
        <v>0.11897896592079572</v>
      </c>
      <c r="S12" s="5">
        <f t="shared" si="2"/>
        <v>0</v>
      </c>
      <c r="T12" s="6">
        <f t="shared" si="3"/>
        <v>96.4767797574752</v>
      </c>
      <c r="U12" s="1">
        <f t="shared" si="3"/>
        <v>96.4767797574752</v>
      </c>
      <c r="V12" s="1">
        <f t="shared" si="3"/>
        <v>96.4767797574752</v>
      </c>
      <c r="X12" s="9"/>
      <c r="Y12" s="2"/>
      <c r="Z12" s="2"/>
      <c r="AA12" s="12" t="s">
        <v>32</v>
      </c>
      <c r="AB12" s="17">
        <f>AC8</f>
        <v>33.637242713081918</v>
      </c>
      <c r="AC12" s="2"/>
      <c r="AD12" s="1"/>
      <c r="AE12" s="1"/>
      <c r="AF12" s="44" t="s">
        <v>51</v>
      </c>
      <c r="AG12" s="44" t="s">
        <v>52</v>
      </c>
      <c r="AH12" s="1" t="s">
        <v>53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>
      <c r="B13" s="7">
        <v>29.1</v>
      </c>
      <c r="C13" s="8">
        <v>1.226E-10</v>
      </c>
      <c r="D13" s="8">
        <v>1.226E-10</v>
      </c>
      <c r="E13" s="8">
        <v>1.226E-10</v>
      </c>
      <c r="F13" s="8">
        <v>2.9793E-12</v>
      </c>
      <c r="G13" s="8">
        <v>8.9869999999999994E-17</v>
      </c>
      <c r="H13" s="8">
        <v>1.5244E-12</v>
      </c>
      <c r="I13" s="8">
        <v>2.0532E-13</v>
      </c>
      <c r="J13" s="8"/>
      <c r="K13" s="1"/>
      <c r="L13" s="1"/>
      <c r="N13" s="7"/>
      <c r="O13">
        <f t="shared" si="4"/>
        <v>0.48500000000000004</v>
      </c>
      <c r="P13" s="6">
        <f t="shared" si="5"/>
        <v>99.962341939026629</v>
      </c>
      <c r="Q13" s="6">
        <f t="shared" si="0"/>
        <v>3.53627796039506</v>
      </c>
      <c r="R13" s="6">
        <f t="shared" si="1"/>
        <v>0.16128658572476284</v>
      </c>
      <c r="S13" s="5">
        <f t="shared" si="2"/>
        <v>0</v>
      </c>
      <c r="T13" s="6">
        <f t="shared" si="3"/>
        <v>96.264777392906808</v>
      </c>
      <c r="U13" s="1">
        <f t="shared" si="3"/>
        <v>96.264777392906808</v>
      </c>
      <c r="V13" s="1">
        <f t="shared" si="3"/>
        <v>96.264777392906808</v>
      </c>
      <c r="X13" s="9"/>
      <c r="Y13" s="2"/>
      <c r="Z13" s="2"/>
      <c r="AA13" s="13" t="s">
        <v>31</v>
      </c>
      <c r="AB13" s="18">
        <f>AA8</f>
        <v>18.414145600221023</v>
      </c>
      <c r="AC13" s="2"/>
      <c r="AD13" s="1"/>
      <c r="AE13" s="1"/>
      <c r="AF13" s="44" t="s">
        <v>54</v>
      </c>
      <c r="AG13" s="44" t="s">
        <v>55</v>
      </c>
      <c r="AH13" s="1" t="s">
        <v>56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>
      <c r="B14" s="7">
        <v>37.292000000000002</v>
      </c>
      <c r="C14" s="8">
        <v>1.2202000000000001E-10</v>
      </c>
      <c r="D14" s="8">
        <v>1.2202000000000001E-10</v>
      </c>
      <c r="E14" s="8">
        <v>1.2202000000000001E-10</v>
      </c>
      <c r="F14" s="8">
        <v>2.9631000000000002E-12</v>
      </c>
      <c r="G14" s="8">
        <v>1.0590000000000001E-16</v>
      </c>
      <c r="H14" s="8">
        <v>1.9849000000000002E-12</v>
      </c>
      <c r="I14" s="8">
        <v>3.3142999999999998E-13</v>
      </c>
      <c r="J14" s="8"/>
      <c r="K14" s="1"/>
      <c r="L14" s="1"/>
      <c r="N14" s="7"/>
      <c r="O14">
        <f t="shared" si="4"/>
        <v>0.62153333333333338</v>
      </c>
      <c r="P14" s="6">
        <f t="shared" si="5"/>
        <v>99.954824515773666</v>
      </c>
      <c r="Q14" s="6">
        <f t="shared" si="0"/>
        <v>3.8851396292014924</v>
      </c>
      <c r="R14" s="6">
        <f t="shared" si="1"/>
        <v>0.26031998051596256</v>
      </c>
      <c r="S14" s="5">
        <f t="shared" si="2"/>
        <v>0</v>
      </c>
      <c r="T14" s="6">
        <f t="shared" si="3"/>
        <v>95.809364906056189</v>
      </c>
      <c r="U14" s="1">
        <f t="shared" si="3"/>
        <v>95.809364906056189</v>
      </c>
      <c r="V14" s="1">
        <f t="shared" si="3"/>
        <v>95.809364906056189</v>
      </c>
      <c r="X14" s="9"/>
      <c r="Y14" s="2"/>
      <c r="Z14" s="2"/>
      <c r="AA14" s="14" t="s">
        <v>30</v>
      </c>
      <c r="AB14" s="19">
        <f>Z8</f>
        <v>47.934797623981211</v>
      </c>
      <c r="AC14" s="2"/>
      <c r="AD14" s="1"/>
      <c r="AE14" s="1"/>
      <c r="AF14" s="44" t="s">
        <v>57</v>
      </c>
      <c r="AG14" s="44" t="s">
        <v>58</v>
      </c>
      <c r="AH14" s="1" t="s">
        <v>59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8" thickBot="1">
      <c r="B15" s="7">
        <v>45.484000000000002</v>
      </c>
      <c r="C15" s="8">
        <v>1.2142999999999999E-10</v>
      </c>
      <c r="D15" s="8">
        <v>1.2142999999999999E-10</v>
      </c>
      <c r="E15" s="8">
        <v>1.2142999999999999E-10</v>
      </c>
      <c r="F15" s="8">
        <v>2.9471999999999998E-12</v>
      </c>
      <c r="G15" s="8">
        <v>1.1739E-16</v>
      </c>
      <c r="H15" s="8">
        <v>2.4438000000000001E-12</v>
      </c>
      <c r="I15" s="8">
        <v>4.7634999999999998E-13</v>
      </c>
      <c r="J15" s="8"/>
      <c r="K15" s="1"/>
      <c r="L15" s="1"/>
      <c r="N15" s="7"/>
      <c r="O15">
        <f t="shared" si="4"/>
        <v>0.75806666666666667</v>
      </c>
      <c r="P15" s="6">
        <f t="shared" si="5"/>
        <v>99.953200334250909</v>
      </c>
      <c r="Q15" s="6">
        <f t="shared" si="0"/>
        <v>4.2329805458822234</v>
      </c>
      <c r="R15" s="6">
        <f t="shared" si="1"/>
        <v>0.37411930859159309</v>
      </c>
      <c r="S15" s="5">
        <f t="shared" si="2"/>
        <v>0</v>
      </c>
      <c r="T15" s="6">
        <f t="shared" si="3"/>
        <v>95.346100479777093</v>
      </c>
      <c r="U15" s="1">
        <f t="shared" si="3"/>
        <v>95.346100479777093</v>
      </c>
      <c r="V15" s="1">
        <f t="shared" si="3"/>
        <v>95.346100479777093</v>
      </c>
      <c r="X15" s="1"/>
      <c r="Y15" s="5"/>
      <c r="Z15" s="1"/>
      <c r="AA15" s="15" t="s">
        <v>11</v>
      </c>
      <c r="AB15" s="20">
        <f>AB8</f>
        <v>0</v>
      </c>
      <c r="AC15" s="1"/>
      <c r="AD15" s="1"/>
      <c r="AE15" s="1"/>
      <c r="AF15" s="44" t="s">
        <v>19</v>
      </c>
      <c r="AG15" s="44">
        <v>0.1</v>
      </c>
      <c r="AH15" s="1">
        <v>0.1</v>
      </c>
      <c r="AI15" s="1" t="s">
        <v>47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>
      <c r="B16" s="7">
        <v>53.676000000000002</v>
      </c>
      <c r="C16" s="8">
        <v>1.2083000000000001E-10</v>
      </c>
      <c r="D16" s="8">
        <v>1.2083000000000001E-10</v>
      </c>
      <c r="E16" s="8">
        <v>1.2083000000000001E-10</v>
      </c>
      <c r="F16" s="8">
        <v>2.9316000000000002E-12</v>
      </c>
      <c r="G16" s="8">
        <v>1.2594000000000001E-16</v>
      </c>
      <c r="H16" s="8">
        <v>2.9007999999999999E-12</v>
      </c>
      <c r="I16" s="8">
        <v>6.3387E-13</v>
      </c>
      <c r="J16" s="8"/>
      <c r="K16" s="1"/>
      <c r="L16" s="1"/>
      <c r="N16" s="7"/>
      <c r="O16">
        <f t="shared" si="4"/>
        <v>0.89460000000000006</v>
      </c>
      <c r="P16" s="6">
        <f t="shared" si="5"/>
        <v>99.952359038200882</v>
      </c>
      <c r="Q16" s="6">
        <f t="shared" si="0"/>
        <v>4.5795651522544025</v>
      </c>
      <c r="R16" s="6">
        <f t="shared" si="1"/>
        <v>0.49780977187688991</v>
      </c>
      <c r="S16" s="5">
        <f t="shared" si="2"/>
        <v>0</v>
      </c>
      <c r="T16" s="6">
        <f t="shared" si="3"/>
        <v>94.874984114069576</v>
      </c>
      <c r="U16" s="1">
        <f t="shared" si="3"/>
        <v>94.874984114069576</v>
      </c>
      <c r="V16" s="1">
        <f t="shared" si="3"/>
        <v>94.874984114069576</v>
      </c>
      <c r="X16" s="1"/>
      <c r="AD16" s="1"/>
      <c r="AE16" s="1"/>
      <c r="AF16" s="44" t="s">
        <v>63</v>
      </c>
      <c r="AG16" s="44" t="s">
        <v>64</v>
      </c>
      <c r="AH16" s="1" t="s">
        <v>65</v>
      </c>
      <c r="AI16" s="1" t="s">
        <v>66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>
      <c r="B17" s="7">
        <v>61.868000000000002</v>
      </c>
      <c r="C17" s="8">
        <v>1.2023000000000001E-10</v>
      </c>
      <c r="D17" s="8">
        <v>1.2023000000000001E-10</v>
      </c>
      <c r="E17" s="8">
        <v>1.2023000000000001E-10</v>
      </c>
      <c r="F17" s="8">
        <v>2.9162E-12</v>
      </c>
      <c r="G17" s="8">
        <v>1.3134000000000001E-16</v>
      </c>
      <c r="H17" s="8">
        <v>3.3558999999999999E-12</v>
      </c>
      <c r="I17" s="8">
        <v>7.9944999999999999E-13</v>
      </c>
      <c r="J17" s="8"/>
      <c r="K17" s="1"/>
      <c r="L17" s="1"/>
      <c r="N17" s="7"/>
      <c r="O17">
        <f t="shared" si="4"/>
        <v>1.0311333333333335</v>
      </c>
      <c r="P17" s="6">
        <f t="shared" si="5"/>
        <v>99.956509102266381</v>
      </c>
      <c r="Q17" s="6">
        <f t="shared" si="0"/>
        <v>4.924814928923742</v>
      </c>
      <c r="R17" s="6">
        <f t="shared" si="1"/>
        <v>0.6278264249806047</v>
      </c>
      <c r="S17" s="5">
        <f t="shared" si="2"/>
        <v>0</v>
      </c>
      <c r="T17" s="6">
        <f t="shared" si="3"/>
        <v>94.403867748362046</v>
      </c>
      <c r="U17" s="1">
        <f t="shared" si="3"/>
        <v>94.403867748362046</v>
      </c>
      <c r="V17" s="1">
        <f t="shared" si="3"/>
        <v>94.403867748362046</v>
      </c>
      <c r="X17" s="5"/>
      <c r="Y17" s="5"/>
      <c r="Z17" s="5"/>
      <c r="AA17" s="5"/>
      <c r="AB17" s="5"/>
      <c r="AC17" s="1"/>
      <c r="AD17" s="5"/>
      <c r="AE17" s="5"/>
      <c r="AF17" s="44" t="s">
        <v>67</v>
      </c>
      <c r="AG17" s="44">
        <v>0.7</v>
      </c>
      <c r="AH17" s="1">
        <v>0.7</v>
      </c>
      <c r="AI17" s="1" t="s">
        <v>68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>
      <c r="B18" s="7">
        <v>70.06</v>
      </c>
      <c r="C18" s="8">
        <v>1.1962E-10</v>
      </c>
      <c r="D18" s="8">
        <v>1.1962E-10</v>
      </c>
      <c r="E18" s="8">
        <v>1.1962E-10</v>
      </c>
      <c r="F18" s="8">
        <v>2.9009999999999999E-12</v>
      </c>
      <c r="G18" s="8">
        <v>1.3398000000000001E-16</v>
      </c>
      <c r="H18" s="8">
        <v>3.8089999999999996E-12</v>
      </c>
      <c r="I18" s="8">
        <v>9.6996000000000004E-13</v>
      </c>
      <c r="J18" s="8"/>
      <c r="K18" s="1"/>
      <c r="L18" s="1"/>
      <c r="N18" s="7"/>
      <c r="O18">
        <f t="shared" si="4"/>
        <v>1.1676666666666666</v>
      </c>
      <c r="P18" s="6">
        <f t="shared" si="5"/>
        <v>99.955262716809258</v>
      </c>
      <c r="Q18" s="6">
        <f t="shared" si="0"/>
        <v>5.2686513564959601</v>
      </c>
      <c r="R18" s="6">
        <f t="shared" si="1"/>
        <v>0.76171191708726749</v>
      </c>
      <c r="S18" s="5">
        <f t="shared" si="2"/>
        <v>0</v>
      </c>
      <c r="T18" s="6">
        <f t="shared" ref="T18:V81" si="6">C18/$A$1*100</f>
        <v>93.924899443226039</v>
      </c>
      <c r="U18" s="1">
        <f t="shared" si="6"/>
        <v>93.924899443226039</v>
      </c>
      <c r="V18" s="1">
        <f t="shared" si="6"/>
        <v>93.924899443226039</v>
      </c>
      <c r="X18" s="5"/>
      <c r="Y18" s="5"/>
      <c r="Z18" s="5"/>
      <c r="AA18" s="5"/>
      <c r="AB18" s="5"/>
      <c r="AC18" s="1"/>
      <c r="AD18" s="5"/>
      <c r="AE18" s="5"/>
      <c r="AF18" s="43" t="s">
        <v>69</v>
      </c>
      <c r="AG18" s="44" t="s">
        <v>70</v>
      </c>
      <c r="AH18" s="1" t="s">
        <v>71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>
      <c r="B19" s="7">
        <v>78.251999999999995</v>
      </c>
      <c r="C19" s="8">
        <v>1.1901000000000001E-10</v>
      </c>
      <c r="D19" s="8">
        <v>1.1901000000000001E-10</v>
      </c>
      <c r="E19" s="8">
        <v>1.1901000000000001E-10</v>
      </c>
      <c r="F19" s="8">
        <v>2.8859000000000001E-12</v>
      </c>
      <c r="G19" s="8">
        <v>1.3556E-16</v>
      </c>
      <c r="H19" s="8">
        <v>4.26E-12</v>
      </c>
      <c r="I19" s="8">
        <v>1.1434E-12</v>
      </c>
      <c r="J19" s="8"/>
      <c r="K19" s="1"/>
      <c r="L19" s="1"/>
      <c r="N19" s="7"/>
      <c r="O19">
        <f t="shared" si="4"/>
        <v>1.3042</v>
      </c>
      <c r="P19" s="6">
        <f t="shared" si="5"/>
        <v>99.954745729413432</v>
      </c>
      <c r="Q19" s="6">
        <f t="shared" si="0"/>
        <v>5.6109173961824865</v>
      </c>
      <c r="R19" s="6">
        <f t="shared" si="1"/>
        <v>0.89789719514088928</v>
      </c>
      <c r="S19" s="5">
        <f t="shared" si="2"/>
        <v>0</v>
      </c>
      <c r="T19" s="6">
        <f t="shared" si="6"/>
        <v>93.44593113809006</v>
      </c>
      <c r="U19" s="1">
        <f t="shared" si="6"/>
        <v>93.44593113809006</v>
      </c>
      <c r="V19" s="1">
        <f t="shared" si="6"/>
        <v>93.44593113809006</v>
      </c>
      <c r="X19" s="5"/>
      <c r="Y19" s="5"/>
      <c r="Z19" s="5"/>
      <c r="AA19" s="5"/>
      <c r="AB19" s="5"/>
      <c r="AC19" s="1"/>
      <c r="AD19" s="5"/>
      <c r="AE19" s="5"/>
      <c r="AF19" s="43" t="s">
        <v>72</v>
      </c>
      <c r="AG19" s="44" t="s">
        <v>73</v>
      </c>
      <c r="AH19" s="1" t="s">
        <v>74</v>
      </c>
      <c r="AI19" s="1" t="s">
        <v>75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>
      <c r="B20" s="7">
        <v>94.635999999999996</v>
      </c>
      <c r="C20" s="8">
        <v>1.1778999999999999E-10</v>
      </c>
      <c r="D20" s="8">
        <v>1.1778999999999999E-10</v>
      </c>
      <c r="E20" s="8">
        <v>1.1778999999999999E-10</v>
      </c>
      <c r="F20" s="8">
        <v>2.8560999999999999E-12</v>
      </c>
      <c r="G20" s="8">
        <v>1.3399000000000001E-16</v>
      </c>
      <c r="H20" s="8">
        <v>5.1555E-12</v>
      </c>
      <c r="I20" s="8">
        <v>1.4940000000000001E-12</v>
      </c>
      <c r="J20" s="8"/>
      <c r="K20" s="1"/>
      <c r="L20" s="1"/>
      <c r="N20" s="7"/>
      <c r="O20">
        <f t="shared" si="4"/>
        <v>1.5772666666666666</v>
      </c>
      <c r="P20" s="6">
        <f t="shared" si="5"/>
        <v>99.95183927907037</v>
      </c>
      <c r="Q20" s="6">
        <f t="shared" si="0"/>
        <v>6.2906597925041776</v>
      </c>
      <c r="R20" s="6">
        <f t="shared" si="1"/>
        <v>1.1731849587481702</v>
      </c>
      <c r="S20" s="5">
        <f t="shared" si="2"/>
        <v>0</v>
      </c>
      <c r="T20" s="6">
        <f t="shared" si="6"/>
        <v>92.487994527818046</v>
      </c>
      <c r="U20" s="1">
        <f t="shared" si="6"/>
        <v>92.487994527818046</v>
      </c>
      <c r="V20" s="1">
        <f t="shared" si="6"/>
        <v>92.487994527818046</v>
      </c>
      <c r="X20" s="5"/>
      <c r="Y20" s="5"/>
      <c r="Z20" s="5"/>
      <c r="AA20" s="5"/>
      <c r="AB20" s="5"/>
      <c r="AC20" s="1"/>
      <c r="AD20" s="5"/>
      <c r="AE20" s="5"/>
      <c r="AF20" s="43" t="s">
        <v>76</v>
      </c>
      <c r="AG20" s="44" t="s">
        <v>77</v>
      </c>
      <c r="AH20" s="1" t="s">
        <v>78</v>
      </c>
      <c r="AI20" s="1" t="s">
        <v>79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>
      <c r="B21" s="7">
        <v>111.02</v>
      </c>
      <c r="C21" s="8">
        <v>1.1658E-10</v>
      </c>
      <c r="D21" s="8">
        <v>1.1658E-10</v>
      </c>
      <c r="E21" s="8">
        <v>1.1658E-10</v>
      </c>
      <c r="F21" s="8">
        <v>2.8266000000000001E-12</v>
      </c>
      <c r="G21" s="8">
        <v>1.3281000000000001E-16</v>
      </c>
      <c r="H21" s="8">
        <v>6.0422999999999998E-12</v>
      </c>
      <c r="I21" s="8">
        <v>1.8459E-12</v>
      </c>
      <c r="J21" s="8"/>
      <c r="K21" s="1"/>
      <c r="L21" s="1"/>
      <c r="N21" s="7"/>
      <c r="O21">
        <f t="shared" si="4"/>
        <v>1.8503333333333332</v>
      </c>
      <c r="P21" s="6">
        <f t="shared" si="5"/>
        <v>99.951210197387269</v>
      </c>
      <c r="Q21" s="6">
        <f t="shared" si="0"/>
        <v>6.9638065597059633</v>
      </c>
      <c r="R21" s="6">
        <f t="shared" si="1"/>
        <v>1.4494937807067882</v>
      </c>
      <c r="S21" s="5">
        <f t="shared" si="2"/>
        <v>0</v>
      </c>
      <c r="T21" s="6">
        <f t="shared" si="6"/>
        <v>91.537909856974522</v>
      </c>
      <c r="U21" s="1">
        <f t="shared" si="6"/>
        <v>91.537909856974522</v>
      </c>
      <c r="V21" s="1">
        <f t="shared" si="6"/>
        <v>91.537909856974522</v>
      </c>
      <c r="X21" s="5"/>
      <c r="Y21" s="5"/>
      <c r="Z21" s="5"/>
      <c r="AA21" s="5"/>
      <c r="AB21" s="5"/>
      <c r="AC21" s="1"/>
      <c r="AD21" s="5"/>
      <c r="AE21" s="5"/>
      <c r="AF21" s="43" t="s">
        <v>80</v>
      </c>
      <c r="AG21" s="44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49"/>
      <c r="AW21" s="49"/>
      <c r="AX21" s="49"/>
      <c r="AY21" s="49"/>
      <c r="AZ21" s="49"/>
      <c r="BA21" s="49"/>
      <c r="BB21" s="49"/>
      <c r="BC21" s="49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>
      <c r="B22" s="7">
        <v>127.4</v>
      </c>
      <c r="C22" s="8">
        <v>1.1537E-10</v>
      </c>
      <c r="D22" s="8">
        <v>1.1537E-10</v>
      </c>
      <c r="E22" s="8">
        <v>1.1537E-10</v>
      </c>
      <c r="F22" s="8">
        <v>2.7975000000000001E-12</v>
      </c>
      <c r="G22" s="8">
        <v>1.3411E-16</v>
      </c>
      <c r="H22" s="8">
        <v>6.9202000000000003E-12</v>
      </c>
      <c r="I22" s="8">
        <v>2.1961999999999999E-12</v>
      </c>
      <c r="J22" s="8"/>
      <c r="K22" s="1"/>
      <c r="L22" s="1"/>
      <c r="N22" s="7"/>
      <c r="O22">
        <f t="shared" si="4"/>
        <v>2.1233333333333335</v>
      </c>
      <c r="P22" s="6">
        <f t="shared" si="5"/>
        <v>99.942652604162362</v>
      </c>
      <c r="Q22" s="6">
        <f t="shared" si="0"/>
        <v>7.6302791783935602</v>
      </c>
      <c r="R22" s="6">
        <f t="shared" si="1"/>
        <v>1.7245482396378309</v>
      </c>
      <c r="S22" s="5">
        <f t="shared" si="2"/>
        <v>0</v>
      </c>
      <c r="T22" s="6">
        <f t="shared" si="6"/>
        <v>90.587825186130971</v>
      </c>
      <c r="U22" s="1">
        <f t="shared" si="6"/>
        <v>90.587825186130971</v>
      </c>
      <c r="V22" s="1">
        <f t="shared" si="6"/>
        <v>90.587825186130971</v>
      </c>
      <c r="X22" s="5"/>
      <c r="Y22" s="5"/>
      <c r="Z22" s="5"/>
      <c r="AA22" s="5"/>
      <c r="AB22" s="5"/>
      <c r="AC22" s="1"/>
      <c r="AD22" s="5"/>
      <c r="AE22" s="5"/>
      <c r="AF22" s="1" t="s">
        <v>144</v>
      </c>
      <c r="AG22" s="1" t="s">
        <v>145</v>
      </c>
      <c r="AH22" s="1" t="s">
        <v>146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>
      <c r="B23" s="7">
        <v>143.79</v>
      </c>
      <c r="C23" s="8">
        <v>1.1418E-10</v>
      </c>
      <c r="D23" s="8">
        <v>1.1418E-10</v>
      </c>
      <c r="E23" s="8">
        <v>1.1418E-10</v>
      </c>
      <c r="F23" s="8">
        <v>2.7686000000000001E-12</v>
      </c>
      <c r="G23" s="8">
        <v>1.3366000000000001E-16</v>
      </c>
      <c r="H23" s="8">
        <v>7.7892E-12</v>
      </c>
      <c r="I23" s="8">
        <v>2.5437000000000002E-12</v>
      </c>
      <c r="J23" s="8"/>
      <c r="K23" s="1"/>
      <c r="L23" s="1"/>
      <c r="N23" s="7"/>
      <c r="O23">
        <f t="shared" si="4"/>
        <v>2.3965000000000001</v>
      </c>
      <c r="P23" s="6">
        <f t="shared" si="5"/>
        <v>99.940767785362269</v>
      </c>
      <c r="Q23" s="6">
        <f t="shared" si="0"/>
        <v>8.2899206097783971</v>
      </c>
      <c r="R23" s="6">
        <f t="shared" si="1"/>
        <v>1.9974027814395057</v>
      </c>
      <c r="S23" s="5">
        <f t="shared" si="2"/>
        <v>0</v>
      </c>
      <c r="T23" s="6">
        <f t="shared" si="6"/>
        <v>89.653444394144373</v>
      </c>
      <c r="U23" s="1">
        <f t="shared" si="6"/>
        <v>89.653444394144373</v>
      </c>
      <c r="V23" s="1">
        <f t="shared" si="6"/>
        <v>89.653444394144373</v>
      </c>
      <c r="X23" s="5"/>
      <c r="Y23" s="5"/>
      <c r="Z23" s="5"/>
      <c r="AA23" s="5"/>
      <c r="AB23" s="5"/>
      <c r="AC23" s="1"/>
      <c r="AD23" s="5"/>
      <c r="AE23" s="5"/>
      <c r="AF23" s="1" t="s">
        <v>147</v>
      </c>
      <c r="AG23" s="1" t="s">
        <v>148</v>
      </c>
      <c r="AH23" s="1" t="s">
        <v>149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>
      <c r="B24" s="7">
        <v>176.56</v>
      </c>
      <c r="C24" s="8">
        <v>1.1184E-10</v>
      </c>
      <c r="D24" s="8">
        <v>1.1184E-10</v>
      </c>
      <c r="E24" s="8">
        <v>1.1184E-10</v>
      </c>
      <c r="F24" s="8">
        <v>2.7116999999999998E-12</v>
      </c>
      <c r="G24" s="8">
        <v>1.2744000000000001E-16</v>
      </c>
      <c r="H24" s="8">
        <v>9.5006999999999997E-12</v>
      </c>
      <c r="I24" s="8">
        <v>3.2284999999999998E-12</v>
      </c>
      <c r="J24" s="8"/>
      <c r="K24" s="1"/>
      <c r="L24" s="1"/>
      <c r="N24" s="7"/>
      <c r="O24">
        <f t="shared" si="4"/>
        <v>2.9426666666666668</v>
      </c>
      <c r="P24" s="6">
        <f t="shared" si="5"/>
        <v>99.940291785090224</v>
      </c>
      <c r="Q24" s="6">
        <f t="shared" si="0"/>
        <v>9.5891025076112157</v>
      </c>
      <c r="R24" s="6">
        <f t="shared" si="1"/>
        <v>2.5350987095940503</v>
      </c>
      <c r="S24" s="5">
        <f t="shared" si="2"/>
        <v>0</v>
      </c>
      <c r="T24" s="6">
        <f t="shared" si="6"/>
        <v>87.81609056788497</v>
      </c>
      <c r="U24" s="1">
        <f t="shared" si="6"/>
        <v>87.81609056788497</v>
      </c>
      <c r="V24" s="1">
        <f t="shared" si="6"/>
        <v>87.81609056788497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>
      <c r="B25" s="7">
        <v>242.09</v>
      </c>
      <c r="C25" s="8">
        <v>1.0738E-10</v>
      </c>
      <c r="D25" s="8">
        <v>1.0738E-10</v>
      </c>
      <c r="E25" s="8">
        <v>1.0738E-10</v>
      </c>
      <c r="F25" s="8">
        <v>2.6035999999999999E-12</v>
      </c>
      <c r="G25" s="8">
        <v>1.2284999999999999E-16</v>
      </c>
      <c r="H25" s="8">
        <v>1.2821E-11</v>
      </c>
      <c r="I25" s="8">
        <v>4.5564999999999998E-12</v>
      </c>
      <c r="J25" s="8"/>
      <c r="K25" s="1"/>
      <c r="L25" s="1"/>
      <c r="N25" s="7"/>
      <c r="O25">
        <f t="shared" si="4"/>
        <v>4.0348333333333333</v>
      </c>
      <c r="P25" s="6">
        <f t="shared" si="5"/>
        <v>100.00326073526628</v>
      </c>
      <c r="Q25" s="6">
        <f t="shared" si="0"/>
        <v>12.111302490820803</v>
      </c>
      <c r="R25" s="6">
        <f t="shared" si="1"/>
        <v>3.5778326616532019</v>
      </c>
      <c r="S25" s="5">
        <f t="shared" si="2"/>
        <v>0</v>
      </c>
      <c r="T25" s="6">
        <f t="shared" si="6"/>
        <v>84.314125582792272</v>
      </c>
      <c r="U25" s="1">
        <f t="shared" si="6"/>
        <v>84.314125582792272</v>
      </c>
      <c r="V25" s="1">
        <f t="shared" si="6"/>
        <v>84.314125582792272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>
      <c r="B26" s="7">
        <v>307.63</v>
      </c>
      <c r="C26" s="8">
        <v>1.031E-10</v>
      </c>
      <c r="D26" s="8">
        <v>1.031E-10</v>
      </c>
      <c r="E26" s="8">
        <v>1.031E-10</v>
      </c>
      <c r="F26" s="8">
        <v>2.4997999999999999E-12</v>
      </c>
      <c r="G26" s="8">
        <v>1.2174000000000001E-16</v>
      </c>
      <c r="H26" s="8">
        <v>1.6008999999999999E-11</v>
      </c>
      <c r="I26" s="8">
        <v>5.8318999999999998E-12</v>
      </c>
      <c r="J26" s="8"/>
      <c r="K26" s="1"/>
      <c r="L26" s="1"/>
      <c r="N26" s="7"/>
      <c r="O26">
        <f t="shared" si="4"/>
        <v>5.1271666666666667</v>
      </c>
      <c r="P26" s="6">
        <f t="shared" si="5"/>
        <v>100.06576130155153</v>
      </c>
      <c r="Q26" s="6">
        <f t="shared" si="0"/>
        <v>14.532997649346113</v>
      </c>
      <c r="R26" s="6">
        <f t="shared" si="1"/>
        <v>4.5792681447935806</v>
      </c>
      <c r="S26" s="5">
        <f t="shared" si="2"/>
        <v>0</v>
      </c>
      <c r="T26" s="6">
        <f t="shared" si="6"/>
        <v>80.953495507411844</v>
      </c>
      <c r="U26" s="1">
        <f t="shared" si="6"/>
        <v>80.953495507411844</v>
      </c>
      <c r="V26" s="1">
        <f t="shared" si="6"/>
        <v>80.953495507411844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>
      <c r="B27" s="7">
        <v>438.7</v>
      </c>
      <c r="C27" s="8">
        <v>9.5186000000000001E-11</v>
      </c>
      <c r="D27" s="8">
        <v>9.5186000000000001E-11</v>
      </c>
      <c r="E27" s="8">
        <v>9.5186000000000001E-11</v>
      </c>
      <c r="F27" s="8">
        <v>2.3078999999999999E-12</v>
      </c>
      <c r="G27" s="8">
        <v>1.1184000000000001E-16</v>
      </c>
      <c r="H27" s="8">
        <v>2.2015000000000001E-11</v>
      </c>
      <c r="I27" s="8">
        <v>8.236E-12</v>
      </c>
      <c r="J27" s="8"/>
      <c r="K27" s="1"/>
      <c r="L27" s="1"/>
      <c r="N27" s="7"/>
      <c r="O27">
        <f t="shared" si="4"/>
        <v>7.3116666666666665</v>
      </c>
      <c r="P27" s="6">
        <f t="shared" si="5"/>
        <v>100.30460952554523</v>
      </c>
      <c r="Q27" s="6">
        <f t="shared" si="0"/>
        <v>19.098193752446434</v>
      </c>
      <c r="R27" s="6">
        <f t="shared" si="1"/>
        <v>6.4669451293693641</v>
      </c>
      <c r="S27" s="5">
        <f t="shared" si="2"/>
        <v>0</v>
      </c>
      <c r="T27" s="6">
        <f t="shared" si="6"/>
        <v>74.739470643729419</v>
      </c>
      <c r="U27" s="1">
        <f t="shared" si="6"/>
        <v>74.739470643729419</v>
      </c>
      <c r="V27" s="1">
        <f t="shared" si="6"/>
        <v>74.739470643729419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>
      <c r="B28" s="7">
        <v>569.77</v>
      </c>
      <c r="C28" s="8">
        <v>8.7882000000000002E-11</v>
      </c>
      <c r="D28" s="8">
        <v>8.7882000000000002E-11</v>
      </c>
      <c r="E28" s="8">
        <v>8.7882000000000002E-11</v>
      </c>
      <c r="F28" s="8">
        <v>2.1309000000000001E-12</v>
      </c>
      <c r="G28" s="8">
        <v>1.042E-16</v>
      </c>
      <c r="H28" s="8">
        <v>2.756E-11</v>
      </c>
      <c r="I28" s="8">
        <v>1.0456E-11</v>
      </c>
      <c r="J28" s="8"/>
      <c r="K28" s="1"/>
      <c r="L28" s="1"/>
      <c r="N28" s="7"/>
      <c r="O28">
        <f t="shared" si="4"/>
        <v>9.4961666666666655</v>
      </c>
      <c r="P28" s="6">
        <f t="shared" si="5"/>
        <v>100.52759860643175</v>
      </c>
      <c r="Q28" s="6">
        <f t="shared" si="0"/>
        <v>23.313114837643205</v>
      </c>
      <c r="R28" s="6">
        <f t="shared" si="1"/>
        <v>8.2100696836055302</v>
      </c>
      <c r="S28" s="5">
        <f t="shared" si="2"/>
        <v>0</v>
      </c>
      <c r="T28" s="6">
        <f t="shared" si="6"/>
        <v>69.004414085183015</v>
      </c>
      <c r="U28" s="1">
        <f t="shared" si="6"/>
        <v>69.004414085183015</v>
      </c>
      <c r="V28" s="1">
        <f t="shared" si="6"/>
        <v>69.004414085183015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>
      <c r="B29" s="7">
        <v>700.84</v>
      </c>
      <c r="C29" s="8">
        <v>8.1138999999999995E-11</v>
      </c>
      <c r="D29" s="8">
        <v>8.1138999999999995E-11</v>
      </c>
      <c r="E29" s="8">
        <v>8.1138999999999995E-11</v>
      </c>
      <c r="F29" s="8">
        <v>1.9673999999999999E-12</v>
      </c>
      <c r="G29" s="8">
        <v>9.5883999999999999E-17</v>
      </c>
      <c r="H29" s="8">
        <v>3.2679999999999997E-11</v>
      </c>
      <c r="I29" s="8">
        <v>1.2505E-11</v>
      </c>
      <c r="J29" s="8"/>
      <c r="K29" s="1"/>
      <c r="L29" s="1"/>
      <c r="N29" s="7"/>
      <c r="O29">
        <f t="shared" si="4"/>
        <v>11.680666666666667</v>
      </c>
      <c r="P29" s="6">
        <f t="shared" si="5"/>
        <v>100.73370548675594</v>
      </c>
      <c r="Q29" s="6">
        <f t="shared" si="0"/>
        <v>27.204928615358881</v>
      </c>
      <c r="R29" s="6">
        <f t="shared" si="1"/>
        <v>9.8189255428239406</v>
      </c>
      <c r="S29" s="5">
        <f t="shared" si="2"/>
        <v>0</v>
      </c>
      <c r="T29" s="6">
        <f t="shared" si="6"/>
        <v>63.709851328573123</v>
      </c>
      <c r="U29" s="1">
        <f t="shared" si="6"/>
        <v>63.709851328573123</v>
      </c>
      <c r="V29" s="1">
        <f t="shared" si="6"/>
        <v>63.709851328573123</v>
      </c>
      <c r="X29" s="5"/>
      <c r="Y29" s="5"/>
      <c r="Z29" s="5"/>
      <c r="AA29" s="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>
      <c r="B30" s="7">
        <v>962.99</v>
      </c>
      <c r="C30" s="8">
        <v>6.8841E-11</v>
      </c>
      <c r="D30" s="8">
        <v>6.8841E-11</v>
      </c>
      <c r="E30" s="8">
        <v>6.8841E-11</v>
      </c>
      <c r="F30" s="8">
        <v>1.6692E-12</v>
      </c>
      <c r="G30" s="8">
        <v>7.9000000000000002E-17</v>
      </c>
      <c r="H30" s="8">
        <v>4.1766E-11</v>
      </c>
      <c r="I30" s="8">
        <v>1.6141000000000001E-11</v>
      </c>
      <c r="J30" s="8"/>
      <c r="K30" s="1"/>
      <c r="L30" s="1"/>
      <c r="N30" s="7"/>
      <c r="O30">
        <f t="shared" si="4"/>
        <v>16.049833333333332</v>
      </c>
      <c r="P30" s="6">
        <f t="shared" si="5"/>
        <v>100.83246962755143</v>
      </c>
      <c r="Q30" s="6">
        <f t="shared" si="0"/>
        <v>34.105055946300048</v>
      </c>
      <c r="R30" s="6">
        <f t="shared" si="1"/>
        <v>12.673877461797087</v>
      </c>
      <c r="S30" s="5">
        <f t="shared" si="2"/>
        <v>0</v>
      </c>
      <c r="T30" s="6">
        <f t="shared" si="6"/>
        <v>54.053536219454301</v>
      </c>
      <c r="U30" s="1">
        <f t="shared" si="6"/>
        <v>54.053536219454301</v>
      </c>
      <c r="V30" s="1">
        <f t="shared" si="6"/>
        <v>54.053536219454301</v>
      </c>
      <c r="X30" s="5"/>
      <c r="Y30" s="5"/>
      <c r="Z30" s="5"/>
      <c r="AA30" s="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>
      <c r="B31" s="7">
        <v>1225.0999999999999</v>
      </c>
      <c r="C31" s="8">
        <v>5.8287E-11</v>
      </c>
      <c r="D31" s="8">
        <v>5.8287E-11</v>
      </c>
      <c r="E31" s="8">
        <v>5.8287E-11</v>
      </c>
      <c r="F31" s="8">
        <v>1.4133E-12</v>
      </c>
      <c r="G31" s="8">
        <v>6.6522000000000004E-17</v>
      </c>
      <c r="H31" s="8">
        <v>4.9468E-11</v>
      </c>
      <c r="I31" s="8">
        <v>1.9221000000000001E-11</v>
      </c>
      <c r="J31" s="8"/>
      <c r="K31" s="1"/>
      <c r="L31" s="1"/>
      <c r="N31" s="7"/>
      <c r="O31">
        <f t="shared" si="4"/>
        <v>20.418333333333333</v>
      </c>
      <c r="P31" s="6">
        <f t="shared" si="5"/>
        <v>100.81055291889602</v>
      </c>
      <c r="Q31" s="6">
        <f t="shared" si="0"/>
        <v>39.951688564124872</v>
      </c>
      <c r="R31" s="6">
        <f t="shared" si="1"/>
        <v>15.092265008112427</v>
      </c>
      <c r="S31" s="5">
        <f t="shared" si="2"/>
        <v>0</v>
      </c>
      <c r="T31" s="6">
        <f t="shared" si="6"/>
        <v>45.766599346658722</v>
      </c>
      <c r="U31" s="1">
        <f t="shared" si="6"/>
        <v>45.766599346658722</v>
      </c>
      <c r="V31" s="1">
        <f t="shared" si="6"/>
        <v>45.766599346658722</v>
      </c>
      <c r="X31" s="5"/>
      <c r="Y31" s="5"/>
      <c r="Z31" s="5"/>
      <c r="AA31" s="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>
      <c r="B32" s="7">
        <v>1487.3</v>
      </c>
      <c r="C32" s="8">
        <v>4.9312E-11</v>
      </c>
      <c r="D32" s="8">
        <v>4.9312E-11</v>
      </c>
      <c r="E32" s="8">
        <v>4.9312E-11</v>
      </c>
      <c r="F32" s="8">
        <v>1.1956000000000001E-12</v>
      </c>
      <c r="G32" s="8">
        <v>5.7442E-17</v>
      </c>
      <c r="H32" s="8">
        <v>5.5986999999999999E-11</v>
      </c>
      <c r="I32" s="8">
        <v>2.1827999999999999E-11</v>
      </c>
      <c r="J32" s="8"/>
      <c r="K32" s="1"/>
      <c r="L32" s="1"/>
      <c r="N32" s="7"/>
      <c r="O32">
        <f t="shared" si="4"/>
        <v>24.788333333333334</v>
      </c>
      <c r="P32" s="6">
        <f t="shared" si="5"/>
        <v>100.75817335334717</v>
      </c>
      <c r="Q32" s="6">
        <f t="shared" si="0"/>
        <v>44.899431156179716</v>
      </c>
      <c r="R32" s="6">
        <f t="shared" si="1"/>
        <v>17.139258487550673</v>
      </c>
      <c r="S32" s="5">
        <f t="shared" si="2"/>
        <v>0</v>
      </c>
      <c r="T32" s="6">
        <f t="shared" si="6"/>
        <v>38.71948370961681</v>
      </c>
      <c r="U32" s="1">
        <f t="shared" si="6"/>
        <v>38.71948370961681</v>
      </c>
      <c r="V32" s="1">
        <f t="shared" si="6"/>
        <v>38.71948370961681</v>
      </c>
      <c r="X32" s="5"/>
      <c r="Y32" s="5"/>
      <c r="Z32" s="5"/>
      <c r="AA32" s="5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>
      <c r="B33" s="7">
        <v>1749.4</v>
      </c>
      <c r="C33" s="8">
        <v>4.1705E-11</v>
      </c>
      <c r="D33" s="8">
        <v>4.1705E-11</v>
      </c>
      <c r="E33" s="8">
        <v>4.1705E-11</v>
      </c>
      <c r="F33" s="8">
        <v>1.0112E-12</v>
      </c>
      <c r="G33" s="8">
        <v>4.8733000000000001E-17</v>
      </c>
      <c r="H33" s="8">
        <v>6.1501000000000003E-11</v>
      </c>
      <c r="I33" s="8">
        <v>2.4033999999999999E-11</v>
      </c>
      <c r="J33" s="8"/>
      <c r="K33" s="1"/>
      <c r="L33" s="1"/>
      <c r="N33" s="7"/>
      <c r="O33">
        <f t="shared" si="4"/>
        <v>29.15666666666667</v>
      </c>
      <c r="P33" s="6">
        <f t="shared" si="5"/>
        <v>100.70210366757395</v>
      </c>
      <c r="Q33" s="6">
        <f t="shared" si="0"/>
        <v>49.084200793971199</v>
      </c>
      <c r="R33" s="6">
        <f t="shared" si="1"/>
        <v>18.871389487214675</v>
      </c>
      <c r="S33" s="5">
        <f t="shared" si="2"/>
        <v>0</v>
      </c>
      <c r="T33" s="6">
        <f t="shared" si="6"/>
        <v>32.746513386388074</v>
      </c>
      <c r="U33" s="1">
        <f t="shared" si="6"/>
        <v>32.746513386388074</v>
      </c>
      <c r="V33" s="1">
        <f t="shared" si="6"/>
        <v>32.746513386388074</v>
      </c>
      <c r="X33" s="5"/>
      <c r="Y33" s="5"/>
      <c r="Z33" s="5"/>
      <c r="AA33" s="5"/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>
      <c r="B34" s="7">
        <v>2011.6</v>
      </c>
      <c r="C34" s="8">
        <v>3.5266999999999998E-11</v>
      </c>
      <c r="D34" s="8">
        <v>3.5266999999999998E-11</v>
      </c>
      <c r="E34" s="8">
        <v>3.5266999999999998E-11</v>
      </c>
      <c r="F34" s="8">
        <v>8.5512E-13</v>
      </c>
      <c r="G34" s="8">
        <v>4.078E-17</v>
      </c>
      <c r="H34" s="8">
        <v>6.6164000000000003E-11</v>
      </c>
      <c r="I34" s="8">
        <v>2.5899E-11</v>
      </c>
      <c r="J34" s="8"/>
      <c r="K34" s="1"/>
      <c r="L34" s="1"/>
      <c r="N34" s="7"/>
      <c r="O34">
        <f t="shared" si="4"/>
        <v>33.526666666666664</v>
      </c>
      <c r="P34" s="6">
        <f t="shared" si="5"/>
        <v>100.65021180718325</v>
      </c>
      <c r="Q34" s="6">
        <f t="shared" si="0"/>
        <v>52.62300707886223</v>
      </c>
      <c r="R34" s="6">
        <f t="shared" si="1"/>
        <v>20.335769945974842</v>
      </c>
      <c r="S34" s="5">
        <f t="shared" si="2"/>
        <v>0</v>
      </c>
      <c r="T34" s="6">
        <f t="shared" si="6"/>
        <v>27.691434782346203</v>
      </c>
      <c r="U34" s="1">
        <f t="shared" si="6"/>
        <v>27.691434782346203</v>
      </c>
      <c r="V34" s="1">
        <f t="shared" si="6"/>
        <v>27.691434782346203</v>
      </c>
      <c r="X34" s="5"/>
      <c r="Y34" s="5"/>
      <c r="Z34" s="5"/>
      <c r="AA34" s="5"/>
      <c r="AB34" s="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>
      <c r="B35" s="7">
        <v>2273.6999999999998</v>
      </c>
      <c r="C35" s="8">
        <v>2.9821999999999998E-11</v>
      </c>
      <c r="D35" s="8">
        <v>2.9821999999999998E-11</v>
      </c>
      <c r="E35" s="8">
        <v>2.9821999999999998E-11</v>
      </c>
      <c r="F35" s="8">
        <v>7.2307999999999998E-13</v>
      </c>
      <c r="G35" s="8">
        <v>3.4232000000000001E-17</v>
      </c>
      <c r="H35" s="8">
        <v>7.0107000000000004E-11</v>
      </c>
      <c r="I35" s="8">
        <v>2.7475000000000001E-11</v>
      </c>
      <c r="J35" s="8"/>
      <c r="K35" s="1"/>
      <c r="L35" s="1"/>
      <c r="N35" s="7"/>
      <c r="O35">
        <f t="shared" si="4"/>
        <v>37.894999999999996</v>
      </c>
      <c r="P35" s="6">
        <f t="shared" si="5"/>
        <v>100.60463400929054</v>
      </c>
      <c r="Q35" s="6">
        <f t="shared" si="0"/>
        <v>55.615349787290228</v>
      </c>
      <c r="R35" s="6">
        <f t="shared" si="1"/>
        <v>21.573230458450034</v>
      </c>
      <c r="S35" s="5">
        <f t="shared" si="2"/>
        <v>0</v>
      </c>
      <c r="T35" s="6">
        <f t="shared" si="6"/>
        <v>23.416053763550298</v>
      </c>
      <c r="U35" s="1">
        <f t="shared" si="6"/>
        <v>23.416053763550298</v>
      </c>
      <c r="V35" s="1">
        <f t="shared" si="6"/>
        <v>23.416053763550298</v>
      </c>
      <c r="X35" s="5"/>
      <c r="Y35" s="5"/>
      <c r="Z35" s="5"/>
      <c r="AA35" s="5"/>
      <c r="AB35" s="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>
      <c r="B36" s="7">
        <v>2535.9</v>
      </c>
      <c r="C36" s="8">
        <v>2.5217000000000001E-11</v>
      </c>
      <c r="D36" s="8">
        <v>2.5217000000000001E-11</v>
      </c>
      <c r="E36" s="8">
        <v>2.5217000000000001E-11</v>
      </c>
      <c r="F36" s="8">
        <v>6.1142000000000003E-13</v>
      </c>
      <c r="G36" s="8">
        <v>2.9085000000000002E-17</v>
      </c>
      <c r="H36" s="8">
        <v>7.3441999999999998E-11</v>
      </c>
      <c r="I36" s="8">
        <v>2.8808000000000001E-11</v>
      </c>
      <c r="J36" s="8"/>
      <c r="K36" s="1"/>
      <c r="L36" s="1"/>
      <c r="N36" s="7"/>
      <c r="O36">
        <f t="shared" si="4"/>
        <v>42.265000000000001</v>
      </c>
      <c r="P36" s="6">
        <f t="shared" si="5"/>
        <v>100.56642243063843</v>
      </c>
      <c r="Q36" s="6">
        <f t="shared" si="0"/>
        <v>58.146296831023101</v>
      </c>
      <c r="R36" s="6">
        <f t="shared" si="1"/>
        <v>22.61988994287039</v>
      </c>
      <c r="S36" s="5">
        <f t="shared" si="2"/>
        <v>0</v>
      </c>
      <c r="T36" s="6">
        <f t="shared" si="6"/>
        <v>19.800235656744952</v>
      </c>
      <c r="U36" s="1">
        <f t="shared" si="6"/>
        <v>19.800235656744952</v>
      </c>
      <c r="V36" s="1">
        <f t="shared" si="6"/>
        <v>19.800235656744952</v>
      </c>
      <c r="X36" s="5"/>
      <c r="Y36" s="5"/>
      <c r="Z36" s="5"/>
      <c r="AA36" s="5"/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>
      <c r="B37" s="7">
        <v>2798</v>
      </c>
      <c r="C37" s="8">
        <v>2.1323E-11</v>
      </c>
      <c r="D37" s="8">
        <v>2.1323E-11</v>
      </c>
      <c r="E37" s="8">
        <v>2.1323E-11</v>
      </c>
      <c r="F37" s="8">
        <v>5.1700000000000002E-13</v>
      </c>
      <c r="G37" s="8">
        <v>2.4760999999999999E-17</v>
      </c>
      <c r="H37" s="8">
        <v>7.6260999999999999E-11</v>
      </c>
      <c r="I37" s="8">
        <v>2.9936E-11</v>
      </c>
      <c r="J37" s="8"/>
      <c r="K37" s="1"/>
      <c r="L37" s="1"/>
      <c r="N37" s="7"/>
      <c r="O37">
        <f t="shared" si="4"/>
        <v>46.633333333333333</v>
      </c>
      <c r="P37" s="6">
        <f t="shared" si="5"/>
        <v>100.53389630234717</v>
      </c>
      <c r="Q37" s="6">
        <f t="shared" si="0"/>
        <v>60.285620543822183</v>
      </c>
      <c r="R37" s="6">
        <f t="shared" si="1"/>
        <v>23.505585315221953</v>
      </c>
      <c r="S37" s="5">
        <f t="shared" si="2"/>
        <v>0</v>
      </c>
      <c r="T37" s="6">
        <f t="shared" si="6"/>
        <v>16.742690443303037</v>
      </c>
      <c r="U37" s="1">
        <f t="shared" si="6"/>
        <v>16.742690443303037</v>
      </c>
      <c r="V37" s="1">
        <f t="shared" si="6"/>
        <v>16.742690443303037</v>
      </c>
      <c r="X37" s="5"/>
      <c r="Y37" s="5"/>
      <c r="Z37" s="5"/>
      <c r="AA37" s="5"/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>
      <c r="B38" s="7">
        <v>3060.1</v>
      </c>
      <c r="C38" s="8">
        <v>1.8030000000000001E-11</v>
      </c>
      <c r="D38" s="8">
        <v>1.8030000000000001E-11</v>
      </c>
      <c r="E38" s="8">
        <v>1.8030000000000001E-11</v>
      </c>
      <c r="F38" s="8">
        <v>4.3715999999999998E-13</v>
      </c>
      <c r="G38" s="8">
        <v>2.0865000000000001E-17</v>
      </c>
      <c r="H38" s="8">
        <v>7.8645000000000003E-11</v>
      </c>
      <c r="I38" s="8">
        <v>3.0889000000000001E-11</v>
      </c>
      <c r="J38" s="8"/>
      <c r="K38" s="1"/>
      <c r="L38" s="1"/>
      <c r="N38" s="7"/>
      <c r="O38">
        <f t="shared" si="4"/>
        <v>51.001666666666665</v>
      </c>
      <c r="P38" s="6">
        <f t="shared" si="5"/>
        <v>100.50575189231996</v>
      </c>
      <c r="Q38" s="6">
        <f t="shared" si="0"/>
        <v>62.094833019169982</v>
      </c>
      <c r="R38" s="6">
        <f t="shared" si="1"/>
        <v>24.253872083638488</v>
      </c>
      <c r="S38" s="5">
        <f t="shared" si="2"/>
        <v>0</v>
      </c>
      <c r="T38" s="6">
        <f t="shared" si="6"/>
        <v>14.157046789511499</v>
      </c>
      <c r="U38" s="1">
        <f t="shared" si="6"/>
        <v>14.157046789511499</v>
      </c>
      <c r="V38" s="1">
        <f t="shared" si="6"/>
        <v>14.157046789511499</v>
      </c>
      <c r="X38" s="5"/>
      <c r="Y38" s="5"/>
      <c r="Z38" s="5"/>
      <c r="AA38" s="5"/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>
      <c r="B39" s="7">
        <v>3322.3</v>
      </c>
      <c r="C39" s="8">
        <v>1.5245000000000001E-11</v>
      </c>
      <c r="D39" s="8">
        <v>1.5245000000000001E-11</v>
      </c>
      <c r="E39" s="8">
        <v>1.5245000000000001E-11</v>
      </c>
      <c r="F39" s="8">
        <v>3.6965E-13</v>
      </c>
      <c r="G39" s="8">
        <v>1.7540000000000001E-17</v>
      </c>
      <c r="H39" s="8">
        <v>8.0661000000000005E-11</v>
      </c>
      <c r="I39" s="8">
        <v>3.1695E-11</v>
      </c>
      <c r="J39" s="8"/>
      <c r="K39" s="1"/>
      <c r="L39" s="1"/>
      <c r="N39" s="7"/>
      <c r="O39">
        <f t="shared" si="4"/>
        <v>55.37166666666667</v>
      </c>
      <c r="P39" s="6">
        <f t="shared" si="5"/>
        <v>100.48179301435387</v>
      </c>
      <c r="Q39" s="6">
        <f t="shared" si="0"/>
        <v>63.624775564865779</v>
      </c>
      <c r="R39" s="6">
        <f t="shared" si="1"/>
        <v>24.886735790802419</v>
      </c>
      <c r="S39" s="5">
        <f t="shared" si="2"/>
        <v>0</v>
      </c>
      <c r="T39" s="6">
        <f t="shared" si="6"/>
        <v>11.97028165868568</v>
      </c>
      <c r="U39" s="1">
        <f t="shared" si="6"/>
        <v>11.97028165868568</v>
      </c>
      <c r="V39" s="1">
        <f t="shared" si="6"/>
        <v>11.97028165868568</v>
      </c>
      <c r="X39" s="5"/>
      <c r="Y39" s="5"/>
      <c r="Z39" s="5"/>
      <c r="AA39" s="5"/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>
      <c r="B40" s="7">
        <v>3584.4</v>
      </c>
      <c r="C40" s="8">
        <v>1.2891000000000001E-11</v>
      </c>
      <c r="D40" s="8">
        <v>1.2891000000000001E-11</v>
      </c>
      <c r="E40" s="8">
        <v>1.2891000000000001E-11</v>
      </c>
      <c r="F40" s="8">
        <v>3.1255999999999998E-13</v>
      </c>
      <c r="G40" s="8">
        <v>1.4834999999999998E-17</v>
      </c>
      <c r="H40" s="8">
        <v>8.2366E-11</v>
      </c>
      <c r="I40" s="8">
        <v>3.2377000000000002E-11</v>
      </c>
      <c r="J40" s="8"/>
      <c r="K40" s="1"/>
      <c r="L40" s="1"/>
      <c r="N40" s="7"/>
      <c r="O40">
        <f t="shared" si="4"/>
        <v>59.74</v>
      </c>
      <c r="P40" s="6">
        <f t="shared" si="5"/>
        <v>100.46287556832112</v>
      </c>
      <c r="Q40" s="6">
        <f t="shared" si="0"/>
        <v>64.918704515220966</v>
      </c>
      <c r="R40" s="6">
        <f t="shared" si="1"/>
        <v>25.422235935873704</v>
      </c>
      <c r="S40" s="5">
        <f t="shared" si="2"/>
        <v>0</v>
      </c>
      <c r="T40" s="6">
        <f t="shared" si="6"/>
        <v>10.121935117226441</v>
      </c>
      <c r="U40" s="1">
        <f t="shared" si="6"/>
        <v>10.121935117226441</v>
      </c>
      <c r="V40" s="1">
        <f t="shared" si="6"/>
        <v>10.121935117226441</v>
      </c>
      <c r="X40" s="5"/>
      <c r="Y40" s="5"/>
      <c r="Z40" s="5"/>
      <c r="AA40" s="5"/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>
      <c r="B41" s="7">
        <v>3846.6</v>
      </c>
      <c r="C41" s="8">
        <v>1.0899999999999999E-11</v>
      </c>
      <c r="D41" s="8">
        <v>1.0899999999999999E-11</v>
      </c>
      <c r="E41" s="8">
        <v>1.0899999999999999E-11</v>
      </c>
      <c r="F41" s="8">
        <v>2.6428999999999998E-13</v>
      </c>
      <c r="G41" s="8">
        <v>1.2606999999999999E-17</v>
      </c>
      <c r="H41" s="8">
        <v>8.3807000000000006E-11</v>
      </c>
      <c r="I41" s="8">
        <v>3.2953E-11</v>
      </c>
      <c r="J41" s="8"/>
      <c r="K41" s="1"/>
      <c r="L41" s="1"/>
      <c r="N41" s="7"/>
      <c r="O41">
        <f t="shared" si="4"/>
        <v>64.11</v>
      </c>
      <c r="P41" s="6">
        <f t="shared" si="5"/>
        <v>100.44538754980184</v>
      </c>
      <c r="Q41" s="6">
        <f t="shared" si="0"/>
        <v>66.012267675240722</v>
      </c>
      <c r="R41" s="6">
        <f t="shared" si="1"/>
        <v>25.874505897540836</v>
      </c>
      <c r="S41" s="5">
        <f t="shared" si="2"/>
        <v>0</v>
      </c>
      <c r="T41" s="6">
        <f t="shared" si="6"/>
        <v>8.5586139770202614</v>
      </c>
      <c r="U41" s="1">
        <f t="shared" si="6"/>
        <v>8.5586139770202614</v>
      </c>
      <c r="V41" s="1">
        <f t="shared" si="6"/>
        <v>8.5586139770202614</v>
      </c>
      <c r="X41" s="5"/>
      <c r="Y41" s="5"/>
      <c r="Z41" s="5"/>
      <c r="AA41" s="5"/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>
      <c r="B42" s="7">
        <v>4108.7</v>
      </c>
      <c r="C42" s="8">
        <v>9.2167999999999993E-12</v>
      </c>
      <c r="D42" s="8">
        <v>9.2167999999999993E-12</v>
      </c>
      <c r="E42" s="8">
        <v>9.2167999999999993E-12</v>
      </c>
      <c r="F42" s="8">
        <v>2.2348E-13</v>
      </c>
      <c r="G42" s="8">
        <v>1.0644E-17</v>
      </c>
      <c r="H42" s="8">
        <v>8.5025999999999994E-11</v>
      </c>
      <c r="I42" s="8">
        <v>3.3440000000000003E-11</v>
      </c>
      <c r="J42" s="8"/>
      <c r="K42" s="1"/>
      <c r="L42" s="1"/>
      <c r="N42" s="7"/>
      <c r="O42">
        <f t="shared" si="4"/>
        <v>68.478333333333325</v>
      </c>
      <c r="P42" s="6">
        <f t="shared" si="5"/>
        <v>100.43124466555547</v>
      </c>
      <c r="Q42" s="6">
        <f t="shared" si="0"/>
        <v>66.937375326762321</v>
      </c>
      <c r="R42" s="6">
        <f t="shared" si="1"/>
        <v>26.256893806371078</v>
      </c>
      <c r="S42" s="5">
        <f t="shared" si="2"/>
        <v>0</v>
      </c>
      <c r="T42" s="6">
        <f t="shared" si="6"/>
        <v>7.2369755324220506</v>
      </c>
      <c r="U42" s="1">
        <f t="shared" si="6"/>
        <v>7.2369755324220506</v>
      </c>
      <c r="V42" s="1">
        <f t="shared" si="6"/>
        <v>7.2369755324220506</v>
      </c>
      <c r="X42" s="5"/>
      <c r="Y42" s="5"/>
      <c r="Z42" s="5"/>
      <c r="AA42" s="5"/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>
      <c r="B43" s="7">
        <v>4320</v>
      </c>
      <c r="C43" s="8">
        <v>8.0493000000000004E-12</v>
      </c>
      <c r="D43" s="8">
        <v>8.0493000000000004E-12</v>
      </c>
      <c r="E43" s="8">
        <v>8.0493000000000004E-12</v>
      </c>
      <c r="F43" s="8">
        <v>1.9516999999999999E-13</v>
      </c>
      <c r="G43" s="8">
        <v>9.2788000000000003E-18</v>
      </c>
      <c r="H43" s="8">
        <v>8.5869000000000001E-11</v>
      </c>
      <c r="I43" s="8">
        <v>3.3776999999999999E-11</v>
      </c>
      <c r="J43" s="8"/>
      <c r="K43" s="1"/>
      <c r="L43" s="1"/>
      <c r="N43" s="7"/>
      <c r="O43">
        <f t="shared" si="4"/>
        <v>72</v>
      </c>
      <c r="P43" s="6">
        <f t="shared" si="5"/>
        <v>100.41882967737227</v>
      </c>
      <c r="Q43" s="6">
        <f t="shared" si="0"/>
        <v>67.577064980059447</v>
      </c>
      <c r="R43" s="6">
        <f t="shared" si="1"/>
        <v>26.521503093163375</v>
      </c>
      <c r="S43" s="5">
        <f t="shared" si="2"/>
        <v>0</v>
      </c>
      <c r="T43" s="6">
        <f t="shared" si="6"/>
        <v>6.3202616041494686</v>
      </c>
      <c r="U43" s="1">
        <f t="shared" si="6"/>
        <v>6.3202616041494686</v>
      </c>
      <c r="V43" s="1">
        <f t="shared" si="6"/>
        <v>6.3202616041494686</v>
      </c>
      <c r="X43" s="5"/>
      <c r="Y43" s="5"/>
      <c r="Z43" s="5"/>
      <c r="AA43" s="5"/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>
      <c r="B44" s="7">
        <v>3027.8</v>
      </c>
      <c r="C44" s="8">
        <v>2.1578999999999999E-12</v>
      </c>
      <c r="D44" s="8">
        <v>2.1578999999999999E-12</v>
      </c>
      <c r="E44" s="8">
        <v>2.1578999999999999E-12</v>
      </c>
      <c r="F44" s="8">
        <v>5.2166999999999997E-14</v>
      </c>
      <c r="G44" s="8">
        <v>1.2821E-17</v>
      </c>
      <c r="H44" s="8">
        <v>4.2888999999999998E-11</v>
      </c>
      <c r="I44" s="8">
        <v>8.4566000000000003E-11</v>
      </c>
      <c r="J44" s="8"/>
      <c r="K44" s="1"/>
      <c r="L44" s="1"/>
      <c r="N44" s="7"/>
      <c r="P44" s="6"/>
      <c r="Q44" s="6"/>
      <c r="R44" s="6"/>
      <c r="S44" s="5"/>
      <c r="T44" s="6"/>
      <c r="U44" s="1"/>
      <c r="V44" s="1"/>
      <c r="X44" s="5"/>
      <c r="Y44" s="5"/>
      <c r="Z44" s="5"/>
      <c r="AA44" s="5"/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>
      <c r="B45" s="7">
        <v>3158.7</v>
      </c>
      <c r="C45" s="8">
        <v>1.8079E-12</v>
      </c>
      <c r="D45" s="8">
        <v>1.8079E-12</v>
      </c>
      <c r="E45" s="8">
        <v>1.8079E-12</v>
      </c>
      <c r="F45" s="8">
        <v>4.3707999999999998E-14</v>
      </c>
      <c r="G45" s="8">
        <v>1.0743000000000001E-17</v>
      </c>
      <c r="H45" s="8">
        <v>4.3007999999999998E-11</v>
      </c>
      <c r="I45" s="8">
        <v>8.4804999999999998E-11</v>
      </c>
      <c r="J45" s="8"/>
      <c r="K45" s="1"/>
      <c r="L45" s="1"/>
      <c r="N45" s="7"/>
      <c r="P45" s="6"/>
      <c r="Q45" s="6"/>
      <c r="R45" s="6"/>
      <c r="S45" s="5"/>
      <c r="T45" s="6"/>
      <c r="U45" s="1"/>
      <c r="V45" s="1"/>
      <c r="X45" s="5"/>
      <c r="Y45" s="5"/>
      <c r="Z45" s="5"/>
      <c r="AA45" s="5"/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>
      <c r="B46" s="7">
        <v>3289.6</v>
      </c>
      <c r="C46" s="8">
        <v>1.5147E-12</v>
      </c>
      <c r="D46" s="8">
        <v>1.5147E-12</v>
      </c>
      <c r="E46" s="8">
        <v>1.5147E-12</v>
      </c>
      <c r="F46" s="8">
        <v>3.6619999999999999E-14</v>
      </c>
      <c r="G46" s="8">
        <v>9.0236000000000003E-18</v>
      </c>
      <c r="H46" s="8">
        <v>4.3108000000000003E-11</v>
      </c>
      <c r="I46" s="8">
        <v>8.5003999999999999E-11</v>
      </c>
      <c r="J46" s="8"/>
      <c r="K46" s="1"/>
      <c r="L46" s="1"/>
      <c r="N46" s="7"/>
      <c r="P46" s="6"/>
      <c r="Q46" s="6"/>
      <c r="R46" s="6"/>
      <c r="S46" s="5"/>
      <c r="T46" s="6"/>
      <c r="U46" s="1"/>
      <c r="V46" s="1"/>
      <c r="X46" s="5"/>
      <c r="Y46" s="5"/>
      <c r="Z46" s="5"/>
      <c r="AA46" s="5"/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>
      <c r="B47" s="7">
        <v>3420.6</v>
      </c>
      <c r="C47" s="8">
        <v>1.2690999999999999E-12</v>
      </c>
      <c r="D47" s="8">
        <v>1.2690999999999999E-12</v>
      </c>
      <c r="E47" s="8">
        <v>1.2690999999999999E-12</v>
      </c>
      <c r="F47" s="8">
        <v>3.0680999999999998E-14</v>
      </c>
      <c r="G47" s="8">
        <v>7.5559E-18</v>
      </c>
      <c r="H47" s="8">
        <v>4.3191999999999999E-11</v>
      </c>
      <c r="I47" s="8">
        <v>8.5170999999999997E-11</v>
      </c>
      <c r="J47" s="8"/>
      <c r="K47" s="1"/>
      <c r="L47" s="1"/>
      <c r="N47" s="7"/>
      <c r="P47" s="6"/>
      <c r="Q47" s="6"/>
      <c r="R47" s="6"/>
      <c r="S47" s="5"/>
      <c r="T47" s="6"/>
      <c r="U47" s="1"/>
      <c r="V47" s="1"/>
      <c r="X47" s="5"/>
      <c r="Y47" s="5"/>
      <c r="Z47" s="5"/>
      <c r="AA47" s="5"/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>
      <c r="B48" s="7">
        <v>3551.5</v>
      </c>
      <c r="C48" s="8">
        <v>1.0632999999999999E-12</v>
      </c>
      <c r="D48" s="8">
        <v>1.0632999999999999E-12</v>
      </c>
      <c r="E48" s="8">
        <v>1.0632999999999999E-12</v>
      </c>
      <c r="F48" s="8">
        <v>2.5705999999999999E-14</v>
      </c>
      <c r="G48" s="8">
        <v>6.3208000000000003E-18</v>
      </c>
      <c r="H48" s="8">
        <v>4.3263000000000001E-11</v>
      </c>
      <c r="I48" s="8">
        <v>8.5312000000000005E-11</v>
      </c>
      <c r="J48" s="8"/>
      <c r="K48" s="1"/>
      <c r="L48" s="1"/>
      <c r="N48" s="7"/>
      <c r="P48" s="6"/>
      <c r="Q48" s="6"/>
      <c r="R48" s="6"/>
      <c r="S48" s="5"/>
      <c r="T48" s="6"/>
      <c r="U48" s="1"/>
      <c r="V48" s="1"/>
      <c r="X48" s="5"/>
      <c r="Y48" s="5"/>
      <c r="Z48" s="5"/>
      <c r="AA48" s="5"/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>
      <c r="B49" s="7">
        <v>3682.4</v>
      </c>
      <c r="C49" s="8">
        <v>8.9087000000000002E-13</v>
      </c>
      <c r="D49" s="8">
        <v>8.9087000000000002E-13</v>
      </c>
      <c r="E49" s="8">
        <v>8.9087000000000002E-13</v>
      </c>
      <c r="F49" s="8">
        <v>2.1537E-14</v>
      </c>
      <c r="G49" s="8">
        <v>5.2955999999999998E-18</v>
      </c>
      <c r="H49" s="8">
        <v>4.3322000000000003E-11</v>
      </c>
      <c r="I49" s="8">
        <v>8.5429E-11</v>
      </c>
      <c r="J49" s="8"/>
      <c r="K49" s="1"/>
      <c r="L49" s="1"/>
      <c r="N49" s="7"/>
      <c r="P49" s="6"/>
      <c r="Q49" s="6"/>
      <c r="R49" s="6"/>
      <c r="S49" s="5"/>
      <c r="T49" s="6"/>
      <c r="U49" s="1"/>
      <c r="V49" s="1"/>
      <c r="X49" s="5"/>
      <c r="Y49" s="5"/>
      <c r="Z49" s="5"/>
      <c r="AA49" s="5"/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>
      <c r="B50" s="7">
        <v>3813.3</v>
      </c>
      <c r="C50" s="8">
        <v>7.4640000000000003E-13</v>
      </c>
      <c r="D50" s="8">
        <v>7.4640000000000003E-13</v>
      </c>
      <c r="E50" s="8">
        <v>7.4640000000000003E-13</v>
      </c>
      <c r="F50" s="8">
        <v>1.8045E-14</v>
      </c>
      <c r="G50" s="8">
        <v>4.4428E-18</v>
      </c>
      <c r="H50" s="8">
        <v>4.3370999999999997E-11</v>
      </c>
      <c r="I50" s="8">
        <v>8.5527000000000001E-11</v>
      </c>
      <c r="J50" s="8"/>
      <c r="K50" s="1"/>
      <c r="L50" s="1"/>
      <c r="N50" s="7"/>
      <c r="P50" s="6"/>
      <c r="Q50" s="6"/>
      <c r="R50" s="6"/>
      <c r="S50" s="5"/>
      <c r="T50" s="6"/>
      <c r="U50" s="1"/>
      <c r="V50" s="1"/>
      <c r="X50" s="5"/>
      <c r="Y50" s="5"/>
      <c r="Z50" s="5"/>
      <c r="AA50" s="5"/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>
      <c r="B51" s="7">
        <v>3944.2</v>
      </c>
      <c r="C51" s="8">
        <v>6.2535999999999997E-13</v>
      </c>
      <c r="D51" s="8">
        <v>6.2535999999999997E-13</v>
      </c>
      <c r="E51" s="8">
        <v>6.2535999999999997E-13</v>
      </c>
      <c r="F51" s="8">
        <v>1.5118E-14</v>
      </c>
      <c r="G51" s="8">
        <v>3.7211999999999999E-18</v>
      </c>
      <c r="H51" s="8">
        <v>4.3412E-11</v>
      </c>
      <c r="I51" s="8">
        <v>8.5610000000000002E-11</v>
      </c>
      <c r="J51" s="8"/>
      <c r="K51" s="1"/>
      <c r="L51" s="1"/>
      <c r="N51" s="7"/>
      <c r="P51" s="6"/>
      <c r="Q51" s="6"/>
      <c r="R51" s="6"/>
      <c r="S51" s="5"/>
      <c r="T51" s="6"/>
      <c r="U51" s="1"/>
      <c r="V51" s="1"/>
      <c r="X51" s="5"/>
      <c r="Y51" s="5"/>
      <c r="Z51" s="5"/>
      <c r="AA51" s="5"/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>
      <c r="B52" s="7">
        <v>4075.1</v>
      </c>
      <c r="C52" s="8">
        <v>5.2395E-13</v>
      </c>
      <c r="D52" s="8">
        <v>5.2395E-13</v>
      </c>
      <c r="E52" s="8">
        <v>5.2395E-13</v>
      </c>
      <c r="F52" s="8">
        <v>1.2667E-14</v>
      </c>
      <c r="G52" s="8">
        <v>3.1151000000000001E-18</v>
      </c>
      <c r="H52" s="8">
        <v>4.3447000000000003E-11</v>
      </c>
      <c r="I52" s="8">
        <v>8.5679E-11</v>
      </c>
      <c r="J52" s="8"/>
      <c r="K52" s="1"/>
      <c r="L52" s="1"/>
      <c r="N52" s="7"/>
      <c r="P52" s="6"/>
      <c r="Q52" s="6"/>
      <c r="R52" s="6"/>
      <c r="S52" s="5"/>
      <c r="T52" s="6"/>
      <c r="U52" s="1"/>
      <c r="V52" s="1"/>
      <c r="X52" s="5"/>
      <c r="Y52" s="5"/>
      <c r="Z52" s="5"/>
      <c r="AA52" s="5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>
      <c r="B53" s="7">
        <v>4206</v>
      </c>
      <c r="C53" s="8">
        <v>4.3898000000000001E-13</v>
      </c>
      <c r="D53" s="8">
        <v>4.3898000000000001E-13</v>
      </c>
      <c r="E53" s="8">
        <v>4.3898000000000001E-13</v>
      </c>
      <c r="F53" s="8">
        <v>1.0612999999999999E-14</v>
      </c>
      <c r="G53" s="8">
        <v>2.6102000000000002E-18</v>
      </c>
      <c r="H53" s="8">
        <v>4.3475999999999999E-11</v>
      </c>
      <c r="I53" s="8">
        <v>8.5737000000000006E-11</v>
      </c>
      <c r="J53" s="8"/>
      <c r="K53" s="1"/>
      <c r="L53" s="1"/>
      <c r="N53" s="7"/>
      <c r="P53" s="6"/>
      <c r="Q53" s="6"/>
      <c r="R53" s="6"/>
      <c r="S53" s="5"/>
      <c r="T53" s="6"/>
      <c r="U53" s="1"/>
      <c r="V53" s="1"/>
      <c r="X53" s="5"/>
      <c r="Y53" s="5"/>
      <c r="Z53" s="5"/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>
      <c r="B54" s="7">
        <v>4320</v>
      </c>
      <c r="C54" s="8">
        <v>3.7621999999999999E-13</v>
      </c>
      <c r="D54" s="8">
        <v>3.7621999999999999E-13</v>
      </c>
      <c r="E54" s="8">
        <v>3.7621999999999999E-13</v>
      </c>
      <c r="F54" s="8">
        <v>9.0954000000000002E-15</v>
      </c>
      <c r="G54" s="8">
        <v>2.2388E-18</v>
      </c>
      <c r="H54" s="8">
        <v>4.3498000000000001E-11</v>
      </c>
      <c r="I54" s="8">
        <v>8.5779000000000004E-11</v>
      </c>
      <c r="J54" s="8"/>
      <c r="K54" s="1"/>
      <c r="L54" s="1"/>
      <c r="N54" s="7"/>
      <c r="P54" s="6"/>
      <c r="Q54" s="6"/>
      <c r="R54" s="6"/>
      <c r="S54" s="5"/>
      <c r="T54" s="6"/>
      <c r="U54" s="1"/>
      <c r="V54" s="1"/>
      <c r="X54" s="5"/>
      <c r="Y54" s="5"/>
      <c r="Z54" s="5"/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>
      <c r="B55" s="7">
        <v>175</v>
      </c>
      <c r="C55" s="8">
        <v>1.142E-10</v>
      </c>
      <c r="D55" s="8">
        <v>1.142E-10</v>
      </c>
      <c r="E55" s="8">
        <v>1.142E-10</v>
      </c>
      <c r="F55" s="8">
        <v>2.7614999999999999E-12</v>
      </c>
      <c r="G55" s="8">
        <v>4.8649999999999999E-17</v>
      </c>
      <c r="H55" s="8">
        <v>9.3819000000000006E-12</v>
      </c>
      <c r="I55" s="8">
        <v>7.8132999999999996E-13</v>
      </c>
      <c r="J55" s="8"/>
      <c r="K55" s="1"/>
      <c r="L55" s="1"/>
      <c r="N55" s="7"/>
      <c r="P55" s="6"/>
      <c r="Q55" s="6"/>
      <c r="R55" s="6"/>
      <c r="S55" s="5"/>
      <c r="T55" s="6"/>
      <c r="U55" s="1"/>
      <c r="V55" s="1"/>
      <c r="X55" s="5"/>
      <c r="Y55" s="5"/>
      <c r="Z55" s="5"/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>
      <c r="B56" s="7">
        <v>180</v>
      </c>
      <c r="C56" s="8">
        <v>1.139E-10</v>
      </c>
      <c r="D56" s="8">
        <v>1.139E-10</v>
      </c>
      <c r="E56" s="8">
        <v>1.139E-10</v>
      </c>
      <c r="F56" s="8">
        <v>2.7540000000000002E-12</v>
      </c>
      <c r="G56" s="8">
        <v>4.9029999999999999E-17</v>
      </c>
      <c r="H56" s="8">
        <v>9.6452000000000001E-12</v>
      </c>
      <c r="I56" s="8">
        <v>8.2008999999999999E-13</v>
      </c>
      <c r="J56" s="8"/>
      <c r="K56" s="1"/>
      <c r="L56" s="1"/>
      <c r="N56" s="7"/>
      <c r="P56" s="6"/>
      <c r="Q56" s="6"/>
      <c r="R56" s="6"/>
      <c r="S56" s="5"/>
      <c r="T56" s="6"/>
      <c r="U56" s="1"/>
      <c r="V56" s="1"/>
      <c r="X56" s="5"/>
      <c r="Y56" s="5"/>
      <c r="Z56" s="5"/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>
      <c r="B57" s="7">
        <v>185</v>
      </c>
      <c r="C57" s="8">
        <v>1.136E-10</v>
      </c>
      <c r="D57" s="8">
        <v>1.136E-10</v>
      </c>
      <c r="E57" s="8">
        <v>1.136E-10</v>
      </c>
      <c r="F57" s="8">
        <v>2.7465000000000001E-12</v>
      </c>
      <c r="G57" s="8">
        <v>4.9366000000000001E-17</v>
      </c>
      <c r="H57" s="8">
        <v>9.9077999999999994E-12</v>
      </c>
      <c r="I57" s="8">
        <v>8.5910999999999996E-13</v>
      </c>
      <c r="J57" s="8"/>
      <c r="K57" s="1"/>
      <c r="L57" s="1"/>
      <c r="N57" s="7"/>
      <c r="P57" s="6"/>
      <c r="Q57" s="6"/>
      <c r="R57" s="6"/>
      <c r="S57" s="5"/>
      <c r="T57" s="6"/>
      <c r="U57" s="1"/>
      <c r="V57" s="1"/>
      <c r="X57" s="5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>
      <c r="B58" s="7">
        <v>190</v>
      </c>
      <c r="C58" s="8">
        <v>1.133E-10</v>
      </c>
      <c r="D58" s="8">
        <v>1.133E-10</v>
      </c>
      <c r="E58" s="8">
        <v>1.133E-10</v>
      </c>
      <c r="F58" s="8">
        <v>2.7389999999999999E-12</v>
      </c>
      <c r="G58" s="8">
        <v>4.9609000000000002E-17</v>
      </c>
      <c r="H58" s="8">
        <v>1.017E-11</v>
      </c>
      <c r="I58" s="8">
        <v>8.9836000000000002E-13</v>
      </c>
      <c r="J58" s="8"/>
      <c r="K58" s="1"/>
      <c r="L58" s="1"/>
      <c r="N58" s="7"/>
      <c r="P58" s="6"/>
      <c r="Q58" s="6"/>
      <c r="R58" s="6"/>
      <c r="S58" s="5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>
      <c r="B59" s="7">
        <v>195</v>
      </c>
      <c r="C59" s="8">
        <v>1.13E-10</v>
      </c>
      <c r="D59" s="8">
        <v>1.13E-10</v>
      </c>
      <c r="E59" s="8">
        <v>1.13E-10</v>
      </c>
      <c r="F59" s="8">
        <v>2.7316000000000002E-12</v>
      </c>
      <c r="G59" s="8">
        <v>4.9750000000000001E-17</v>
      </c>
      <c r="H59" s="8">
        <v>1.0431E-11</v>
      </c>
      <c r="I59" s="8">
        <v>9.377999999999999E-13</v>
      </c>
      <c r="J59" s="8"/>
      <c r="K59" s="1"/>
      <c r="L59" s="1"/>
      <c r="N59" s="7"/>
      <c r="P59" s="6"/>
      <c r="Q59" s="6"/>
      <c r="R59" s="6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>
      <c r="B60" s="7">
        <v>200</v>
      </c>
      <c r="C60" s="8">
        <v>1.127E-10</v>
      </c>
      <c r="D60" s="8">
        <v>1.127E-10</v>
      </c>
      <c r="E60" s="8">
        <v>1.127E-10</v>
      </c>
      <c r="F60" s="8">
        <v>2.7241000000000001E-12</v>
      </c>
      <c r="G60" s="8">
        <v>4.9938999999999999E-17</v>
      </c>
      <c r="H60" s="8">
        <v>1.0691E-11</v>
      </c>
      <c r="I60" s="8">
        <v>9.7743000000000001E-13</v>
      </c>
      <c r="J60" s="8"/>
      <c r="K60" s="1"/>
      <c r="L60" s="1"/>
      <c r="N60" s="7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>
      <c r="B61" s="7">
        <v>205</v>
      </c>
      <c r="C61" s="8">
        <v>1.1241E-10</v>
      </c>
      <c r="D61" s="8">
        <v>1.1241E-10</v>
      </c>
      <c r="E61" s="8">
        <v>1.1241E-10</v>
      </c>
      <c r="F61" s="8">
        <v>2.7167999999999999E-12</v>
      </c>
      <c r="G61" s="8">
        <v>5.0096000000000002E-17</v>
      </c>
      <c r="H61" s="8">
        <v>1.0951E-11</v>
      </c>
      <c r="I61" s="8">
        <v>1.0171999999999999E-12</v>
      </c>
      <c r="J61" s="8"/>
      <c r="K61" s="1"/>
      <c r="L61" s="1"/>
      <c r="N61" s="7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>
      <c r="B62" s="7">
        <v>210</v>
      </c>
      <c r="C62" s="8">
        <v>1.1211E-10</v>
      </c>
      <c r="D62" s="8">
        <v>1.1211E-10</v>
      </c>
      <c r="E62" s="8">
        <v>1.1211E-10</v>
      </c>
      <c r="F62" s="8">
        <v>2.7094000000000001E-12</v>
      </c>
      <c r="G62" s="8">
        <v>5.0289000000000001E-17</v>
      </c>
      <c r="H62" s="8">
        <v>1.1209999999999999E-11</v>
      </c>
      <c r="I62" s="8">
        <v>1.0571E-12</v>
      </c>
      <c r="J62" s="8"/>
      <c r="K62" s="1"/>
      <c r="L62" s="1"/>
      <c r="N62" s="7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>
      <c r="B63" s="7">
        <v>215</v>
      </c>
      <c r="C63" s="8">
        <v>1.1181E-10</v>
      </c>
      <c r="D63" s="8">
        <v>1.1181E-10</v>
      </c>
      <c r="E63" s="8">
        <v>1.1181E-10</v>
      </c>
      <c r="F63" s="8">
        <v>2.702E-12</v>
      </c>
      <c r="G63" s="8">
        <v>5.0351999999999998E-17</v>
      </c>
      <c r="H63" s="8">
        <v>1.1469E-11</v>
      </c>
      <c r="I63" s="8">
        <v>1.0971E-12</v>
      </c>
      <c r="J63" s="8"/>
      <c r="K63" s="1"/>
      <c r="L63" s="1"/>
      <c r="N63" s="7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>
      <c r="B64" s="7">
        <v>220</v>
      </c>
      <c r="C64" s="8">
        <v>1.1152000000000001E-10</v>
      </c>
      <c r="D64" s="8">
        <v>1.1152000000000001E-10</v>
      </c>
      <c r="E64" s="8">
        <v>1.1152000000000001E-10</v>
      </c>
      <c r="F64" s="8">
        <v>2.6946999999999998E-12</v>
      </c>
      <c r="G64" s="8">
        <v>5.0448000000000002E-17</v>
      </c>
      <c r="H64" s="8">
        <v>1.1726000000000001E-11</v>
      </c>
      <c r="I64" s="8">
        <v>1.1373E-12</v>
      </c>
      <c r="J64" s="8"/>
      <c r="K64" s="1"/>
      <c r="L64" s="1"/>
      <c r="N64" s="7"/>
      <c r="P64" s="6"/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2:65">
      <c r="B65" s="7">
        <v>225</v>
      </c>
      <c r="C65" s="8">
        <v>1.1122E-10</v>
      </c>
      <c r="D65" s="8">
        <v>1.1122E-10</v>
      </c>
      <c r="E65" s="8">
        <v>1.1122E-10</v>
      </c>
      <c r="F65" s="8">
        <v>2.6874E-12</v>
      </c>
      <c r="G65" s="8">
        <v>5.0628999999999998E-17</v>
      </c>
      <c r="H65" s="8">
        <v>1.1983E-11</v>
      </c>
      <c r="I65" s="8">
        <v>1.1774E-12</v>
      </c>
      <c r="J65" s="8"/>
      <c r="K65" s="1"/>
      <c r="L65" s="1"/>
      <c r="N65" s="7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2:65">
      <c r="B66" s="7">
        <v>230</v>
      </c>
      <c r="C66" s="8">
        <v>1.1093E-10</v>
      </c>
      <c r="D66" s="8">
        <v>1.1093E-10</v>
      </c>
      <c r="E66" s="8">
        <v>1.1093E-10</v>
      </c>
      <c r="F66" s="8">
        <v>2.6801999999999998E-12</v>
      </c>
      <c r="G66" s="8">
        <v>5.0595999999999998E-17</v>
      </c>
      <c r="H66" s="8">
        <v>1.224E-11</v>
      </c>
      <c r="I66" s="8">
        <v>1.2177E-12</v>
      </c>
      <c r="J66" s="8"/>
      <c r="K66" s="1"/>
      <c r="L66" s="1"/>
      <c r="N66" s="7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2:65">
      <c r="B67" s="7">
        <v>235</v>
      </c>
      <c r="C67" s="8">
        <v>1.1063E-10</v>
      </c>
      <c r="D67" s="8">
        <v>1.1063E-10</v>
      </c>
      <c r="E67" s="8">
        <v>1.1063E-10</v>
      </c>
      <c r="F67" s="8">
        <v>2.6729000000000001E-12</v>
      </c>
      <c r="G67" s="8">
        <v>5.0649000000000002E-17</v>
      </c>
      <c r="H67" s="8">
        <v>1.2495E-11</v>
      </c>
      <c r="I67" s="8">
        <v>1.2580000000000001E-12</v>
      </c>
      <c r="J67" s="8"/>
      <c r="K67" s="1"/>
      <c r="L67" s="1"/>
      <c r="N67" s="7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2:65">
      <c r="B68" s="7">
        <v>240</v>
      </c>
      <c r="C68" s="8">
        <v>1.1034E-10</v>
      </c>
      <c r="D68" s="8">
        <v>1.1034E-10</v>
      </c>
      <c r="E68" s="8">
        <v>1.1034E-10</v>
      </c>
      <c r="F68" s="8">
        <v>2.6656999999999998E-12</v>
      </c>
      <c r="G68" s="8">
        <v>5.0674E-17</v>
      </c>
      <c r="H68" s="8">
        <v>1.275E-11</v>
      </c>
      <c r="I68" s="8">
        <v>1.2984E-12</v>
      </c>
      <c r="J68" s="8"/>
      <c r="K68" s="1"/>
      <c r="L68" s="1"/>
      <c r="N68" s="7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2:65">
      <c r="B69" s="7">
        <v>245</v>
      </c>
      <c r="C69" s="8">
        <v>1.1005E-10</v>
      </c>
      <c r="D69" s="8">
        <v>1.1005E-10</v>
      </c>
      <c r="E69" s="8">
        <v>1.1005E-10</v>
      </c>
      <c r="F69" s="8">
        <v>2.6585E-12</v>
      </c>
      <c r="G69" s="8">
        <v>5.0794000000000003E-17</v>
      </c>
      <c r="H69" s="8">
        <v>1.3004000000000001E-11</v>
      </c>
      <c r="I69" s="8">
        <v>1.3387999999999999E-12</v>
      </c>
      <c r="J69" s="8"/>
      <c r="K69" s="1"/>
      <c r="L69" s="1"/>
      <c r="N69" s="7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2:65">
      <c r="B70" s="7">
        <v>250</v>
      </c>
      <c r="C70" s="8">
        <v>1.0976E-10</v>
      </c>
      <c r="D70" s="8">
        <v>1.0976E-10</v>
      </c>
      <c r="E70" s="8">
        <v>1.0976E-10</v>
      </c>
      <c r="F70" s="8">
        <v>2.6514000000000002E-12</v>
      </c>
      <c r="G70" s="8">
        <v>5.0696000000000002E-17</v>
      </c>
      <c r="H70" s="8">
        <v>1.3258E-11</v>
      </c>
      <c r="I70" s="8">
        <v>1.3792E-12</v>
      </c>
      <c r="J70" s="8"/>
      <c r="K70" s="1"/>
      <c r="L70" s="1"/>
      <c r="N70" s="7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2:65">
      <c r="B71" s="7">
        <v>255</v>
      </c>
      <c r="C71" s="8">
        <v>1.0947E-10</v>
      </c>
      <c r="D71" s="8">
        <v>1.0947E-10</v>
      </c>
      <c r="E71" s="8">
        <v>1.0947E-10</v>
      </c>
      <c r="F71" s="8">
        <v>2.6442E-12</v>
      </c>
      <c r="G71" s="8">
        <v>5.0635000000000002E-17</v>
      </c>
      <c r="H71" s="8">
        <v>1.3510999999999999E-11</v>
      </c>
      <c r="I71" s="8">
        <v>1.4195999999999999E-12</v>
      </c>
      <c r="J71" s="8"/>
      <c r="K71" s="1"/>
      <c r="L71" s="1"/>
      <c r="N71" s="7"/>
      <c r="P71" s="6"/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2:65">
      <c r="B72" s="7">
        <v>260</v>
      </c>
      <c r="C72" s="8">
        <v>1.0918E-10</v>
      </c>
      <c r="D72" s="8">
        <v>1.0918E-10</v>
      </c>
      <c r="E72" s="8">
        <v>1.0918E-10</v>
      </c>
      <c r="F72" s="8">
        <v>2.6371000000000001E-12</v>
      </c>
      <c r="G72" s="8">
        <v>5.0757000000000002E-17</v>
      </c>
      <c r="H72" s="8">
        <v>1.3762999999999999E-11</v>
      </c>
      <c r="I72" s="8">
        <v>1.4601E-12</v>
      </c>
      <c r="J72" s="8"/>
      <c r="K72" s="1"/>
      <c r="L72" s="1"/>
      <c r="N72" s="7"/>
      <c r="P72" s="6"/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2:65">
      <c r="B73" s="7">
        <v>265</v>
      </c>
      <c r="C73" s="8">
        <v>1.0889E-10</v>
      </c>
      <c r="D73" s="8">
        <v>1.0889E-10</v>
      </c>
      <c r="E73" s="8">
        <v>1.0889E-10</v>
      </c>
      <c r="F73" s="8">
        <v>2.6299999999999999E-12</v>
      </c>
      <c r="G73" s="8">
        <v>5.0706000000000001E-17</v>
      </c>
      <c r="H73" s="8">
        <v>1.4014000000000001E-11</v>
      </c>
      <c r="I73" s="8">
        <v>1.5004999999999999E-12</v>
      </c>
      <c r="J73" s="8"/>
      <c r="K73" s="1"/>
      <c r="L73" s="1"/>
      <c r="N73" s="7"/>
      <c r="P73" s="6"/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2:65">
      <c r="B74" s="7">
        <v>270</v>
      </c>
      <c r="C74" s="8">
        <v>1.086E-10</v>
      </c>
      <c r="D74" s="8">
        <v>1.086E-10</v>
      </c>
      <c r="E74" s="8">
        <v>1.086E-10</v>
      </c>
      <c r="F74" s="8">
        <v>2.6229000000000001E-12</v>
      </c>
      <c r="G74" s="8">
        <v>5.0581999999999998E-17</v>
      </c>
      <c r="H74" s="8">
        <v>1.4265E-11</v>
      </c>
      <c r="I74" s="8">
        <v>1.5409E-12</v>
      </c>
      <c r="J74" s="8"/>
      <c r="K74" s="1"/>
      <c r="L74" s="1"/>
      <c r="N74" s="7"/>
      <c r="P74" s="6"/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2:65">
      <c r="B75" s="7">
        <v>275</v>
      </c>
      <c r="C75" s="8">
        <v>1.0831E-10</v>
      </c>
      <c r="D75" s="8">
        <v>1.0831E-10</v>
      </c>
      <c r="E75" s="8">
        <v>1.0831E-10</v>
      </c>
      <c r="F75" s="8">
        <v>2.6159000000000002E-12</v>
      </c>
      <c r="G75" s="8">
        <v>5.0557E-17</v>
      </c>
      <c r="H75" s="8">
        <v>1.4514999999999999E-11</v>
      </c>
      <c r="I75" s="8">
        <v>1.5812999999999999E-12</v>
      </c>
      <c r="J75" s="8"/>
      <c r="K75" s="1"/>
      <c r="L75" s="1"/>
      <c r="N75" s="7"/>
      <c r="P75" s="6"/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2:65">
      <c r="B76" s="7">
        <v>280</v>
      </c>
      <c r="C76" s="8">
        <v>1.0802000000000001E-10</v>
      </c>
      <c r="D76" s="8">
        <v>1.0802000000000001E-10</v>
      </c>
      <c r="E76" s="8">
        <v>1.0802000000000001E-10</v>
      </c>
      <c r="F76" s="8">
        <v>2.6088999999999999E-12</v>
      </c>
      <c r="G76" s="8">
        <v>5.0536000000000003E-17</v>
      </c>
      <c r="H76" s="8">
        <v>1.4764000000000001E-11</v>
      </c>
      <c r="I76" s="8">
        <v>1.6216000000000001E-12</v>
      </c>
      <c r="J76" s="8"/>
      <c r="K76" s="1"/>
      <c r="L76" s="1"/>
      <c r="N76" s="7"/>
      <c r="P76" s="6"/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2:65">
      <c r="B77" s="7">
        <v>285</v>
      </c>
      <c r="C77" s="8">
        <v>1.0773E-10</v>
      </c>
      <c r="D77" s="8">
        <v>1.0773E-10</v>
      </c>
      <c r="E77" s="8">
        <v>1.0773E-10</v>
      </c>
      <c r="F77" s="8">
        <v>2.6018000000000001E-12</v>
      </c>
      <c r="G77" s="8">
        <v>5.0459999999999998E-17</v>
      </c>
      <c r="H77" s="8">
        <v>1.5013000000000002E-11</v>
      </c>
      <c r="I77" s="8">
        <v>1.662E-12</v>
      </c>
      <c r="J77" s="8"/>
      <c r="K77" s="1"/>
      <c r="L77" s="1"/>
      <c r="N77" s="7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2:65">
      <c r="B78" s="7">
        <v>290</v>
      </c>
      <c r="C78" s="8">
        <v>1.0745E-10</v>
      </c>
      <c r="D78" s="8">
        <v>1.0745E-10</v>
      </c>
      <c r="E78" s="8">
        <v>1.0745E-10</v>
      </c>
      <c r="F78" s="8">
        <v>2.5949000000000002E-12</v>
      </c>
      <c r="G78" s="8">
        <v>5.0341E-17</v>
      </c>
      <c r="H78" s="8">
        <v>1.5261E-11</v>
      </c>
      <c r="I78" s="8">
        <v>1.7022999999999999E-12</v>
      </c>
      <c r="J78" s="8"/>
      <c r="K78" s="1"/>
      <c r="L78" s="1"/>
      <c r="N78" s="7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2:65">
      <c r="B79" s="7">
        <v>295</v>
      </c>
      <c r="C79" s="8">
        <v>1.0715999999999999E-10</v>
      </c>
      <c r="D79" s="8">
        <v>1.0715999999999999E-10</v>
      </c>
      <c r="E79" s="8">
        <v>1.0715999999999999E-10</v>
      </c>
      <c r="F79" s="8">
        <v>2.5878999999999999E-12</v>
      </c>
      <c r="G79" s="8">
        <v>5.0257999999999999E-17</v>
      </c>
      <c r="H79" s="8">
        <v>1.5509000000000001E-11</v>
      </c>
      <c r="I79" s="8">
        <v>1.7425000000000001E-12</v>
      </c>
      <c r="J79" s="8"/>
      <c r="K79" s="1"/>
      <c r="L79" s="1"/>
      <c r="N79" s="7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2:65">
      <c r="B80" s="7">
        <v>300</v>
      </c>
      <c r="C80" s="8">
        <v>1.0688E-10</v>
      </c>
      <c r="D80" s="8">
        <v>1.0688E-10</v>
      </c>
      <c r="E80" s="8">
        <v>1.0688E-10</v>
      </c>
      <c r="F80" s="8">
        <v>2.5809E-12</v>
      </c>
      <c r="G80" s="8">
        <v>5.0284000000000001E-17</v>
      </c>
      <c r="H80" s="8">
        <v>1.5755000000000001E-11</v>
      </c>
      <c r="I80" s="8">
        <v>1.7827000000000001E-12</v>
      </c>
      <c r="J80" s="8"/>
      <c r="K80" s="1"/>
      <c r="L80" s="1"/>
      <c r="N80" s="7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2:65">
      <c r="B81" s="7">
        <v>310</v>
      </c>
      <c r="C81" s="8">
        <v>1.0631000000000001E-10</v>
      </c>
      <c r="D81" s="8">
        <v>1.0631000000000001E-10</v>
      </c>
      <c r="E81" s="8">
        <v>1.0631000000000001E-10</v>
      </c>
      <c r="F81" s="8">
        <v>2.5670999999999998E-12</v>
      </c>
      <c r="G81" s="8">
        <v>4.8953000000000001E-17</v>
      </c>
      <c r="H81" s="8">
        <v>1.6246999999999999E-11</v>
      </c>
      <c r="I81" s="8">
        <v>1.863E-12</v>
      </c>
      <c r="J81" s="8"/>
      <c r="K81" s="1"/>
      <c r="L81" s="1"/>
      <c r="N81" s="7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2:65">
      <c r="B82" s="7">
        <v>320</v>
      </c>
      <c r="C82" s="8">
        <v>1.0575E-10</v>
      </c>
      <c r="D82" s="8">
        <v>1.0575E-10</v>
      </c>
      <c r="E82" s="8">
        <v>1.0575E-10</v>
      </c>
      <c r="F82" s="8">
        <v>2.5534E-12</v>
      </c>
      <c r="G82" s="8">
        <v>4.8443E-17</v>
      </c>
      <c r="H82" s="8">
        <v>1.6735000000000001E-11</v>
      </c>
      <c r="I82" s="8">
        <v>1.9429000000000001E-12</v>
      </c>
      <c r="J82" s="8"/>
      <c r="K82" s="1"/>
      <c r="L82" s="1"/>
      <c r="N82" s="7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2:65">
      <c r="B83" s="7">
        <v>330</v>
      </c>
      <c r="C83" s="8">
        <v>1.0518000000000001E-10</v>
      </c>
      <c r="D83" s="8">
        <v>1.0518000000000001E-10</v>
      </c>
      <c r="E83" s="8">
        <v>1.0518000000000001E-10</v>
      </c>
      <c r="F83" s="8">
        <v>2.5397000000000002E-12</v>
      </c>
      <c r="G83" s="8">
        <v>4.9271000000000002E-17</v>
      </c>
      <c r="H83" s="8">
        <v>1.7220999999999999E-11</v>
      </c>
      <c r="I83" s="8">
        <v>2.0225999999999999E-12</v>
      </c>
      <c r="J83" s="8"/>
      <c r="K83" s="1"/>
      <c r="L83" s="1"/>
      <c r="N83" s="7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2:65">
      <c r="B84" s="7">
        <v>340</v>
      </c>
      <c r="C84" s="8">
        <v>1.0463E-10</v>
      </c>
      <c r="D84" s="8">
        <v>1.0463E-10</v>
      </c>
      <c r="E84" s="8">
        <v>1.0463E-10</v>
      </c>
      <c r="F84" s="8">
        <v>2.5260999999999999E-12</v>
      </c>
      <c r="G84" s="8">
        <v>4.9342000000000001E-17</v>
      </c>
      <c r="H84" s="8">
        <v>1.7704999999999999E-11</v>
      </c>
      <c r="I84" s="8">
        <v>2.1020000000000001E-12</v>
      </c>
      <c r="J84" s="8"/>
      <c r="K84" s="1"/>
      <c r="L84" s="1"/>
      <c r="N84" s="7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2:65">
      <c r="B85" s="7">
        <v>350</v>
      </c>
      <c r="C85" s="8">
        <v>1.0407E-10</v>
      </c>
      <c r="D85" s="8">
        <v>1.0407E-10</v>
      </c>
      <c r="E85" s="8">
        <v>1.0407E-10</v>
      </c>
      <c r="F85" s="8">
        <v>2.5126E-12</v>
      </c>
      <c r="G85" s="8">
        <v>4.8877000000000003E-17</v>
      </c>
      <c r="H85" s="8">
        <v>1.8185E-11</v>
      </c>
      <c r="I85" s="8">
        <v>2.1812E-12</v>
      </c>
      <c r="J85" s="8"/>
      <c r="K85" s="1"/>
      <c r="L85" s="1"/>
      <c r="N85" s="7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2:65">
      <c r="B86" s="7">
        <v>360</v>
      </c>
      <c r="C86" s="8">
        <v>1.0352E-10</v>
      </c>
      <c r="D86" s="8">
        <v>1.0352E-10</v>
      </c>
      <c r="E86" s="8">
        <v>1.0352E-10</v>
      </c>
      <c r="F86" s="8">
        <v>2.4992000000000001E-12</v>
      </c>
      <c r="G86" s="8">
        <v>4.8813000000000001E-17</v>
      </c>
      <c r="H86" s="8">
        <v>1.8663999999999999E-11</v>
      </c>
      <c r="I86" s="8">
        <v>2.2600000000000001E-12</v>
      </c>
      <c r="J86" s="8"/>
      <c r="K86" s="1"/>
      <c r="L86" s="1"/>
      <c r="N86" s="7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2:65">
      <c r="B87" s="7">
        <v>370</v>
      </c>
      <c r="C87" s="8">
        <v>1.0296999999999999E-10</v>
      </c>
      <c r="D87" s="8">
        <v>1.0296999999999999E-10</v>
      </c>
      <c r="E87" s="8">
        <v>1.0296999999999999E-10</v>
      </c>
      <c r="F87" s="8">
        <v>2.4858000000000002E-12</v>
      </c>
      <c r="G87" s="8">
        <v>4.8659999999999998E-17</v>
      </c>
      <c r="H87" s="8">
        <v>1.9138999999999999E-11</v>
      </c>
      <c r="I87" s="8">
        <v>2.3385000000000002E-12</v>
      </c>
      <c r="J87" s="8"/>
      <c r="K87" s="1"/>
      <c r="L87" s="1"/>
      <c r="N87" s="7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2:65">
      <c r="B88" s="7">
        <v>380</v>
      </c>
      <c r="C88" s="8">
        <v>1.0241999999999999E-10</v>
      </c>
      <c r="D88" s="8">
        <v>1.0241999999999999E-10</v>
      </c>
      <c r="E88" s="8">
        <v>1.0241999999999999E-10</v>
      </c>
      <c r="F88" s="8">
        <v>2.4726000000000002E-12</v>
      </c>
      <c r="G88" s="8">
        <v>4.8438000000000001E-17</v>
      </c>
      <c r="H88" s="8">
        <v>1.9611999999999998E-11</v>
      </c>
      <c r="I88" s="8">
        <v>2.4167E-12</v>
      </c>
      <c r="J88" s="8"/>
      <c r="K88" s="1"/>
      <c r="L88" s="1"/>
      <c r="N88" s="7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2:65">
      <c r="B89" s="7">
        <v>390</v>
      </c>
      <c r="C89" s="8">
        <v>1.0188E-10</v>
      </c>
      <c r="D89" s="8">
        <v>1.0188E-10</v>
      </c>
      <c r="E89" s="8">
        <v>1.0188E-10</v>
      </c>
      <c r="F89" s="8">
        <v>2.4593999999999998E-12</v>
      </c>
      <c r="G89" s="8">
        <v>4.8386000000000001E-17</v>
      </c>
      <c r="H89" s="8">
        <v>2.0083E-11</v>
      </c>
      <c r="I89" s="8">
        <v>2.4945999999999999E-12</v>
      </c>
      <c r="J89" s="8"/>
      <c r="K89" s="1"/>
      <c r="L89" s="1"/>
      <c r="N89" s="7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2:65">
      <c r="B90" s="7">
        <v>400</v>
      </c>
      <c r="C90" s="8">
        <v>1.0133E-10</v>
      </c>
      <c r="D90" s="8">
        <v>1.0133E-10</v>
      </c>
      <c r="E90" s="8">
        <v>1.0133E-10</v>
      </c>
      <c r="F90" s="8">
        <v>2.4461999999999998E-12</v>
      </c>
      <c r="G90" s="8">
        <v>4.8129E-17</v>
      </c>
      <c r="H90" s="8">
        <v>2.0549999999999999E-11</v>
      </c>
      <c r="I90" s="8">
        <v>2.5719999999999999E-12</v>
      </c>
      <c r="J90" s="8"/>
      <c r="K90" s="1"/>
      <c r="L90" s="1"/>
      <c r="N90" s="7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2:65">
      <c r="B91" s="7">
        <v>410</v>
      </c>
      <c r="C91" s="8">
        <v>1.008E-10</v>
      </c>
      <c r="D91" s="8">
        <v>1.008E-10</v>
      </c>
      <c r="E91" s="8">
        <v>1.008E-10</v>
      </c>
      <c r="F91" s="8">
        <v>2.4332000000000002E-12</v>
      </c>
      <c r="G91" s="8">
        <v>4.7799000000000003E-17</v>
      </c>
      <c r="H91" s="8">
        <v>2.1016E-11</v>
      </c>
      <c r="I91" s="8">
        <v>2.6492000000000001E-12</v>
      </c>
      <c r="J91" s="8"/>
      <c r="K91" s="1"/>
      <c r="L91" s="1"/>
      <c r="N91" s="7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2:65">
      <c r="B92" s="7">
        <v>420</v>
      </c>
      <c r="C92" s="8">
        <v>1.0026E-10</v>
      </c>
      <c r="D92" s="8">
        <v>1.0026E-10</v>
      </c>
      <c r="E92" s="8">
        <v>1.0026E-10</v>
      </c>
      <c r="F92" s="8">
        <v>2.4202000000000001E-12</v>
      </c>
      <c r="G92" s="8">
        <v>4.7613999999999999E-17</v>
      </c>
      <c r="H92" s="8">
        <v>2.1477999999999999E-11</v>
      </c>
      <c r="I92" s="8">
        <v>2.7258999999999999E-12</v>
      </c>
      <c r="J92" s="8"/>
      <c r="K92" s="1"/>
      <c r="L92" s="1"/>
      <c r="N92" s="7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2:65">
      <c r="B93" s="7">
        <v>430</v>
      </c>
      <c r="C93" s="8">
        <v>9.9727999999999997E-11</v>
      </c>
      <c r="D93" s="8">
        <v>9.9727999999999997E-11</v>
      </c>
      <c r="E93" s="8">
        <v>9.9727999999999997E-11</v>
      </c>
      <c r="F93" s="8">
        <v>2.4073000000000001E-12</v>
      </c>
      <c r="G93" s="8">
        <v>4.7401000000000002E-17</v>
      </c>
      <c r="H93" s="8">
        <v>2.1938999999999999E-11</v>
      </c>
      <c r="I93" s="8">
        <v>2.8022999999999999E-12</v>
      </c>
      <c r="J93" s="8"/>
      <c r="K93" s="1"/>
      <c r="L93" s="1"/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2:65">
      <c r="B94" s="7">
        <v>440</v>
      </c>
      <c r="C94" s="8">
        <v>9.9198E-11</v>
      </c>
      <c r="D94" s="8">
        <v>9.9198E-11</v>
      </c>
      <c r="E94" s="8">
        <v>9.9198E-11</v>
      </c>
      <c r="F94" s="8">
        <v>2.3944999999999999E-12</v>
      </c>
      <c r="G94" s="8">
        <v>4.7134000000000002E-17</v>
      </c>
      <c r="H94" s="8">
        <v>2.2395999999999999E-11</v>
      </c>
      <c r="I94" s="8">
        <v>2.8783999999999999E-12</v>
      </c>
      <c r="J94" s="8"/>
      <c r="K94" s="1"/>
      <c r="L94" s="1"/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2:65">
      <c r="B95" s="7">
        <v>450</v>
      </c>
      <c r="C95" s="8">
        <v>9.8671000000000002E-11</v>
      </c>
      <c r="D95" s="8">
        <v>9.8671000000000002E-11</v>
      </c>
      <c r="E95" s="8">
        <v>9.8671000000000002E-11</v>
      </c>
      <c r="F95" s="8">
        <v>2.3816999999999998E-12</v>
      </c>
      <c r="G95" s="8">
        <v>4.6877000000000001E-17</v>
      </c>
      <c r="H95" s="8">
        <v>2.2852000000000002E-11</v>
      </c>
      <c r="I95" s="8">
        <v>2.9540000000000001E-12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2:65">
      <c r="B96" s="7">
        <v>460</v>
      </c>
      <c r="C96" s="8">
        <v>9.8147000000000005E-11</v>
      </c>
      <c r="D96" s="8">
        <v>9.8147000000000005E-11</v>
      </c>
      <c r="E96" s="8">
        <v>9.8147000000000005E-11</v>
      </c>
      <c r="F96" s="8">
        <v>2.3690000000000001E-12</v>
      </c>
      <c r="G96" s="8">
        <v>4.6606E-17</v>
      </c>
      <c r="H96" s="8">
        <v>2.3305000000000001E-11</v>
      </c>
      <c r="I96" s="8">
        <v>3.0293E-12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>
      <c r="B97" s="7">
        <v>470</v>
      </c>
      <c r="C97" s="8">
        <v>9.7625999999999995E-11</v>
      </c>
      <c r="D97" s="8">
        <v>9.7625999999999995E-11</v>
      </c>
      <c r="E97" s="8">
        <v>9.7625999999999995E-11</v>
      </c>
      <c r="F97" s="8">
        <v>2.3563999999999999E-12</v>
      </c>
      <c r="G97" s="8">
        <v>4.6258000000000001E-17</v>
      </c>
      <c r="H97" s="8">
        <v>2.3755E-11</v>
      </c>
      <c r="I97" s="8">
        <v>3.1042E-12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>
      <c r="B98" s="7">
        <v>480</v>
      </c>
      <c r="C98" s="8">
        <v>9.7107000000000001E-11</v>
      </c>
      <c r="D98" s="8">
        <v>9.7107000000000001E-11</v>
      </c>
      <c r="E98" s="8">
        <v>9.7107000000000001E-11</v>
      </c>
      <c r="F98" s="8">
        <v>2.3438000000000002E-12</v>
      </c>
      <c r="G98" s="8">
        <v>4.6058999999999998E-17</v>
      </c>
      <c r="H98" s="8">
        <v>2.4203000000000001E-11</v>
      </c>
      <c r="I98" s="8">
        <v>3.1788000000000001E-12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>
      <c r="B99" s="7">
        <v>490</v>
      </c>
      <c r="C99" s="8">
        <v>9.6590999999999995E-11</v>
      </c>
      <c r="D99" s="8">
        <v>9.6590999999999995E-11</v>
      </c>
      <c r="E99" s="8">
        <v>9.6590999999999995E-11</v>
      </c>
      <c r="F99" s="8">
        <v>2.3313E-12</v>
      </c>
      <c r="G99" s="8">
        <v>4.5904999999999997E-17</v>
      </c>
      <c r="H99" s="8">
        <v>2.4647999999999999E-11</v>
      </c>
      <c r="I99" s="8">
        <v>3.2529E-12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>
      <c r="B100" s="7">
        <v>500</v>
      </c>
      <c r="C100" s="8">
        <v>9.6078000000000002E-11</v>
      </c>
      <c r="D100" s="8">
        <v>9.6078000000000002E-11</v>
      </c>
      <c r="E100" s="8">
        <v>9.6078000000000002E-11</v>
      </c>
      <c r="F100" s="8">
        <v>2.3189000000000001E-12</v>
      </c>
      <c r="G100" s="8">
        <v>4.5541000000000001E-17</v>
      </c>
      <c r="H100" s="8">
        <v>2.5091999999999998E-11</v>
      </c>
      <c r="I100" s="8">
        <v>3.3267E-12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>
      <c r="B101" s="7">
        <v>510</v>
      </c>
      <c r="C101" s="8">
        <v>9.5567999999999995E-11</v>
      </c>
      <c r="D101" s="8">
        <v>9.5567999999999995E-11</v>
      </c>
      <c r="E101" s="8">
        <v>9.5567999999999995E-11</v>
      </c>
      <c r="F101" s="8">
        <v>2.3065999999999999E-12</v>
      </c>
      <c r="G101" s="8">
        <v>4.5345999999999999E-17</v>
      </c>
      <c r="H101" s="8">
        <v>2.5531999999999999E-11</v>
      </c>
      <c r="I101" s="8">
        <v>3.4001E-12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>
      <c r="B102" s="7">
        <v>520</v>
      </c>
      <c r="C102" s="8">
        <v>9.5060000000000006E-11</v>
      </c>
      <c r="D102" s="8">
        <v>9.5060000000000006E-11</v>
      </c>
      <c r="E102" s="8">
        <v>9.5060000000000006E-11</v>
      </c>
      <c r="F102" s="8">
        <v>2.2943E-12</v>
      </c>
      <c r="G102" s="8">
        <v>4.5069999999999998E-17</v>
      </c>
      <c r="H102" s="8">
        <v>2.5971000000000001E-11</v>
      </c>
      <c r="I102" s="8">
        <v>3.4730999999999998E-12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>
      <c r="B103" s="7">
        <v>530</v>
      </c>
      <c r="C103" s="8">
        <v>9.4555999999999999E-11</v>
      </c>
      <c r="D103" s="8">
        <v>9.4555999999999999E-11</v>
      </c>
      <c r="E103" s="8">
        <v>9.4555999999999999E-11</v>
      </c>
      <c r="F103" s="8">
        <v>2.2821000000000001E-12</v>
      </c>
      <c r="G103" s="8">
        <v>4.4829000000000001E-17</v>
      </c>
      <c r="H103" s="8">
        <v>2.6406999999999999E-11</v>
      </c>
      <c r="I103" s="8">
        <v>3.5457000000000001E-12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>
      <c r="B104" s="7">
        <v>540</v>
      </c>
      <c r="C104" s="8">
        <v>9.4053000000000001E-11</v>
      </c>
      <c r="D104" s="8">
        <v>9.4053000000000001E-11</v>
      </c>
      <c r="E104" s="8">
        <v>9.4053000000000001E-11</v>
      </c>
      <c r="F104" s="8">
        <v>2.2698999999999998E-12</v>
      </c>
      <c r="G104" s="8">
        <v>4.4638999999999998E-17</v>
      </c>
      <c r="H104" s="8">
        <v>2.6840000000000001E-11</v>
      </c>
      <c r="I104" s="8">
        <v>3.6180000000000001E-12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>
      <c r="B105" s="7">
        <v>550</v>
      </c>
      <c r="C105" s="8">
        <v>9.3553999999999998E-11</v>
      </c>
      <c r="D105" s="8">
        <v>9.3553999999999998E-11</v>
      </c>
      <c r="E105" s="8">
        <v>9.3553999999999998E-11</v>
      </c>
      <c r="F105" s="8">
        <v>2.2578999999999999E-12</v>
      </c>
      <c r="G105" s="8">
        <v>4.4371999999999998E-17</v>
      </c>
      <c r="H105" s="8">
        <v>2.7272000000000001E-11</v>
      </c>
      <c r="I105" s="8">
        <v>3.6899000000000003E-12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>
      <c r="B106" s="7">
        <v>560</v>
      </c>
      <c r="C106" s="8">
        <v>9.3057E-11</v>
      </c>
      <c r="D106" s="8">
        <v>9.3057E-11</v>
      </c>
      <c r="E106" s="8">
        <v>9.3057E-11</v>
      </c>
      <c r="F106" s="8">
        <v>2.2459E-12</v>
      </c>
      <c r="G106" s="8">
        <v>4.4160999999999998E-17</v>
      </c>
      <c r="H106" s="8">
        <v>2.7701000000000001E-11</v>
      </c>
      <c r="I106" s="8">
        <v>3.7613999999999997E-12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>
      <c r="B107" s="7">
        <v>570</v>
      </c>
      <c r="C107" s="8">
        <v>9.2563000000000001E-11</v>
      </c>
      <c r="D107" s="8">
        <v>9.2563000000000001E-11</v>
      </c>
      <c r="E107" s="8">
        <v>9.2563000000000001E-11</v>
      </c>
      <c r="F107" s="8">
        <v>2.2339E-12</v>
      </c>
      <c r="G107" s="8">
        <v>4.3948999999999999E-17</v>
      </c>
      <c r="H107" s="8">
        <v>2.8127000000000001E-11</v>
      </c>
      <c r="I107" s="8">
        <v>3.8325000000000001E-12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>
      <c r="B108" s="7">
        <v>580</v>
      </c>
      <c r="C108" s="8">
        <v>9.2072000000000003E-11</v>
      </c>
      <c r="D108" s="8">
        <v>9.2072000000000003E-11</v>
      </c>
      <c r="E108" s="8">
        <v>9.2072000000000003E-11</v>
      </c>
      <c r="F108" s="8">
        <v>2.222E-12</v>
      </c>
      <c r="G108" s="8">
        <v>4.3676000000000001E-17</v>
      </c>
      <c r="H108" s="8">
        <v>2.8551999999999999E-11</v>
      </c>
      <c r="I108" s="8">
        <v>3.9033000000000001E-12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>
      <c r="B109" s="7">
        <v>590</v>
      </c>
      <c r="C109" s="8">
        <v>9.1582999999999995E-11</v>
      </c>
      <c r="D109" s="8">
        <v>9.1582999999999995E-11</v>
      </c>
      <c r="E109" s="8">
        <v>9.1582999999999995E-11</v>
      </c>
      <c r="F109" s="8">
        <v>2.2102E-12</v>
      </c>
      <c r="G109" s="8">
        <v>4.3363999999999998E-17</v>
      </c>
      <c r="H109" s="8">
        <v>2.8974E-11</v>
      </c>
      <c r="I109" s="8">
        <v>3.9737000000000003E-12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>
      <c r="B110" s="7">
        <v>600</v>
      </c>
      <c r="C110" s="8">
        <v>9.1097000000000001E-11</v>
      </c>
      <c r="D110" s="8">
        <v>9.1097000000000001E-11</v>
      </c>
      <c r="E110" s="8">
        <v>9.1097000000000001E-11</v>
      </c>
      <c r="F110" s="8">
        <v>2.1985E-12</v>
      </c>
      <c r="G110" s="8">
        <v>4.3183000000000002E-17</v>
      </c>
      <c r="H110" s="8">
        <v>2.9393999999999997E-11</v>
      </c>
      <c r="I110" s="8">
        <v>4.0436999999999998E-12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>
      <c r="B111" s="7">
        <v>610</v>
      </c>
      <c r="C111" s="8">
        <v>9.0612999999999998E-11</v>
      </c>
      <c r="D111" s="8">
        <v>9.0612999999999998E-11</v>
      </c>
      <c r="E111" s="8">
        <v>9.0612999999999998E-11</v>
      </c>
      <c r="F111" s="8">
        <v>2.1867999999999999E-12</v>
      </c>
      <c r="G111" s="8">
        <v>4.2962000000000003E-17</v>
      </c>
      <c r="H111" s="8">
        <v>2.9811000000000001E-11</v>
      </c>
      <c r="I111" s="8">
        <v>4.1133000000000003E-12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>
      <c r="B112" s="7">
        <v>620</v>
      </c>
      <c r="C112" s="8">
        <v>9.0131999999999994E-11</v>
      </c>
      <c r="D112" s="8">
        <v>9.0131999999999994E-11</v>
      </c>
      <c r="E112" s="8">
        <v>9.0131999999999994E-11</v>
      </c>
      <c r="F112" s="8">
        <v>2.1750999999999999E-12</v>
      </c>
      <c r="G112" s="8">
        <v>4.2775000000000002E-17</v>
      </c>
      <c r="H112" s="8">
        <v>3.0226E-11</v>
      </c>
      <c r="I112" s="8">
        <v>4.1826000000000004E-12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>
      <c r="B113" s="7">
        <v>630</v>
      </c>
      <c r="C113" s="8">
        <v>8.9654000000000004E-11</v>
      </c>
      <c r="D113" s="8">
        <v>8.9654000000000004E-11</v>
      </c>
      <c r="E113" s="8">
        <v>8.9654000000000004E-11</v>
      </c>
      <c r="F113" s="8">
        <v>2.1636000000000002E-12</v>
      </c>
      <c r="G113" s="8">
        <v>4.2484000000000003E-17</v>
      </c>
      <c r="H113" s="8">
        <v>3.0639999999999997E-11</v>
      </c>
      <c r="I113" s="8">
        <v>4.2516000000000002E-12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>
      <c r="B114" s="7">
        <v>640</v>
      </c>
      <c r="C114" s="8">
        <v>8.9178000000000005E-11</v>
      </c>
      <c r="D114" s="8">
        <v>8.9178000000000005E-11</v>
      </c>
      <c r="E114" s="8">
        <v>8.9178000000000005E-11</v>
      </c>
      <c r="F114" s="8">
        <v>2.1521000000000001E-12</v>
      </c>
      <c r="G114" s="8">
        <v>4.2199000000000002E-17</v>
      </c>
      <c r="H114" s="8">
        <v>3.1049999999999999E-11</v>
      </c>
      <c r="I114" s="8">
        <v>4.3200999999999997E-12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>
      <c r="B115" s="7">
        <v>650</v>
      </c>
      <c r="C115" s="8">
        <v>8.8705000000000005E-11</v>
      </c>
      <c r="D115" s="8">
        <v>8.8705000000000005E-11</v>
      </c>
      <c r="E115" s="8">
        <v>8.8705000000000005E-11</v>
      </c>
      <c r="F115" s="8">
        <v>2.1406E-12</v>
      </c>
      <c r="G115" s="8">
        <v>4.2016000000000002E-17</v>
      </c>
      <c r="H115" s="8">
        <v>3.1458999999999998E-11</v>
      </c>
      <c r="I115" s="8">
        <v>4.3882999999999998E-12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>
      <c r="B116" s="7">
        <v>660</v>
      </c>
      <c r="C116" s="8">
        <v>8.8233999999999997E-11</v>
      </c>
      <c r="D116" s="8">
        <v>8.8233999999999997E-11</v>
      </c>
      <c r="E116" s="8">
        <v>8.8233999999999997E-11</v>
      </c>
      <c r="F116" s="8">
        <v>2.1292999999999998E-12</v>
      </c>
      <c r="G116" s="8">
        <v>4.1782000000000002E-17</v>
      </c>
      <c r="H116" s="8">
        <v>3.1866E-11</v>
      </c>
      <c r="I116" s="8">
        <v>4.4562000000000003E-12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>
      <c r="B117" s="7">
        <v>670</v>
      </c>
      <c r="C117" s="8">
        <v>8.7766000000000002E-11</v>
      </c>
      <c r="D117" s="8">
        <v>8.7766000000000002E-11</v>
      </c>
      <c r="E117" s="8">
        <v>8.7766000000000002E-11</v>
      </c>
      <c r="F117" s="8">
        <v>2.1179000000000001E-12</v>
      </c>
      <c r="G117" s="8">
        <v>4.1521E-17</v>
      </c>
      <c r="H117" s="8">
        <v>3.2270000000000002E-11</v>
      </c>
      <c r="I117" s="8">
        <v>4.5237000000000002E-12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>
      <c r="B118" s="7">
        <v>680</v>
      </c>
      <c r="C118" s="8">
        <v>8.7299999999999998E-11</v>
      </c>
      <c r="D118" s="8">
        <v>8.7299999999999998E-11</v>
      </c>
      <c r="E118" s="8">
        <v>8.7299999999999998E-11</v>
      </c>
      <c r="F118" s="8">
        <v>2.1066999999999999E-12</v>
      </c>
      <c r="G118" s="8">
        <v>4.1303000000000003E-17</v>
      </c>
      <c r="H118" s="8">
        <v>3.2672E-11</v>
      </c>
      <c r="I118" s="8">
        <v>4.5908000000000002E-12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>
      <c r="B119" s="7">
        <v>690</v>
      </c>
      <c r="C119" s="8">
        <v>8.6836999999999994E-11</v>
      </c>
      <c r="D119" s="8">
        <v>8.6836999999999994E-11</v>
      </c>
      <c r="E119" s="8">
        <v>8.6836999999999994E-11</v>
      </c>
      <c r="F119" s="8">
        <v>2.0955000000000001E-12</v>
      </c>
      <c r="G119" s="8">
        <v>4.1009000000000001E-17</v>
      </c>
      <c r="H119" s="8">
        <v>3.3072E-11</v>
      </c>
      <c r="I119" s="8">
        <v>4.6575999999999999E-12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>
      <c r="B120" s="7">
        <v>700</v>
      </c>
      <c r="C120" s="8">
        <v>8.6375999999999995E-11</v>
      </c>
      <c r="D120" s="8">
        <v>8.6375999999999995E-11</v>
      </c>
      <c r="E120" s="8">
        <v>8.6375999999999995E-11</v>
      </c>
      <c r="F120" s="8">
        <v>2.0843999999999999E-12</v>
      </c>
      <c r="G120" s="8">
        <v>4.0881000000000003E-17</v>
      </c>
      <c r="H120" s="8">
        <v>3.3470000000000002E-11</v>
      </c>
      <c r="I120" s="8">
        <v>4.7239999999999997E-12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>
      <c r="B121" s="7">
        <v>720</v>
      </c>
      <c r="C121" s="8">
        <v>8.5461000000000003E-11</v>
      </c>
      <c r="D121" s="8">
        <v>8.5461000000000003E-11</v>
      </c>
      <c r="E121" s="8">
        <v>8.5461000000000003E-11</v>
      </c>
      <c r="F121" s="8">
        <v>2.0622999999999998E-12</v>
      </c>
      <c r="G121" s="8">
        <v>3.9489000000000003E-17</v>
      </c>
      <c r="H121" s="8">
        <v>3.4258999999999998E-11</v>
      </c>
      <c r="I121" s="8">
        <v>4.8558999999999999E-12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>
      <c r="B122" s="7">
        <v>740</v>
      </c>
      <c r="C122" s="8">
        <v>8.4561999999999995E-11</v>
      </c>
      <c r="D122" s="8">
        <v>8.4561999999999995E-11</v>
      </c>
      <c r="E122" s="8">
        <v>8.4561999999999995E-11</v>
      </c>
      <c r="F122" s="8">
        <v>2.0405E-12</v>
      </c>
      <c r="G122" s="8">
        <v>4.0152999999999999E-17</v>
      </c>
      <c r="H122" s="8">
        <v>3.5040000000000003E-11</v>
      </c>
      <c r="I122" s="8">
        <v>4.9863000000000003E-12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>
      <c r="B123" s="7">
        <v>760</v>
      </c>
      <c r="C123" s="8">
        <v>8.3671000000000002E-11</v>
      </c>
      <c r="D123" s="8">
        <v>8.3671000000000002E-11</v>
      </c>
      <c r="E123" s="8">
        <v>8.3671000000000002E-11</v>
      </c>
      <c r="F123" s="8">
        <v>2.0190000000000002E-12</v>
      </c>
      <c r="G123" s="8">
        <v>3.9961999999999997E-17</v>
      </c>
      <c r="H123" s="8">
        <v>3.5812999999999997E-11</v>
      </c>
      <c r="I123" s="8">
        <v>5.1153999999999998E-12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>
      <c r="B124" s="7">
        <v>780</v>
      </c>
      <c r="C124" s="8">
        <v>8.2791000000000001E-11</v>
      </c>
      <c r="D124" s="8">
        <v>8.2791000000000001E-11</v>
      </c>
      <c r="E124" s="8">
        <v>8.2791000000000001E-11</v>
      </c>
      <c r="F124" s="8">
        <v>1.9977999999999998E-12</v>
      </c>
      <c r="G124" s="8">
        <v>3.9613E-17</v>
      </c>
      <c r="H124" s="8">
        <v>3.6576999999999998E-11</v>
      </c>
      <c r="I124" s="8">
        <v>5.2432000000000001E-12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>
      <c r="B125" s="7">
        <v>800</v>
      </c>
      <c r="C125" s="8">
        <v>8.1916000000000004E-11</v>
      </c>
      <c r="D125" s="8">
        <v>8.1916000000000004E-11</v>
      </c>
      <c r="E125" s="8">
        <v>8.1916000000000004E-11</v>
      </c>
      <c r="F125" s="8">
        <v>1.9765999999999999E-12</v>
      </c>
      <c r="G125" s="8">
        <v>3.9139000000000001E-17</v>
      </c>
      <c r="H125" s="8">
        <v>3.7333000000000002E-11</v>
      </c>
      <c r="I125" s="8">
        <v>5.3696999999999996E-12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>
      <c r="B126" s="7">
        <v>820</v>
      </c>
      <c r="C126" s="8">
        <v>8.1049999999999994E-11</v>
      </c>
      <c r="D126" s="8">
        <v>8.1049999999999994E-11</v>
      </c>
      <c r="E126" s="8">
        <v>8.1049999999999994E-11</v>
      </c>
      <c r="F126" s="8">
        <v>1.9556999999999998E-12</v>
      </c>
      <c r="G126" s="8">
        <v>3.8455999999999999E-17</v>
      </c>
      <c r="H126" s="8">
        <v>3.8081999999999997E-11</v>
      </c>
      <c r="I126" s="8">
        <v>5.4948000000000004E-12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>
      <c r="B127" s="7">
        <v>840</v>
      </c>
      <c r="C127" s="8">
        <v>8.0192000000000001E-11</v>
      </c>
      <c r="D127" s="8">
        <v>8.0192000000000001E-11</v>
      </c>
      <c r="E127" s="8">
        <v>8.0192000000000001E-11</v>
      </c>
      <c r="F127" s="8">
        <v>1.9350000000000001E-12</v>
      </c>
      <c r="G127" s="8">
        <v>3.8177000000000003E-17</v>
      </c>
      <c r="H127" s="8">
        <v>3.8821999999999999E-11</v>
      </c>
      <c r="I127" s="8">
        <v>5.6186000000000003E-12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>
      <c r="B128" s="7">
        <v>860</v>
      </c>
      <c r="C128" s="8">
        <v>7.9344000000000003E-11</v>
      </c>
      <c r="D128" s="8">
        <v>7.9344000000000003E-11</v>
      </c>
      <c r="E128" s="8">
        <v>7.9344000000000003E-11</v>
      </c>
      <c r="F128" s="8">
        <v>1.9145E-12</v>
      </c>
      <c r="G128" s="8">
        <v>3.7583000000000001E-17</v>
      </c>
      <c r="H128" s="8">
        <v>3.9553999999999997E-11</v>
      </c>
      <c r="I128" s="8">
        <v>5.7411000000000002E-12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>
      <c r="B129" s="7">
        <v>880</v>
      </c>
      <c r="C129" s="8">
        <v>7.8503999999999996E-11</v>
      </c>
      <c r="D129" s="8">
        <v>7.8503999999999996E-11</v>
      </c>
      <c r="E129" s="8">
        <v>7.8503999999999996E-11</v>
      </c>
      <c r="F129" s="8">
        <v>1.8943000000000001E-12</v>
      </c>
      <c r="G129" s="8">
        <v>3.7118000000000002E-17</v>
      </c>
      <c r="H129" s="8">
        <v>4.0279E-11</v>
      </c>
      <c r="I129" s="8">
        <v>5.8623000000000002E-12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>
      <c r="B130" s="7">
        <v>900</v>
      </c>
      <c r="C130" s="8">
        <v>7.7673999999999997E-11</v>
      </c>
      <c r="D130" s="8">
        <v>7.7673999999999997E-11</v>
      </c>
      <c r="E130" s="8">
        <v>7.7673999999999997E-11</v>
      </c>
      <c r="F130" s="8">
        <v>1.8741999999999998E-12</v>
      </c>
      <c r="G130" s="8">
        <v>3.6752000000000003E-17</v>
      </c>
      <c r="H130" s="8">
        <v>4.0995999999999999E-11</v>
      </c>
      <c r="I130" s="8">
        <v>5.9822000000000001E-12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>
      <c r="B131" s="7">
        <v>920</v>
      </c>
      <c r="C131" s="8">
        <v>7.6852000000000003E-11</v>
      </c>
      <c r="D131" s="8">
        <v>7.6852000000000003E-11</v>
      </c>
      <c r="E131" s="8">
        <v>7.6852000000000003E-11</v>
      </c>
      <c r="F131" s="8">
        <v>1.8543999999999999E-12</v>
      </c>
      <c r="G131" s="8">
        <v>3.6272999999999998E-17</v>
      </c>
      <c r="H131" s="8">
        <v>4.1705E-11</v>
      </c>
      <c r="I131" s="8">
        <v>6.1008E-12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>
      <c r="B132" s="7">
        <v>940</v>
      </c>
      <c r="C132" s="8">
        <v>7.6038999999999995E-11</v>
      </c>
      <c r="D132" s="8">
        <v>7.6038999999999995E-11</v>
      </c>
      <c r="E132" s="8">
        <v>7.6038999999999995E-11</v>
      </c>
      <c r="F132" s="8">
        <v>1.8346999999999998E-12</v>
      </c>
      <c r="G132" s="8">
        <v>3.5927000000000003E-17</v>
      </c>
      <c r="H132" s="8">
        <v>4.2406999999999999E-11</v>
      </c>
      <c r="I132" s="8">
        <v>6.2182000000000003E-12</v>
      </c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>
      <c r="B133" s="7">
        <v>960</v>
      </c>
      <c r="C133" s="8">
        <v>7.5234999999999999E-11</v>
      </c>
      <c r="D133" s="8">
        <v>7.5234999999999999E-11</v>
      </c>
      <c r="E133" s="8">
        <v>7.5234999999999999E-11</v>
      </c>
      <c r="F133" s="8">
        <v>1.8152999999999999E-12</v>
      </c>
      <c r="G133" s="8">
        <v>3.5568999999999999E-17</v>
      </c>
      <c r="H133" s="8">
        <v>4.3101000000000001E-11</v>
      </c>
      <c r="I133" s="8">
        <v>6.3342999999999998E-12</v>
      </c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>
      <c r="B134" s="7">
        <v>980</v>
      </c>
      <c r="C134" s="8">
        <v>7.4438999999999995E-11</v>
      </c>
      <c r="D134" s="8">
        <v>7.4438999999999995E-11</v>
      </c>
      <c r="E134" s="8">
        <v>7.4438999999999995E-11</v>
      </c>
      <c r="F134" s="8">
        <v>1.7961E-12</v>
      </c>
      <c r="G134" s="8">
        <v>3.5168000000000003E-17</v>
      </c>
      <c r="H134" s="8">
        <v>4.3788E-11</v>
      </c>
      <c r="I134" s="8">
        <v>6.4491999999999996E-12</v>
      </c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>
      <c r="B135" s="7">
        <v>1000</v>
      </c>
      <c r="C135" s="8">
        <v>7.3650999999999995E-11</v>
      </c>
      <c r="D135" s="8">
        <v>7.3650999999999995E-11</v>
      </c>
      <c r="E135" s="8">
        <v>7.3650999999999995E-11</v>
      </c>
      <c r="F135" s="8">
        <v>1.7771E-12</v>
      </c>
      <c r="G135" s="8">
        <v>3.4763999999999998E-17</v>
      </c>
      <c r="H135" s="8">
        <v>4.4467999999999998E-11</v>
      </c>
      <c r="I135" s="8">
        <v>6.5630000000000002E-12</v>
      </c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>
      <c r="B136" s="7">
        <v>1020</v>
      </c>
      <c r="C136" s="8">
        <v>7.2871999999999994E-11</v>
      </c>
      <c r="D136" s="8">
        <v>7.2871999999999994E-11</v>
      </c>
      <c r="E136" s="8">
        <v>7.2871999999999994E-11</v>
      </c>
      <c r="F136" s="8">
        <v>1.7583000000000001E-12</v>
      </c>
      <c r="G136" s="8">
        <v>3.4390000000000003E-17</v>
      </c>
      <c r="H136" s="8">
        <v>4.5139999999999999E-11</v>
      </c>
      <c r="I136" s="8">
        <v>6.6755E-12</v>
      </c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>
      <c r="B137" s="7">
        <v>1040</v>
      </c>
      <c r="C137" s="8">
        <v>7.2102000000000006E-11</v>
      </c>
      <c r="D137" s="8">
        <v>7.2102000000000006E-11</v>
      </c>
      <c r="E137" s="8">
        <v>7.2102000000000006E-11</v>
      </c>
      <c r="F137" s="8">
        <v>1.7396999999999999E-12</v>
      </c>
      <c r="G137" s="8">
        <v>3.3994E-17</v>
      </c>
      <c r="H137" s="8">
        <v>4.5805999999999999E-11</v>
      </c>
      <c r="I137" s="8">
        <v>6.7868000000000001E-12</v>
      </c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>
      <c r="B138" s="7">
        <v>1060</v>
      </c>
      <c r="C138" s="8">
        <v>7.1339E-11</v>
      </c>
      <c r="D138" s="8">
        <v>7.1339E-11</v>
      </c>
      <c r="E138" s="8">
        <v>7.1339E-11</v>
      </c>
      <c r="F138" s="8">
        <v>1.7212999999999999E-12</v>
      </c>
      <c r="G138" s="8">
        <v>3.3701000000000003E-17</v>
      </c>
      <c r="H138" s="8">
        <v>4.6464000000000002E-11</v>
      </c>
      <c r="I138" s="8">
        <v>6.8968999999999998E-12</v>
      </c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>
      <c r="B139" s="7">
        <v>1080</v>
      </c>
      <c r="C139" s="8">
        <v>7.0583999999999999E-11</v>
      </c>
      <c r="D139" s="8">
        <v>7.0583999999999999E-11</v>
      </c>
      <c r="E139" s="8">
        <v>7.0583999999999999E-11</v>
      </c>
      <c r="F139" s="8">
        <v>1.7031000000000001E-12</v>
      </c>
      <c r="G139" s="8">
        <v>3.3286999999999999E-17</v>
      </c>
      <c r="H139" s="8">
        <v>4.7114999999999997E-11</v>
      </c>
      <c r="I139" s="8">
        <v>7.0059000000000003E-12</v>
      </c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>
      <c r="B140" s="7">
        <v>1100</v>
      </c>
      <c r="C140" s="8">
        <v>6.9837999999999997E-11</v>
      </c>
      <c r="D140" s="8">
        <v>6.9837999999999997E-11</v>
      </c>
      <c r="E140" s="8">
        <v>6.9837999999999997E-11</v>
      </c>
      <c r="F140" s="8">
        <v>1.6851E-12</v>
      </c>
      <c r="G140" s="8">
        <v>3.2912999999999997E-17</v>
      </c>
      <c r="H140" s="8">
        <v>4.7759999999999998E-11</v>
      </c>
      <c r="I140" s="8">
        <v>7.1137000000000003E-12</v>
      </c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>
      <c r="B141" s="7">
        <v>1120</v>
      </c>
      <c r="C141" s="8">
        <v>6.9099000000000004E-11</v>
      </c>
      <c r="D141" s="8">
        <v>6.9099000000000004E-11</v>
      </c>
      <c r="E141" s="8">
        <v>6.9099000000000004E-11</v>
      </c>
      <c r="F141" s="8">
        <v>1.6672E-12</v>
      </c>
      <c r="G141" s="8">
        <v>3.2653E-17</v>
      </c>
      <c r="H141" s="8">
        <v>4.8397000000000002E-11</v>
      </c>
      <c r="I141" s="8">
        <v>7.2204000000000002E-12</v>
      </c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>
      <c r="B142" s="7">
        <v>1140</v>
      </c>
      <c r="C142" s="8">
        <v>6.8368000000000001E-11</v>
      </c>
      <c r="D142" s="8">
        <v>6.8368000000000001E-11</v>
      </c>
      <c r="E142" s="8">
        <v>6.8368000000000001E-11</v>
      </c>
      <c r="F142" s="8">
        <v>1.6496E-12</v>
      </c>
      <c r="G142" s="8">
        <v>3.2167999999999997E-17</v>
      </c>
      <c r="H142" s="8">
        <v>4.9028E-11</v>
      </c>
      <c r="I142" s="8">
        <v>7.3260000000000001E-12</v>
      </c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>
      <c r="B143" s="7">
        <v>1160</v>
      </c>
      <c r="C143" s="8">
        <v>6.7645000000000003E-11</v>
      </c>
      <c r="D143" s="8">
        <v>6.7645000000000003E-11</v>
      </c>
      <c r="E143" s="8">
        <v>6.7645000000000003E-11</v>
      </c>
      <c r="F143" s="8">
        <v>1.6322000000000001E-12</v>
      </c>
      <c r="G143" s="8">
        <v>3.1884000000000001E-17</v>
      </c>
      <c r="H143" s="8">
        <v>4.9652000000000002E-11</v>
      </c>
      <c r="I143" s="8">
        <v>7.4304000000000003E-12</v>
      </c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>
      <c r="B144" s="7">
        <v>1180</v>
      </c>
      <c r="C144" s="8">
        <v>6.6929999999999995E-11</v>
      </c>
      <c r="D144" s="8">
        <v>6.6929999999999995E-11</v>
      </c>
      <c r="E144" s="8">
        <v>6.6929999999999995E-11</v>
      </c>
      <c r="F144" s="8">
        <v>1.6148999999999999E-12</v>
      </c>
      <c r="G144" s="8">
        <v>3.1592000000000003E-17</v>
      </c>
      <c r="H144" s="8">
        <v>5.0269999999999998E-11</v>
      </c>
      <c r="I144" s="8">
        <v>7.5337000000000005E-12</v>
      </c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>
      <c r="B145" s="7">
        <v>1200</v>
      </c>
      <c r="C145" s="8">
        <v>6.6221999999999996E-11</v>
      </c>
      <c r="D145" s="8">
        <v>6.6221999999999996E-11</v>
      </c>
      <c r="E145" s="8">
        <v>6.6221999999999996E-11</v>
      </c>
      <c r="F145" s="8">
        <v>1.5977999999999999E-12</v>
      </c>
      <c r="G145" s="8">
        <v>3.1234999999999998E-17</v>
      </c>
      <c r="H145" s="8">
        <v>5.0880999999999999E-11</v>
      </c>
      <c r="I145" s="8">
        <v>7.6360000000000002E-12</v>
      </c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>
      <c r="B146" s="7">
        <v>1220</v>
      </c>
      <c r="C146" s="8">
        <v>6.5522000000000001E-11</v>
      </c>
      <c r="D146" s="8">
        <v>6.5522000000000001E-11</v>
      </c>
      <c r="E146" s="8">
        <v>6.5522000000000001E-11</v>
      </c>
      <c r="F146" s="8">
        <v>1.5809000000000001E-12</v>
      </c>
      <c r="G146" s="8">
        <v>3.0933E-17</v>
      </c>
      <c r="H146" s="8">
        <v>5.1484999999999997E-11</v>
      </c>
      <c r="I146" s="8">
        <v>7.7371000000000002E-12</v>
      </c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>
      <c r="B147" s="7">
        <v>1240</v>
      </c>
      <c r="C147" s="8">
        <v>6.4829000000000002E-11</v>
      </c>
      <c r="D147" s="8">
        <v>6.4829000000000002E-11</v>
      </c>
      <c r="E147" s="8">
        <v>6.4829000000000002E-11</v>
      </c>
      <c r="F147" s="8">
        <v>1.5641999999999999E-12</v>
      </c>
      <c r="G147" s="8">
        <v>3.061E-17</v>
      </c>
      <c r="H147" s="8">
        <v>5.2083000000000003E-11</v>
      </c>
      <c r="I147" s="8">
        <v>7.8371999999999998E-12</v>
      </c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>
      <c r="B148" s="7">
        <v>1260</v>
      </c>
      <c r="C148" s="8">
        <v>6.4142999999999998E-11</v>
      </c>
      <c r="D148" s="8">
        <v>6.4142999999999998E-11</v>
      </c>
      <c r="E148" s="8">
        <v>6.4142999999999998E-11</v>
      </c>
      <c r="F148" s="8">
        <v>1.5476E-12</v>
      </c>
      <c r="G148" s="8">
        <v>3.0283999999999997E-17</v>
      </c>
      <c r="H148" s="8">
        <v>5.2675000000000002E-11</v>
      </c>
      <c r="I148" s="8">
        <v>7.9363000000000004E-12</v>
      </c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>
      <c r="B149" s="7">
        <v>1280</v>
      </c>
      <c r="C149" s="8">
        <v>6.3464999999999997E-11</v>
      </c>
      <c r="D149" s="8">
        <v>6.3464999999999997E-11</v>
      </c>
      <c r="E149" s="8">
        <v>6.3464999999999997E-11</v>
      </c>
      <c r="F149" s="8">
        <v>1.5312999999999999E-12</v>
      </c>
      <c r="G149" s="8">
        <v>2.9938000000000002E-17</v>
      </c>
      <c r="H149" s="8">
        <v>5.3259999999999999E-11</v>
      </c>
      <c r="I149" s="8">
        <v>8.0342999999999994E-12</v>
      </c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>
      <c r="B150" s="7">
        <v>1300</v>
      </c>
      <c r="C150" s="8">
        <v>6.2794000000000006E-11</v>
      </c>
      <c r="D150" s="8">
        <v>6.2794000000000006E-11</v>
      </c>
      <c r="E150" s="8">
        <v>6.2794000000000006E-11</v>
      </c>
      <c r="F150" s="8">
        <v>1.5151000000000001E-12</v>
      </c>
      <c r="G150" s="8">
        <v>2.9610000000000002E-17</v>
      </c>
      <c r="H150" s="8">
        <v>5.3839999999999998E-11</v>
      </c>
      <c r="I150" s="8">
        <v>8.1311999999999999E-12</v>
      </c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>
      <c r="B151" s="7">
        <v>1320</v>
      </c>
      <c r="C151" s="8">
        <v>6.2129999999999996E-11</v>
      </c>
      <c r="D151" s="8">
        <v>6.2129999999999996E-11</v>
      </c>
      <c r="E151" s="8">
        <v>6.2129999999999996E-11</v>
      </c>
      <c r="F151" s="8">
        <v>1.499E-12</v>
      </c>
      <c r="G151" s="8">
        <v>2.9325000000000001E-17</v>
      </c>
      <c r="H151" s="8">
        <v>5.4413000000000003E-11</v>
      </c>
      <c r="I151" s="8">
        <v>8.2271E-12</v>
      </c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>
      <c r="B152" s="7">
        <v>1340</v>
      </c>
      <c r="C152" s="8">
        <v>6.1472E-11</v>
      </c>
      <c r="D152" s="8">
        <v>6.1472E-11</v>
      </c>
      <c r="E152" s="8">
        <v>6.1472E-11</v>
      </c>
      <c r="F152" s="8">
        <v>1.4832E-12</v>
      </c>
      <c r="G152" s="8">
        <v>2.9049E-17</v>
      </c>
      <c r="H152" s="8">
        <v>5.498E-11</v>
      </c>
      <c r="I152" s="8">
        <v>8.3219999999999995E-12</v>
      </c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>
      <c r="B153" s="7">
        <v>1360</v>
      </c>
      <c r="C153" s="8">
        <v>6.0821999999999994E-11</v>
      </c>
      <c r="D153" s="8">
        <v>6.0821999999999994E-11</v>
      </c>
      <c r="E153" s="8">
        <v>6.0821999999999994E-11</v>
      </c>
      <c r="F153" s="8">
        <v>1.4675E-12</v>
      </c>
      <c r="G153" s="8">
        <v>2.8726E-17</v>
      </c>
      <c r="H153" s="8">
        <v>5.5540999999999999E-11</v>
      </c>
      <c r="I153" s="8">
        <v>8.4159000000000001E-12</v>
      </c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>
      <c r="B154" s="7">
        <v>1380</v>
      </c>
      <c r="C154" s="8">
        <v>6.0178999999999997E-11</v>
      </c>
      <c r="D154" s="8">
        <v>6.0178999999999997E-11</v>
      </c>
      <c r="E154" s="8">
        <v>6.0178999999999997E-11</v>
      </c>
      <c r="F154" s="8">
        <v>1.4520000000000001E-12</v>
      </c>
      <c r="G154" s="8">
        <v>2.8402999999999999E-17</v>
      </c>
      <c r="H154" s="8">
        <v>5.6095999999999997E-11</v>
      </c>
      <c r="I154" s="8">
        <v>8.5088000000000003E-12</v>
      </c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>
      <c r="B155" s="7">
        <v>1400</v>
      </c>
      <c r="C155" s="8">
        <v>5.9542999999999995E-11</v>
      </c>
      <c r="D155" s="8">
        <v>5.9542999999999995E-11</v>
      </c>
      <c r="E155" s="8">
        <v>5.9542999999999995E-11</v>
      </c>
      <c r="F155" s="8">
        <v>1.4366E-12</v>
      </c>
      <c r="G155" s="8">
        <v>2.8163999999999999E-17</v>
      </c>
      <c r="H155" s="8">
        <v>5.6645000000000002E-11</v>
      </c>
      <c r="I155" s="8">
        <v>8.6007999999999995E-12</v>
      </c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>
      <c r="B156" s="7">
        <v>1420</v>
      </c>
      <c r="C156" s="8">
        <v>5.8913000000000006E-11</v>
      </c>
      <c r="D156" s="8">
        <v>5.8913000000000006E-11</v>
      </c>
      <c r="E156" s="8">
        <v>5.8913000000000006E-11</v>
      </c>
      <c r="F156" s="8">
        <v>1.4214E-12</v>
      </c>
      <c r="G156" s="8">
        <v>2.7783999999999999E-17</v>
      </c>
      <c r="H156" s="8">
        <v>5.7189000000000003E-11</v>
      </c>
      <c r="I156" s="8">
        <v>8.6917999999999998E-12</v>
      </c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>
      <c r="B157" s="7">
        <v>1440</v>
      </c>
      <c r="C157" s="8">
        <v>5.829E-11</v>
      </c>
      <c r="D157" s="8">
        <v>5.829E-11</v>
      </c>
      <c r="E157" s="8">
        <v>5.829E-11</v>
      </c>
      <c r="F157" s="8">
        <v>1.4063999999999999E-12</v>
      </c>
      <c r="G157" s="8">
        <v>2.7465999999999999E-17</v>
      </c>
      <c r="H157" s="8">
        <v>5.7726000000000002E-11</v>
      </c>
      <c r="I157" s="8">
        <v>8.7817999999999996E-12</v>
      </c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>
      <c r="B158" s="7">
        <v>1460</v>
      </c>
      <c r="C158" s="8">
        <v>5.7674000000000002E-11</v>
      </c>
      <c r="D158" s="8">
        <v>5.7674000000000002E-11</v>
      </c>
      <c r="E158" s="8">
        <v>5.7674000000000002E-11</v>
      </c>
      <c r="F158" s="8">
        <v>1.3915000000000001E-12</v>
      </c>
      <c r="G158" s="8">
        <v>2.7226E-17</v>
      </c>
      <c r="H158" s="8">
        <v>5.8257999999999997E-11</v>
      </c>
      <c r="I158" s="8">
        <v>8.8708000000000005E-12</v>
      </c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>
      <c r="B159" s="7">
        <v>1480</v>
      </c>
      <c r="C159" s="8">
        <v>5.7064000000000003E-11</v>
      </c>
      <c r="D159" s="8">
        <v>5.7064000000000003E-11</v>
      </c>
      <c r="E159" s="8">
        <v>5.7064000000000003E-11</v>
      </c>
      <c r="F159" s="8">
        <v>1.3767999999999999E-12</v>
      </c>
      <c r="G159" s="8">
        <v>2.6940999999999999E-17</v>
      </c>
      <c r="H159" s="8">
        <v>5.8784999999999994E-11</v>
      </c>
      <c r="I159" s="8">
        <v>8.9589000000000005E-12</v>
      </c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>
      <c r="B160" s="7">
        <v>1500</v>
      </c>
      <c r="C160" s="8">
        <v>5.6459999999999998E-11</v>
      </c>
      <c r="D160" s="8">
        <v>5.6459999999999998E-11</v>
      </c>
      <c r="E160" s="8">
        <v>5.6459999999999998E-11</v>
      </c>
      <c r="F160" s="8">
        <v>1.3623E-12</v>
      </c>
      <c r="G160" s="8">
        <v>2.6599000000000002E-17</v>
      </c>
      <c r="H160" s="8">
        <v>5.9306000000000004E-11</v>
      </c>
      <c r="I160" s="8">
        <v>9.0460999999999996E-12</v>
      </c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>
      <c r="B161" s="7">
        <v>1520</v>
      </c>
      <c r="C161" s="8">
        <v>5.5863000000000001E-11</v>
      </c>
      <c r="D161" s="8">
        <v>5.5863000000000001E-11</v>
      </c>
      <c r="E161" s="8">
        <v>5.5863000000000001E-11</v>
      </c>
      <c r="F161" s="8">
        <v>1.3478E-12</v>
      </c>
      <c r="G161" s="8">
        <v>2.6387E-17</v>
      </c>
      <c r="H161" s="8">
        <v>5.9821000000000002E-11</v>
      </c>
      <c r="I161" s="8">
        <v>9.1322999999999998E-12</v>
      </c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>
      <c r="B162" s="7">
        <v>1560</v>
      </c>
      <c r="C162" s="8">
        <v>5.4688000000000003E-11</v>
      </c>
      <c r="D162" s="8">
        <v>5.4688000000000003E-11</v>
      </c>
      <c r="E162" s="8">
        <v>5.4688000000000003E-11</v>
      </c>
      <c r="F162" s="8">
        <v>1.3195E-12</v>
      </c>
      <c r="G162" s="8">
        <v>2.5257E-17</v>
      </c>
      <c r="H162" s="8">
        <v>6.0835000000000002E-11</v>
      </c>
      <c r="I162" s="8">
        <v>9.3021000000000001E-12</v>
      </c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>
      <c r="B163" s="7">
        <v>1600</v>
      </c>
      <c r="C163" s="8">
        <v>5.3536999999999997E-11</v>
      </c>
      <c r="D163" s="8">
        <v>5.3536999999999997E-11</v>
      </c>
      <c r="E163" s="8">
        <v>5.3536999999999997E-11</v>
      </c>
      <c r="F163" s="8">
        <v>1.2917E-12</v>
      </c>
      <c r="G163" s="8">
        <v>2.4498999999999999E-17</v>
      </c>
      <c r="H163" s="8">
        <v>6.1828000000000004E-11</v>
      </c>
      <c r="I163" s="8">
        <v>9.4680999999999992E-12</v>
      </c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>
      <c r="B164" s="7">
        <v>1640</v>
      </c>
      <c r="C164" s="8">
        <v>5.2410999999999999E-11</v>
      </c>
      <c r="D164" s="8">
        <v>5.2410999999999999E-11</v>
      </c>
      <c r="E164" s="8">
        <v>5.2410999999999999E-11</v>
      </c>
      <c r="F164" s="8">
        <v>1.2644999999999999E-12</v>
      </c>
      <c r="G164" s="8">
        <v>2.4528999999999999E-17</v>
      </c>
      <c r="H164" s="8">
        <v>6.2800000000000005E-11</v>
      </c>
      <c r="I164" s="8">
        <v>9.6307000000000002E-12</v>
      </c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>
      <c r="B165" s="7">
        <v>1680</v>
      </c>
      <c r="C165" s="8">
        <v>5.1307999999999997E-11</v>
      </c>
      <c r="D165" s="8">
        <v>5.1307999999999997E-11</v>
      </c>
      <c r="E165" s="8">
        <v>5.1307999999999997E-11</v>
      </c>
      <c r="F165" s="8">
        <v>1.2379E-12</v>
      </c>
      <c r="G165" s="8">
        <v>2.4101000000000001E-17</v>
      </c>
      <c r="H165" s="8">
        <v>6.3752000000000004E-11</v>
      </c>
      <c r="I165" s="8">
        <v>9.7899999999999993E-12</v>
      </c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>
      <c r="B166" s="7">
        <v>1720</v>
      </c>
      <c r="C166" s="8">
        <v>5.0229000000000002E-11</v>
      </c>
      <c r="D166" s="8">
        <v>5.0229000000000002E-11</v>
      </c>
      <c r="E166" s="8">
        <v>5.0229000000000002E-11</v>
      </c>
      <c r="F166" s="8">
        <v>1.2118999999999999E-12</v>
      </c>
      <c r="G166" s="8">
        <v>2.3483999999999999E-17</v>
      </c>
      <c r="H166" s="8">
        <v>6.4683000000000003E-11</v>
      </c>
      <c r="I166" s="8">
        <v>9.9459000000000003E-12</v>
      </c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>
      <c r="B167" s="7">
        <v>1760</v>
      </c>
      <c r="C167" s="8">
        <v>4.9172000000000001E-11</v>
      </c>
      <c r="D167" s="8">
        <v>4.9172000000000001E-11</v>
      </c>
      <c r="E167" s="8">
        <v>4.9172000000000001E-11</v>
      </c>
      <c r="F167" s="8">
        <v>1.1864000000000001E-12</v>
      </c>
      <c r="G167" s="8">
        <v>2.3101999999999999E-17</v>
      </c>
      <c r="H167" s="8">
        <v>6.5594999999999994E-11</v>
      </c>
      <c r="I167" s="8">
        <v>1.0099E-11</v>
      </c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>
      <c r="B168" s="7">
        <v>1800</v>
      </c>
      <c r="C168" s="8">
        <v>4.8137999999999997E-11</v>
      </c>
      <c r="D168" s="8">
        <v>4.8137999999999997E-11</v>
      </c>
      <c r="E168" s="8">
        <v>4.8137999999999997E-11</v>
      </c>
      <c r="F168" s="8">
        <v>1.1614000000000001E-12</v>
      </c>
      <c r="G168" s="8">
        <v>2.2621999999999999E-17</v>
      </c>
      <c r="H168" s="8">
        <v>6.6488000000000003E-11</v>
      </c>
      <c r="I168" s="8">
        <v>1.0248000000000001E-11</v>
      </c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>
      <c r="B169" s="7">
        <v>1840</v>
      </c>
      <c r="C169" s="8">
        <v>4.7124999999999999E-11</v>
      </c>
      <c r="D169" s="8">
        <v>4.7124999999999999E-11</v>
      </c>
      <c r="E169" s="8">
        <v>4.7124999999999999E-11</v>
      </c>
      <c r="F169" s="8">
        <v>1.1369999999999999E-12</v>
      </c>
      <c r="G169" s="8">
        <v>2.2175000000000001E-17</v>
      </c>
      <c r="H169" s="8">
        <v>6.7362000000000005E-11</v>
      </c>
      <c r="I169" s="8">
        <v>1.0394E-11</v>
      </c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>
      <c r="B170" s="7">
        <v>1880</v>
      </c>
      <c r="C170" s="8">
        <v>4.6133E-11</v>
      </c>
      <c r="D170" s="8">
        <v>4.6133E-11</v>
      </c>
      <c r="E170" s="8">
        <v>4.6133E-11</v>
      </c>
      <c r="F170" s="8">
        <v>1.1131E-12</v>
      </c>
      <c r="G170" s="8">
        <v>2.1761E-17</v>
      </c>
      <c r="H170" s="8">
        <v>6.8217999999999994E-11</v>
      </c>
      <c r="I170" s="8">
        <v>1.0537E-11</v>
      </c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>
      <c r="B171" s="7">
        <v>1920</v>
      </c>
      <c r="C171" s="8">
        <v>4.5163000000000002E-11</v>
      </c>
      <c r="D171" s="8">
        <v>4.5163000000000002E-11</v>
      </c>
      <c r="E171" s="8">
        <v>4.5163000000000002E-11</v>
      </c>
      <c r="F171" s="8">
        <v>1.0897000000000001E-12</v>
      </c>
      <c r="G171" s="8">
        <v>2.1297E-17</v>
      </c>
      <c r="H171" s="8">
        <v>6.9055000000000001E-11</v>
      </c>
      <c r="I171" s="8">
        <v>1.0678E-11</v>
      </c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>
      <c r="B172" s="7">
        <v>1960</v>
      </c>
      <c r="C172" s="8">
        <v>4.4213000000000002E-11</v>
      </c>
      <c r="D172" s="8">
        <v>4.4213000000000002E-11</v>
      </c>
      <c r="E172" s="8">
        <v>4.4213000000000002E-11</v>
      </c>
      <c r="F172" s="8">
        <v>1.0667000000000001E-12</v>
      </c>
      <c r="G172" s="8">
        <v>2.0863000000000001E-17</v>
      </c>
      <c r="H172" s="8">
        <v>6.9875000000000004E-11</v>
      </c>
      <c r="I172" s="8">
        <v>1.0815E-11</v>
      </c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>
      <c r="B173" s="7">
        <v>2000</v>
      </c>
      <c r="C173" s="8">
        <v>4.3282000000000002E-11</v>
      </c>
      <c r="D173" s="8">
        <v>4.3282000000000002E-11</v>
      </c>
      <c r="E173" s="8">
        <v>4.3282000000000002E-11</v>
      </c>
      <c r="F173" s="8">
        <v>1.0442999999999999E-12</v>
      </c>
      <c r="G173" s="8">
        <v>2.0427000000000001E-17</v>
      </c>
      <c r="H173" s="8">
        <v>7.0678000000000004E-11</v>
      </c>
      <c r="I173" s="8">
        <v>1.0948999999999999E-11</v>
      </c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>
      <c r="B174" s="7">
        <v>2040</v>
      </c>
      <c r="C174" s="8">
        <v>4.2372000000000002E-11</v>
      </c>
      <c r="D174" s="8">
        <v>4.2372000000000002E-11</v>
      </c>
      <c r="E174" s="8">
        <v>4.2372000000000002E-11</v>
      </c>
      <c r="F174" s="8">
        <v>1.0223E-12</v>
      </c>
      <c r="G174" s="8">
        <v>2.0001E-17</v>
      </c>
      <c r="H174" s="8">
        <v>7.1464E-11</v>
      </c>
      <c r="I174" s="8">
        <v>1.1080999999999999E-11</v>
      </c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>
      <c r="B175" s="7">
        <v>2080</v>
      </c>
      <c r="C175" s="8">
        <v>4.1480000000000002E-11</v>
      </c>
      <c r="D175" s="8">
        <v>4.1480000000000002E-11</v>
      </c>
      <c r="E175" s="8">
        <v>4.1480000000000002E-11</v>
      </c>
      <c r="F175" s="8">
        <v>1.0007999999999999E-12</v>
      </c>
      <c r="G175" s="8">
        <v>1.9584E-17</v>
      </c>
      <c r="H175" s="8">
        <v>7.2233000000000005E-11</v>
      </c>
      <c r="I175" s="8">
        <v>1.1209999999999999E-11</v>
      </c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>
      <c r="B176" s="7">
        <v>2120</v>
      </c>
      <c r="C176" s="8">
        <v>4.0607999999999998E-11</v>
      </c>
      <c r="D176" s="8">
        <v>4.0607999999999998E-11</v>
      </c>
      <c r="E176" s="8">
        <v>4.0607999999999998E-11</v>
      </c>
      <c r="F176" s="8">
        <v>9.7976000000000006E-13</v>
      </c>
      <c r="G176" s="8">
        <v>1.9150999999999999E-17</v>
      </c>
      <c r="H176" s="8">
        <v>7.2986000000000003E-11</v>
      </c>
      <c r="I176" s="8">
        <v>1.1335999999999999E-11</v>
      </c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>
      <c r="B177" s="7">
        <v>2160</v>
      </c>
      <c r="C177" s="8">
        <v>3.9752999999999998E-11</v>
      </c>
      <c r="D177" s="8">
        <v>3.9752999999999998E-11</v>
      </c>
      <c r="E177" s="8">
        <v>3.9752999999999998E-11</v>
      </c>
      <c r="F177" s="8">
        <v>9.5914000000000009E-13</v>
      </c>
      <c r="G177" s="8">
        <v>1.8768999999999999E-17</v>
      </c>
      <c r="H177" s="8">
        <v>7.3724E-11</v>
      </c>
      <c r="I177" s="8">
        <v>1.1459E-11</v>
      </c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>
      <c r="B178" s="7">
        <v>2200</v>
      </c>
      <c r="C178" s="8">
        <v>3.8917E-11</v>
      </c>
      <c r="D178" s="8">
        <v>3.8917E-11</v>
      </c>
      <c r="E178" s="8">
        <v>3.8917E-11</v>
      </c>
      <c r="F178" s="8">
        <v>9.3896000000000007E-13</v>
      </c>
      <c r="G178" s="8">
        <v>1.8354E-17</v>
      </c>
      <c r="H178" s="8">
        <v>7.4444999999999995E-11</v>
      </c>
      <c r="I178" s="8">
        <v>1.158E-11</v>
      </c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>
      <c r="B179" s="7">
        <v>2240</v>
      </c>
      <c r="C179" s="8">
        <v>3.8097999999999999E-11</v>
      </c>
      <c r="D179" s="8">
        <v>3.8097999999999999E-11</v>
      </c>
      <c r="E179" s="8">
        <v>3.8097999999999999E-11</v>
      </c>
      <c r="F179" s="8">
        <v>9.1921000000000008E-13</v>
      </c>
      <c r="G179" s="8">
        <v>1.7958E-17</v>
      </c>
      <c r="H179" s="8">
        <v>7.5151999999999998E-11</v>
      </c>
      <c r="I179" s="8">
        <v>1.1698E-11</v>
      </c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>
      <c r="B180" s="7">
        <v>2280</v>
      </c>
      <c r="C180" s="8">
        <v>3.7297000000000003E-11</v>
      </c>
      <c r="D180" s="8">
        <v>3.7297000000000003E-11</v>
      </c>
      <c r="E180" s="8">
        <v>3.7297000000000003E-11</v>
      </c>
      <c r="F180" s="8">
        <v>8.9986999999999998E-13</v>
      </c>
      <c r="G180" s="8">
        <v>1.7606E-17</v>
      </c>
      <c r="H180" s="8">
        <v>7.5844000000000002E-11</v>
      </c>
      <c r="I180" s="8">
        <v>1.1814E-11</v>
      </c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>
      <c r="B181" s="7">
        <v>2320</v>
      </c>
      <c r="C181" s="8">
        <v>3.6512000000000003E-11</v>
      </c>
      <c r="D181" s="8">
        <v>3.6512000000000003E-11</v>
      </c>
      <c r="E181" s="8">
        <v>3.6512000000000003E-11</v>
      </c>
      <c r="F181" s="8">
        <v>8.8093999999999998E-13</v>
      </c>
      <c r="G181" s="8">
        <v>1.7198999999999999E-17</v>
      </c>
      <c r="H181" s="8">
        <v>7.6521000000000006E-11</v>
      </c>
      <c r="I181" s="8">
        <v>1.1927E-11</v>
      </c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>
      <c r="B182" s="7">
        <v>2360</v>
      </c>
      <c r="C182" s="8">
        <v>3.5744E-11</v>
      </c>
      <c r="D182" s="8">
        <v>3.5744E-11</v>
      </c>
      <c r="E182" s="8">
        <v>3.5744E-11</v>
      </c>
      <c r="F182" s="8">
        <v>8.6240999999999996E-13</v>
      </c>
      <c r="G182" s="8">
        <v>1.6821E-17</v>
      </c>
      <c r="H182" s="8">
        <v>7.7183999999999994E-11</v>
      </c>
      <c r="I182" s="8">
        <v>1.2038E-11</v>
      </c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>
      <c r="B183" s="7">
        <v>2400</v>
      </c>
      <c r="C183" s="8">
        <v>3.4991999999999998E-11</v>
      </c>
      <c r="D183" s="8">
        <v>3.4991999999999998E-11</v>
      </c>
      <c r="E183" s="8">
        <v>3.4991999999999998E-11</v>
      </c>
      <c r="F183" s="8">
        <v>8.4425999999999998E-13</v>
      </c>
      <c r="G183" s="8">
        <v>1.6491E-17</v>
      </c>
      <c r="H183" s="8">
        <v>7.7833000000000004E-11</v>
      </c>
      <c r="I183" s="8">
        <v>1.2147E-11</v>
      </c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>
      <c r="B184" s="7">
        <v>2440</v>
      </c>
      <c r="C184" s="8">
        <v>3.4255999999999998E-11</v>
      </c>
      <c r="D184" s="8">
        <v>3.4255999999999998E-11</v>
      </c>
      <c r="E184" s="8">
        <v>3.4255999999999998E-11</v>
      </c>
      <c r="F184" s="8">
        <v>8.2649999999999996E-13</v>
      </c>
      <c r="G184" s="8">
        <v>1.6153999999999999E-17</v>
      </c>
      <c r="H184" s="8">
        <v>7.8467999999999997E-11</v>
      </c>
      <c r="I184" s="8">
        <v>1.2253E-11</v>
      </c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>
      <c r="B185" s="7">
        <v>2480</v>
      </c>
      <c r="C185" s="8">
        <v>3.3534999999999997E-11</v>
      </c>
      <c r="D185" s="8">
        <v>3.3534999999999997E-11</v>
      </c>
      <c r="E185" s="8">
        <v>3.3534999999999997E-11</v>
      </c>
      <c r="F185" s="8">
        <v>8.0910999999999997E-13</v>
      </c>
      <c r="G185" s="8">
        <v>1.5815000000000001E-17</v>
      </c>
      <c r="H185" s="8">
        <v>7.9089999999999995E-11</v>
      </c>
      <c r="I185" s="8">
        <v>1.2358E-11</v>
      </c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>
      <c r="B186" s="7">
        <v>2520</v>
      </c>
      <c r="C186" s="8">
        <v>3.2829999999999998E-11</v>
      </c>
      <c r="D186" s="8">
        <v>3.2829999999999998E-11</v>
      </c>
      <c r="E186" s="8">
        <v>3.2829999999999998E-11</v>
      </c>
      <c r="F186" s="8">
        <v>7.9209000000000001E-13</v>
      </c>
      <c r="G186" s="8">
        <v>1.5471E-17</v>
      </c>
      <c r="H186" s="8">
        <v>7.9698999999999998E-11</v>
      </c>
      <c r="I186" s="8">
        <v>1.2458999999999999E-11</v>
      </c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>
      <c r="B187" s="7">
        <v>2560</v>
      </c>
      <c r="C187" s="8">
        <v>3.2139000000000003E-11</v>
      </c>
      <c r="D187" s="8">
        <v>3.2139000000000003E-11</v>
      </c>
      <c r="E187" s="8">
        <v>3.2139000000000003E-11</v>
      </c>
      <c r="F187" s="8">
        <v>7.7542000000000004E-13</v>
      </c>
      <c r="G187" s="8">
        <v>1.5148999999999999E-17</v>
      </c>
      <c r="H187" s="8">
        <v>8.0295000000000006E-11</v>
      </c>
      <c r="I187" s="8">
        <v>1.2558999999999999E-11</v>
      </c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>
      <c r="B188" s="7">
        <v>2600</v>
      </c>
      <c r="C188" s="8">
        <v>3.1463E-11</v>
      </c>
      <c r="D188" s="8">
        <v>3.1463E-11</v>
      </c>
      <c r="E188" s="8">
        <v>3.1463E-11</v>
      </c>
      <c r="F188" s="8">
        <v>7.5910999999999998E-13</v>
      </c>
      <c r="G188" s="8">
        <v>1.4822999999999999E-17</v>
      </c>
      <c r="H188" s="8">
        <v>8.0878000000000005E-11</v>
      </c>
      <c r="I188" s="8">
        <v>1.2657E-11</v>
      </c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>
      <c r="B189" s="7">
        <v>2640</v>
      </c>
      <c r="C189" s="8">
        <v>3.0801000000000002E-11</v>
      </c>
      <c r="D189" s="8">
        <v>3.0801000000000002E-11</v>
      </c>
      <c r="E189" s="8">
        <v>3.0801000000000002E-11</v>
      </c>
      <c r="F189" s="8">
        <v>7.4314E-13</v>
      </c>
      <c r="G189" s="8">
        <v>1.452E-17</v>
      </c>
      <c r="H189" s="8">
        <v>8.145E-11</v>
      </c>
      <c r="I189" s="8">
        <v>1.2752999999999999E-11</v>
      </c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>
      <c r="B190" s="7">
        <v>2680</v>
      </c>
      <c r="C190" s="8">
        <v>3.0153E-11</v>
      </c>
      <c r="D190" s="8">
        <v>3.0153E-11</v>
      </c>
      <c r="E190" s="8">
        <v>3.0153E-11</v>
      </c>
      <c r="F190" s="8">
        <v>7.2751E-13</v>
      </c>
      <c r="G190" s="8">
        <v>1.4255999999999999E-17</v>
      </c>
      <c r="H190" s="8">
        <v>8.2009000000000001E-11</v>
      </c>
      <c r="I190" s="8">
        <v>1.2846000000000001E-11</v>
      </c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>
      <c r="B191" s="7">
        <v>2720</v>
      </c>
      <c r="C191" s="8">
        <v>2.9518000000000001E-11</v>
      </c>
      <c r="D191" s="8">
        <v>2.9518000000000001E-11</v>
      </c>
      <c r="E191" s="8">
        <v>2.9518000000000001E-11</v>
      </c>
      <c r="F191" s="8">
        <v>7.1220000000000003E-13</v>
      </c>
      <c r="G191" s="8">
        <v>1.3927E-17</v>
      </c>
      <c r="H191" s="8">
        <v>8.2556000000000002E-11</v>
      </c>
      <c r="I191" s="8">
        <v>1.2938E-11</v>
      </c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>
      <c r="B192" s="7">
        <v>2760</v>
      </c>
      <c r="C192" s="8">
        <v>2.8896999999999999E-11</v>
      </c>
      <c r="D192" s="8">
        <v>2.8896999999999999E-11</v>
      </c>
      <c r="E192" s="8">
        <v>2.8896999999999999E-11</v>
      </c>
      <c r="F192" s="8">
        <v>6.9722000000000003E-13</v>
      </c>
      <c r="G192" s="8">
        <v>1.3634E-17</v>
      </c>
      <c r="H192" s="8">
        <v>8.3091999999999999E-11</v>
      </c>
      <c r="I192" s="8">
        <v>1.3028E-11</v>
      </c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>
      <c r="B193" s="7">
        <v>2800</v>
      </c>
      <c r="C193" s="8">
        <v>2.8289000000000001E-11</v>
      </c>
      <c r="D193" s="8">
        <v>2.8289000000000001E-11</v>
      </c>
      <c r="E193" s="8">
        <v>2.8289000000000001E-11</v>
      </c>
      <c r="F193" s="8">
        <v>6.8254999999999995E-13</v>
      </c>
      <c r="G193" s="8">
        <v>1.3359E-17</v>
      </c>
      <c r="H193" s="8">
        <v>8.3617000000000004E-11</v>
      </c>
      <c r="I193" s="8">
        <v>1.3115E-11</v>
      </c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>
      <c r="B194" s="7">
        <v>2840</v>
      </c>
      <c r="C194" s="8">
        <v>2.7693999999999999E-11</v>
      </c>
      <c r="D194" s="8">
        <v>2.7693999999999999E-11</v>
      </c>
      <c r="E194" s="8">
        <v>2.7693999999999999E-11</v>
      </c>
      <c r="F194" s="8">
        <v>6.6819E-13</v>
      </c>
      <c r="G194" s="8">
        <v>1.3091999999999999E-17</v>
      </c>
      <c r="H194" s="8">
        <v>8.4130999999999994E-11</v>
      </c>
      <c r="I194" s="8">
        <v>1.3201000000000001E-11</v>
      </c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>
      <c r="B195" s="7">
        <v>2880</v>
      </c>
      <c r="C195" s="8">
        <v>2.7112000000000002E-11</v>
      </c>
      <c r="D195" s="8">
        <v>2.7112000000000002E-11</v>
      </c>
      <c r="E195" s="8">
        <v>2.7112000000000002E-11</v>
      </c>
      <c r="F195" s="8">
        <v>6.5412999999999996E-13</v>
      </c>
      <c r="G195" s="8">
        <v>1.2798999999999999E-17</v>
      </c>
      <c r="H195" s="8">
        <v>8.4632999999999996E-11</v>
      </c>
      <c r="I195" s="8">
        <v>1.3286E-11</v>
      </c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>
      <c r="B196" s="7">
        <v>2920</v>
      </c>
      <c r="C196" s="8">
        <v>2.6540999999999998E-11</v>
      </c>
      <c r="D196" s="8">
        <v>2.6540999999999998E-11</v>
      </c>
      <c r="E196" s="8">
        <v>2.6540999999999998E-11</v>
      </c>
      <c r="F196" s="8">
        <v>6.4037000000000003E-13</v>
      </c>
      <c r="G196" s="8">
        <v>1.2509E-17</v>
      </c>
      <c r="H196" s="8">
        <v>8.5125999999999999E-11</v>
      </c>
      <c r="I196" s="8">
        <v>1.3368E-11</v>
      </c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>
      <c r="B197" s="7">
        <v>2960</v>
      </c>
      <c r="C197" s="8">
        <v>2.5983E-11</v>
      </c>
      <c r="D197" s="8">
        <v>2.5983E-11</v>
      </c>
      <c r="E197" s="8">
        <v>2.5983E-11</v>
      </c>
      <c r="F197" s="8">
        <v>6.2689999999999998E-13</v>
      </c>
      <c r="G197" s="8">
        <v>1.2269E-17</v>
      </c>
      <c r="H197" s="8">
        <v>8.5607000000000002E-11</v>
      </c>
      <c r="I197" s="8">
        <v>1.3449000000000001E-11</v>
      </c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>
      <c r="B198" s="7">
        <v>3000</v>
      </c>
      <c r="C198" s="8">
        <v>2.5435999999999999E-11</v>
      </c>
      <c r="D198" s="8">
        <v>2.5435999999999999E-11</v>
      </c>
      <c r="E198" s="8">
        <v>2.5435999999999999E-11</v>
      </c>
      <c r="F198" s="8">
        <v>6.1371000000000002E-13</v>
      </c>
      <c r="G198" s="8">
        <v>1.1999000000000001E-17</v>
      </c>
      <c r="H198" s="8">
        <v>8.6079000000000006E-11</v>
      </c>
      <c r="I198" s="8">
        <v>1.3528E-11</v>
      </c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>
      <c r="B199" s="7">
        <v>3040</v>
      </c>
      <c r="C199" s="8">
        <v>2.4901000000000001E-11</v>
      </c>
      <c r="D199" s="8">
        <v>2.4901000000000001E-11</v>
      </c>
      <c r="E199" s="8">
        <v>2.4901000000000001E-11</v>
      </c>
      <c r="F199" s="8">
        <v>6.0080000000000002E-13</v>
      </c>
      <c r="G199" s="8">
        <v>1.1746000000000001E-17</v>
      </c>
      <c r="H199" s="8">
        <v>8.6541000000000001E-11</v>
      </c>
      <c r="I199" s="8">
        <v>1.3604999999999999E-11</v>
      </c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>
      <c r="B200" s="7">
        <v>3080</v>
      </c>
      <c r="C200" s="8">
        <v>2.4377000000000001E-11</v>
      </c>
      <c r="D200" s="8">
        <v>2.4377000000000001E-11</v>
      </c>
      <c r="E200" s="8">
        <v>2.4377000000000001E-11</v>
      </c>
      <c r="F200" s="8">
        <v>5.8815999999999999E-13</v>
      </c>
      <c r="G200" s="8">
        <v>1.1513E-17</v>
      </c>
      <c r="H200" s="8">
        <v>8.6993000000000001E-11</v>
      </c>
      <c r="I200" s="8">
        <v>1.3681E-11</v>
      </c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>
      <c r="B201" s="7">
        <v>3120</v>
      </c>
      <c r="C201" s="8">
        <v>2.3864000000000001E-11</v>
      </c>
      <c r="D201" s="8">
        <v>2.3864000000000001E-11</v>
      </c>
      <c r="E201" s="8">
        <v>2.3864000000000001E-11</v>
      </c>
      <c r="F201" s="8">
        <v>5.7578E-13</v>
      </c>
      <c r="G201" s="8">
        <v>1.1247E-17</v>
      </c>
      <c r="H201" s="8">
        <v>8.7436000000000002E-11</v>
      </c>
      <c r="I201" s="8">
        <v>1.3755E-11</v>
      </c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>
      <c r="B202" s="7">
        <v>3160</v>
      </c>
      <c r="C202" s="8">
        <v>2.3361999999999998E-11</v>
      </c>
      <c r="D202" s="8">
        <v>2.3361999999999998E-11</v>
      </c>
      <c r="E202" s="8">
        <v>2.3361999999999998E-11</v>
      </c>
      <c r="F202" s="8">
        <v>5.6366999999999996E-13</v>
      </c>
      <c r="G202" s="8">
        <v>1.1016000000000001E-17</v>
      </c>
      <c r="H202" s="8">
        <v>8.7868999999999994E-11</v>
      </c>
      <c r="I202" s="8">
        <v>1.3827000000000001E-11</v>
      </c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>
      <c r="B203" s="7">
        <v>3200</v>
      </c>
      <c r="C203" s="8">
        <v>2.2871E-11</v>
      </c>
      <c r="D203" s="8">
        <v>2.2871E-11</v>
      </c>
      <c r="E203" s="8">
        <v>2.2871E-11</v>
      </c>
      <c r="F203" s="8">
        <v>5.5181000000000005E-13</v>
      </c>
      <c r="G203" s="8">
        <v>1.0791000000000001E-17</v>
      </c>
      <c r="H203" s="8">
        <v>8.8293E-11</v>
      </c>
      <c r="I203" s="8">
        <v>1.3898000000000001E-11</v>
      </c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>
      <c r="B204" s="7">
        <v>3240</v>
      </c>
      <c r="C204" s="8">
        <v>2.239E-11</v>
      </c>
      <c r="D204" s="8">
        <v>2.239E-11</v>
      </c>
      <c r="E204" s="8">
        <v>2.239E-11</v>
      </c>
      <c r="F204" s="8">
        <v>5.4019999999999996E-13</v>
      </c>
      <c r="G204" s="8">
        <v>1.0577E-17</v>
      </c>
      <c r="H204" s="8">
        <v>8.8708000000000005E-11</v>
      </c>
      <c r="I204" s="8">
        <v>1.3968E-11</v>
      </c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>
      <c r="B205" s="7">
        <v>3280</v>
      </c>
      <c r="C205" s="8">
        <v>2.1919000000000001E-11</v>
      </c>
      <c r="D205" s="8">
        <v>2.1919000000000001E-11</v>
      </c>
      <c r="E205" s="8">
        <v>2.1919000000000001E-11</v>
      </c>
      <c r="F205" s="8">
        <v>5.2884E-13</v>
      </c>
      <c r="G205" s="8">
        <v>1.0358E-17</v>
      </c>
      <c r="H205" s="8">
        <v>8.9114999999999994E-11</v>
      </c>
      <c r="I205" s="8">
        <v>1.4036E-11</v>
      </c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>
      <c r="B206" s="7">
        <v>3320</v>
      </c>
      <c r="C206" s="8">
        <v>2.1457E-11</v>
      </c>
      <c r="D206" s="8">
        <v>2.1457E-11</v>
      </c>
      <c r="E206" s="8">
        <v>2.1457E-11</v>
      </c>
      <c r="F206" s="8">
        <v>5.1771000000000002E-13</v>
      </c>
      <c r="G206" s="8">
        <v>1.0121E-17</v>
      </c>
      <c r="H206" s="8">
        <v>8.9512999999999996E-11</v>
      </c>
      <c r="I206" s="8">
        <v>1.4101999999999999E-11</v>
      </c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>
      <c r="B207" s="7">
        <v>3360</v>
      </c>
      <c r="C207" s="8">
        <v>2.1006000000000002E-11</v>
      </c>
      <c r="D207" s="8">
        <v>2.1006000000000002E-11</v>
      </c>
      <c r="E207" s="8">
        <v>2.1006000000000002E-11</v>
      </c>
      <c r="F207" s="8">
        <v>5.0681999999999995E-13</v>
      </c>
      <c r="G207" s="8">
        <v>9.9271000000000001E-18</v>
      </c>
      <c r="H207" s="8">
        <v>8.9901999999999999E-11</v>
      </c>
      <c r="I207" s="8">
        <v>1.4168E-11</v>
      </c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>
      <c r="B208" s="7">
        <v>3400</v>
      </c>
      <c r="C208" s="8">
        <v>2.0564E-11</v>
      </c>
      <c r="D208" s="8">
        <v>2.0564E-11</v>
      </c>
      <c r="E208" s="8">
        <v>2.0564E-11</v>
      </c>
      <c r="F208" s="8">
        <v>4.9615999999999998E-13</v>
      </c>
      <c r="G208" s="8">
        <v>9.7130000000000006E-18</v>
      </c>
      <c r="H208" s="8">
        <v>9.0284000000000006E-11</v>
      </c>
      <c r="I208" s="8">
        <v>1.4232E-11</v>
      </c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>
      <c r="B209" s="7">
        <v>3440</v>
      </c>
      <c r="C209" s="8">
        <v>2.0131000000000001E-11</v>
      </c>
      <c r="D209" s="8">
        <v>2.0131000000000001E-11</v>
      </c>
      <c r="E209" s="8">
        <v>2.0131000000000001E-11</v>
      </c>
      <c r="F209" s="8">
        <v>4.8571999999999997E-13</v>
      </c>
      <c r="G209" s="8">
        <v>9.5131999999999996E-18</v>
      </c>
      <c r="H209" s="8">
        <v>9.0657E-11</v>
      </c>
      <c r="I209" s="8">
        <v>1.4294E-11</v>
      </c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>
      <c r="B210" s="7">
        <v>3480</v>
      </c>
      <c r="C210" s="8">
        <v>1.9708000000000001E-11</v>
      </c>
      <c r="D210" s="8">
        <v>1.9708000000000001E-11</v>
      </c>
      <c r="E210" s="8">
        <v>1.9708000000000001E-11</v>
      </c>
      <c r="F210" s="8">
        <v>4.7550000000000004E-13</v>
      </c>
      <c r="G210" s="8">
        <v>9.3145999999999997E-18</v>
      </c>
      <c r="H210" s="8">
        <v>9.1022999999999999E-11</v>
      </c>
      <c r="I210" s="8">
        <v>1.4355E-11</v>
      </c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>
      <c r="B211" s="7">
        <v>3520</v>
      </c>
      <c r="C211" s="8">
        <v>1.9292999999999999E-11</v>
      </c>
      <c r="D211" s="8">
        <v>1.9292999999999999E-11</v>
      </c>
      <c r="E211" s="8">
        <v>1.9292999999999999E-11</v>
      </c>
      <c r="F211" s="8">
        <v>4.6548999999999997E-13</v>
      </c>
      <c r="G211" s="8">
        <v>9.1009000000000006E-18</v>
      </c>
      <c r="H211" s="8">
        <v>9.1379999999999999E-11</v>
      </c>
      <c r="I211" s="8">
        <v>1.4414999999999999E-11</v>
      </c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>
      <c r="B212" s="7">
        <v>3560</v>
      </c>
      <c r="C212" s="8">
        <v>1.8886999999999999E-11</v>
      </c>
      <c r="D212" s="8">
        <v>1.8886999999999999E-11</v>
      </c>
      <c r="E212" s="8">
        <v>1.8886999999999999E-11</v>
      </c>
      <c r="F212" s="8">
        <v>4.5569999999999997E-13</v>
      </c>
      <c r="G212" s="8">
        <v>8.9130000000000003E-18</v>
      </c>
      <c r="H212" s="8">
        <v>9.1730999999999998E-11</v>
      </c>
      <c r="I212" s="8">
        <v>1.4474E-11</v>
      </c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>
      <c r="B213" s="7">
        <v>3600</v>
      </c>
      <c r="C213" s="8">
        <v>1.8489999999999999E-11</v>
      </c>
      <c r="D213" s="8">
        <v>1.8489999999999999E-11</v>
      </c>
      <c r="E213" s="8">
        <v>1.8489999999999999E-11</v>
      </c>
      <c r="F213" s="8">
        <v>4.4611E-13</v>
      </c>
      <c r="G213" s="8">
        <v>8.7477000000000001E-18</v>
      </c>
      <c r="H213" s="8">
        <v>9.2073999999999994E-11</v>
      </c>
      <c r="I213" s="8">
        <v>1.4530999999999999E-11</v>
      </c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>
      <c r="B214" s="7">
        <v>3640</v>
      </c>
      <c r="C214" s="8">
        <v>1.8101E-11</v>
      </c>
      <c r="D214" s="8">
        <v>1.8101E-11</v>
      </c>
      <c r="E214" s="8">
        <v>1.8101E-11</v>
      </c>
      <c r="F214" s="8">
        <v>4.3673E-13</v>
      </c>
      <c r="G214" s="8">
        <v>8.5434000000000003E-18</v>
      </c>
      <c r="H214" s="8">
        <v>9.2408999999999999E-11</v>
      </c>
      <c r="I214" s="8">
        <v>1.4587000000000002E-11</v>
      </c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>
      <c r="B215" s="7">
        <v>3680</v>
      </c>
      <c r="C215" s="8">
        <v>1.7720000000000001E-11</v>
      </c>
      <c r="D215" s="8">
        <v>1.7720000000000001E-11</v>
      </c>
      <c r="E215" s="8">
        <v>1.7720000000000001E-11</v>
      </c>
      <c r="F215" s="8">
        <v>4.2754000000000001E-13</v>
      </c>
      <c r="G215" s="8">
        <v>8.3681999999999999E-18</v>
      </c>
      <c r="H215" s="8">
        <v>9.2738000000000003E-11</v>
      </c>
      <c r="I215" s="8">
        <v>1.4641999999999998E-11</v>
      </c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>
      <c r="B216" s="7">
        <v>3720</v>
      </c>
      <c r="C216" s="8">
        <v>1.7347E-11</v>
      </c>
      <c r="D216" s="8">
        <v>1.7347E-11</v>
      </c>
      <c r="E216" s="8">
        <v>1.7347E-11</v>
      </c>
      <c r="F216" s="8">
        <v>4.1855000000000002E-13</v>
      </c>
      <c r="G216" s="8">
        <v>8.1780999999999996E-18</v>
      </c>
      <c r="H216" s="8">
        <v>9.306E-11</v>
      </c>
      <c r="I216" s="8">
        <v>1.4696E-11</v>
      </c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>
      <c r="B217" s="7">
        <v>3760</v>
      </c>
      <c r="C217" s="8">
        <v>1.6982E-11</v>
      </c>
      <c r="D217" s="8">
        <v>1.6982E-11</v>
      </c>
      <c r="E217" s="8">
        <v>1.6982E-11</v>
      </c>
      <c r="F217" s="8">
        <v>4.0973999999999998E-13</v>
      </c>
      <c r="G217" s="8">
        <v>8.0156000000000007E-18</v>
      </c>
      <c r="H217" s="8">
        <v>9.3375000000000001E-11</v>
      </c>
      <c r="I217" s="8">
        <v>1.4748999999999999E-11</v>
      </c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>
      <c r="B218" s="7">
        <v>3800</v>
      </c>
      <c r="C218" s="8">
        <v>1.6625000000000001E-11</v>
      </c>
      <c r="D218" s="8">
        <v>1.6625000000000001E-11</v>
      </c>
      <c r="E218" s="8">
        <v>1.6625000000000001E-11</v>
      </c>
      <c r="F218" s="8">
        <v>4.0112000000000001E-13</v>
      </c>
      <c r="G218" s="8">
        <v>7.8515000000000002E-18</v>
      </c>
      <c r="H218" s="8">
        <v>9.3683000000000006E-11</v>
      </c>
      <c r="I218" s="8">
        <v>1.4800999999999999E-11</v>
      </c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>
      <c r="B219" s="7">
        <v>3840</v>
      </c>
      <c r="C219" s="8">
        <v>1.6275E-11</v>
      </c>
      <c r="D219" s="8">
        <v>1.6275E-11</v>
      </c>
      <c r="E219" s="8">
        <v>1.6275E-11</v>
      </c>
      <c r="F219" s="8">
        <v>3.9268E-13</v>
      </c>
      <c r="G219" s="8">
        <v>7.6819999999999996E-18</v>
      </c>
      <c r="H219" s="8">
        <v>9.3984999999999999E-11</v>
      </c>
      <c r="I219" s="8">
        <v>1.4851000000000001E-11</v>
      </c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>
      <c r="B220" s="7">
        <v>3880</v>
      </c>
      <c r="C220" s="8">
        <v>1.5933E-11</v>
      </c>
      <c r="D220" s="8">
        <v>1.5933E-11</v>
      </c>
      <c r="E220" s="8">
        <v>1.5933E-11</v>
      </c>
      <c r="F220" s="8">
        <v>3.8441999999999999E-13</v>
      </c>
      <c r="G220" s="8">
        <v>7.5185999999999994E-18</v>
      </c>
      <c r="H220" s="8">
        <v>9.4279999999999997E-11</v>
      </c>
      <c r="I220" s="8">
        <v>1.4901E-11</v>
      </c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>
      <c r="B221" s="7">
        <v>3920</v>
      </c>
      <c r="C221" s="8">
        <v>1.5597999999999999E-11</v>
      </c>
      <c r="D221" s="8">
        <v>1.5597999999999999E-11</v>
      </c>
      <c r="E221" s="8">
        <v>1.5597999999999999E-11</v>
      </c>
      <c r="F221" s="8">
        <v>3.7633000000000002E-13</v>
      </c>
      <c r="G221" s="8">
        <v>7.3533999999999997E-18</v>
      </c>
      <c r="H221" s="8">
        <v>9.4570000000000003E-11</v>
      </c>
      <c r="I221" s="8">
        <v>1.4948999999999999E-11</v>
      </c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>
      <c r="B222" s="7">
        <v>3960</v>
      </c>
      <c r="C222" s="8">
        <v>1.5269999999999999E-11</v>
      </c>
      <c r="D222" s="8">
        <v>1.5269999999999999E-11</v>
      </c>
      <c r="E222" s="8">
        <v>1.5269999999999999E-11</v>
      </c>
      <c r="F222" s="8">
        <v>3.6840999999999999E-13</v>
      </c>
      <c r="G222" s="8">
        <v>7.2162000000000002E-18</v>
      </c>
      <c r="H222" s="8">
        <v>9.4853000000000001E-11</v>
      </c>
      <c r="I222" s="8">
        <v>1.4997E-11</v>
      </c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>
      <c r="B223" s="7">
        <v>4000</v>
      </c>
      <c r="C223" s="8">
        <v>1.4948E-11</v>
      </c>
      <c r="D223" s="8">
        <v>1.4948E-11</v>
      </c>
      <c r="E223" s="8">
        <v>1.4948E-11</v>
      </c>
      <c r="F223" s="8">
        <v>3.6066E-13</v>
      </c>
      <c r="G223" s="8">
        <v>7.0584999999999998E-18</v>
      </c>
      <c r="H223" s="8">
        <v>9.5129999999999999E-11</v>
      </c>
      <c r="I223" s="8">
        <v>1.5043E-11</v>
      </c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>
      <c r="B224" s="7">
        <v>4040</v>
      </c>
      <c r="C224" s="8">
        <v>1.4634000000000001E-11</v>
      </c>
      <c r="D224" s="8">
        <v>1.4634000000000001E-11</v>
      </c>
      <c r="E224" s="8">
        <v>1.4634000000000001E-11</v>
      </c>
      <c r="F224" s="8">
        <v>3.5308E-13</v>
      </c>
      <c r="G224" s="8">
        <v>6.9117999999999997E-18</v>
      </c>
      <c r="H224" s="8">
        <v>9.5400999999999997E-11</v>
      </c>
      <c r="I224" s="8">
        <v>1.5087999999999999E-11</v>
      </c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>
      <c r="B225" s="7">
        <v>4080</v>
      </c>
      <c r="C225" s="8">
        <v>1.4326E-11</v>
      </c>
      <c r="D225" s="8">
        <v>1.4326E-11</v>
      </c>
      <c r="E225" s="8">
        <v>1.4326E-11</v>
      </c>
      <c r="F225" s="8">
        <v>3.4565E-13</v>
      </c>
      <c r="G225" s="8">
        <v>6.7759000000000003E-18</v>
      </c>
      <c r="H225" s="8">
        <v>9.5667000000000004E-11</v>
      </c>
      <c r="I225" s="8">
        <v>1.5133E-11</v>
      </c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>
      <c r="B226" s="7">
        <v>4120</v>
      </c>
      <c r="C226" s="8">
        <v>1.4025E-11</v>
      </c>
      <c r="D226" s="8">
        <v>1.4025E-11</v>
      </c>
      <c r="E226" s="8">
        <v>1.4025E-11</v>
      </c>
      <c r="F226" s="8">
        <v>3.3838000000000002E-13</v>
      </c>
      <c r="G226" s="8">
        <v>6.6209999999999997E-18</v>
      </c>
      <c r="H226" s="8">
        <v>9.5926999999999999E-11</v>
      </c>
      <c r="I226" s="8">
        <v>1.5176000000000001E-11</v>
      </c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>
      <c r="B227" s="7">
        <v>4160</v>
      </c>
      <c r="C227" s="8">
        <v>1.3730000000000001E-11</v>
      </c>
      <c r="D227" s="8">
        <v>1.3730000000000001E-11</v>
      </c>
      <c r="E227" s="8">
        <v>1.3730000000000001E-11</v>
      </c>
      <c r="F227" s="8">
        <v>3.3125999999999999E-13</v>
      </c>
      <c r="G227" s="8">
        <v>6.4875000000000003E-18</v>
      </c>
      <c r="H227" s="8">
        <v>9.6182000000000002E-11</v>
      </c>
      <c r="I227" s="8">
        <v>1.5219000000000001E-11</v>
      </c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>
      <c r="B228" s="7">
        <v>4200</v>
      </c>
      <c r="C228" s="8">
        <v>1.3441E-11</v>
      </c>
      <c r="D228" s="8">
        <v>1.3441E-11</v>
      </c>
      <c r="E228" s="8">
        <v>1.3441E-11</v>
      </c>
      <c r="F228" s="8">
        <v>3.2429000000000002E-13</v>
      </c>
      <c r="G228" s="8">
        <v>6.3465000000000001E-18</v>
      </c>
      <c r="H228" s="8">
        <v>9.6431000000000005E-11</v>
      </c>
      <c r="I228" s="8">
        <v>1.5261E-11</v>
      </c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>
      <c r="B229" s="7">
        <v>4240</v>
      </c>
      <c r="C229" s="8">
        <v>1.3158E-11</v>
      </c>
      <c r="D229" s="8">
        <v>1.3158E-11</v>
      </c>
      <c r="E229" s="8">
        <v>1.3158E-11</v>
      </c>
      <c r="F229" s="8">
        <v>3.1745999999999999E-13</v>
      </c>
      <c r="G229" s="8">
        <v>6.2097999999999999E-18</v>
      </c>
      <c r="H229" s="8">
        <v>9.6675000000000005E-11</v>
      </c>
      <c r="I229" s="8">
        <v>1.5301999999999999E-11</v>
      </c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>
      <c r="B230" s="7">
        <v>4280</v>
      </c>
      <c r="C230" s="8">
        <v>1.2881000000000001E-11</v>
      </c>
      <c r="D230" s="8">
        <v>1.2881000000000001E-11</v>
      </c>
      <c r="E230" s="8">
        <v>1.2881000000000001E-11</v>
      </c>
      <c r="F230" s="8">
        <v>3.1078999999999998E-13</v>
      </c>
      <c r="G230" s="8">
        <v>6.0773999999999997E-18</v>
      </c>
      <c r="H230" s="8">
        <v>9.6914E-11</v>
      </c>
      <c r="I230" s="8">
        <v>1.5342E-11</v>
      </c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>
      <c r="B231" s="7">
        <v>4320</v>
      </c>
      <c r="C231" s="8">
        <v>1.2610000000000001E-11</v>
      </c>
      <c r="D231" s="8">
        <v>1.2610000000000001E-11</v>
      </c>
      <c r="E231" s="8">
        <v>1.2610000000000001E-11</v>
      </c>
      <c r="F231" s="8">
        <v>3.0424999999999999E-13</v>
      </c>
      <c r="G231" s="8">
        <v>5.9359999999999998E-18</v>
      </c>
      <c r="H231" s="8">
        <v>9.7148000000000004E-11</v>
      </c>
      <c r="I231" s="8">
        <v>1.5381000000000002E-11</v>
      </c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10.Document" shapeId="12292" r:id="rId4">
          <objectPr defaultSize="0" r:id="rId5">
            <anchor moveWithCells="1">
              <from>
                <xdr:col>24</xdr:col>
                <xdr:colOff>0</xdr:colOff>
                <xdr:row>18</xdr:row>
                <xdr:rowOff>0</xdr:rowOff>
              </from>
              <to>
                <xdr:col>30</xdr:col>
                <xdr:colOff>0</xdr:colOff>
                <xdr:row>32</xdr:row>
                <xdr:rowOff>25400</xdr:rowOff>
              </to>
            </anchor>
          </objectPr>
        </oleObject>
      </mc:Choice>
      <mc:Fallback>
        <oleObject progId="Prism10.Document" shapeId="12292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28A4-255D-4757-9962-6F24F72E342D}">
  <dimension ref="A1:BM602"/>
  <sheetViews>
    <sheetView topLeftCell="F1" zoomScale="85" zoomScaleNormal="85" workbookViewId="0">
      <selection activeCell="Y38" sqref="Y38"/>
    </sheetView>
  </sheetViews>
  <sheetFormatPr baseColWidth="10" defaultColWidth="8.83203125" defaultRowHeight="17"/>
  <cols>
    <col min="6" max="9" width="13.1640625" bestFit="1" customWidth="1"/>
    <col min="11" max="11" width="9.1640625" bestFit="1" customWidth="1"/>
    <col min="13" max="13" width="13.1640625" bestFit="1" customWidth="1"/>
    <col min="16" max="16" width="13.5" customWidth="1"/>
    <col min="17" max="17" width="9.83203125" bestFit="1" customWidth="1"/>
    <col min="18" max="18" width="9.5" bestFit="1" customWidth="1"/>
    <col min="20" max="20" width="11" bestFit="1" customWidth="1"/>
    <col min="21" max="21" width="9.5" bestFit="1" customWidth="1"/>
    <col min="22" max="22" width="13.33203125" bestFit="1" customWidth="1"/>
    <col min="29" max="29" width="9.5" bestFit="1" customWidth="1"/>
    <col min="33" max="34" width="9.1640625" bestFit="1" customWidth="1"/>
    <col min="35" max="35" width="9.1640625" customWidth="1"/>
    <col min="46" max="46" width="7.5" customWidth="1"/>
    <col min="47" max="47" width="15" customWidth="1"/>
    <col min="48" max="48" width="11" bestFit="1" customWidth="1"/>
    <col min="49" max="49" width="9.1640625" bestFit="1" customWidth="1"/>
    <col min="51" max="56" width="9.1640625" bestFit="1" customWidth="1"/>
  </cols>
  <sheetData>
    <row r="1" spans="1:65">
      <c r="A1" s="1">
        <f>K2</f>
        <v>1.2735707007310502E-10</v>
      </c>
      <c r="B1" s="7" t="s">
        <v>0</v>
      </c>
      <c r="C1" s="7" t="s">
        <v>102</v>
      </c>
      <c r="D1" s="7" t="s">
        <v>102</v>
      </c>
      <c r="E1" s="7" t="s">
        <v>102</v>
      </c>
      <c r="F1" t="s">
        <v>102</v>
      </c>
      <c r="G1" t="s">
        <v>102</v>
      </c>
      <c r="H1" t="s">
        <v>103</v>
      </c>
      <c r="I1" t="s">
        <v>104</v>
      </c>
      <c r="J1" s="7"/>
      <c r="N1" s="7"/>
      <c r="O1" t="s">
        <v>35</v>
      </c>
      <c r="P1" t="s">
        <v>5</v>
      </c>
      <c r="Q1" t="s">
        <v>30</v>
      </c>
      <c r="R1" t="s">
        <v>38</v>
      </c>
      <c r="S1" s="3" t="s">
        <v>11</v>
      </c>
      <c r="T1" t="s">
        <v>32</v>
      </c>
      <c r="U1" t="s">
        <v>3</v>
      </c>
      <c r="V1" s="4" t="s">
        <v>4</v>
      </c>
      <c r="X1" s="3"/>
      <c r="Y1" s="3" t="s">
        <v>12</v>
      </c>
      <c r="Z1" s="3" t="s">
        <v>36</v>
      </c>
      <c r="AA1" s="3" t="s">
        <v>37</v>
      </c>
      <c r="AB1" s="3" t="s">
        <v>39</v>
      </c>
      <c r="AC1" s="3" t="s">
        <v>13</v>
      </c>
      <c r="AF1" s="35" t="s">
        <v>85</v>
      </c>
      <c r="AJ1" s="7"/>
      <c r="AK1" s="7"/>
    </row>
    <row r="2" spans="1:65">
      <c r="B2" s="7">
        <v>0</v>
      </c>
      <c r="C2" s="8">
        <v>1.2710000000000001E-10</v>
      </c>
      <c r="D2" s="8">
        <v>1.2710000000000001E-10</v>
      </c>
      <c r="E2" s="8">
        <v>1.2710000000000001E-10</v>
      </c>
      <c r="F2" s="1">
        <v>2.5706999999999998E-13</v>
      </c>
      <c r="G2" s="1">
        <v>7.3104999999999998E-20</v>
      </c>
      <c r="H2" s="1">
        <v>0</v>
      </c>
      <c r="I2" s="1">
        <v>0</v>
      </c>
      <c r="J2" s="8"/>
      <c r="K2" s="1">
        <f>SUM(C2,F2,G2)</f>
        <v>1.2735707007310502E-10</v>
      </c>
      <c r="M2" s="1"/>
      <c r="N2" s="7"/>
      <c r="O2">
        <f>B2/60</f>
        <v>0</v>
      </c>
      <c r="P2" s="6">
        <f>(SUM(F2:J2)+C2)/$A$1*100</f>
        <v>99.999999999999972</v>
      </c>
      <c r="Q2" s="6">
        <f t="shared" ref="Q2:Q65" si="0">(H2+F2)/$A$1*100</f>
        <v>0.20184980688738963</v>
      </c>
      <c r="R2" s="6">
        <f t="shared" ref="R2:R65" si="1">(G2+I2)/$A$1*100</f>
        <v>5.7401603191747854E-8</v>
      </c>
      <c r="S2" s="5">
        <f t="shared" ref="S2:S65" si="2">J2/$A$1*100</f>
        <v>0</v>
      </c>
      <c r="T2" s="6">
        <f t="shared" ref="T2:V17" si="3">C2/$A$1*100</f>
        <v>99.798150135710998</v>
      </c>
      <c r="U2" s="1">
        <f t="shared" si="3"/>
        <v>99.798150135710998</v>
      </c>
      <c r="V2" s="1">
        <f t="shared" si="3"/>
        <v>99.798150135710998</v>
      </c>
      <c r="X2" s="9" t="s">
        <v>26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" t="s">
        <v>84</v>
      </c>
      <c r="AG2" t="s">
        <v>81</v>
      </c>
      <c r="AH2" s="7" t="s">
        <v>82</v>
      </c>
      <c r="AI2" s="7" t="s">
        <v>83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>
      <c r="B3" s="7">
        <v>2</v>
      </c>
      <c r="C3" s="8">
        <v>1.2497999999999999E-10</v>
      </c>
      <c r="D3" s="8">
        <v>1.2497999999999999E-10</v>
      </c>
      <c r="E3" s="8">
        <v>1.2497999999999999E-10</v>
      </c>
      <c r="F3" s="1">
        <v>2.3475999999999998E-12</v>
      </c>
      <c r="G3" s="1">
        <v>1.0091E-17</v>
      </c>
      <c r="H3" s="1">
        <v>2.0142E-14</v>
      </c>
      <c r="I3" s="1">
        <v>1.5283E-15</v>
      </c>
      <c r="J3" s="8"/>
      <c r="K3" s="1"/>
      <c r="L3" s="1"/>
      <c r="M3" s="1"/>
      <c r="N3" s="7"/>
      <c r="O3">
        <f t="shared" ref="O3:O66" si="4">B3/60</f>
        <v>3.3333333333333333E-2</v>
      </c>
      <c r="P3" s="6">
        <f t="shared" ref="P3:P66" si="5">(SUM(F3:J3)+C3)/$A$1*100</f>
        <v>99.993883588794432</v>
      </c>
      <c r="Q3" s="6">
        <f t="shared" si="0"/>
        <v>1.8591366766217827</v>
      </c>
      <c r="R3" s="6">
        <f t="shared" si="1"/>
        <v>1.2079352949286117E-3</v>
      </c>
      <c r="S3" s="5">
        <f t="shared" si="2"/>
        <v>0</v>
      </c>
      <c r="T3" s="6">
        <f t="shared" si="3"/>
        <v>98.133538976877716</v>
      </c>
      <c r="U3" s="1">
        <f t="shared" si="3"/>
        <v>98.133538976877716</v>
      </c>
      <c r="V3" s="1">
        <f t="shared" si="3"/>
        <v>98.133538976877716</v>
      </c>
      <c r="X3" s="9"/>
      <c r="Y3" s="2"/>
      <c r="Z3" s="2"/>
      <c r="AA3" s="2"/>
      <c r="AB3" s="2"/>
      <c r="AC3" s="2"/>
      <c r="AD3" s="1"/>
      <c r="AE3" s="1"/>
      <c r="AF3" t="s">
        <v>40</v>
      </c>
      <c r="AG3" s="36" t="s">
        <v>87</v>
      </c>
      <c r="AH3" s="37" t="s">
        <v>88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B4" s="7">
        <v>4.8159999999999998</v>
      </c>
      <c r="C4" s="8">
        <v>1.2442E-10</v>
      </c>
      <c r="D4" s="8">
        <v>1.2442E-10</v>
      </c>
      <c r="E4" s="8">
        <v>1.2442E-10</v>
      </c>
      <c r="F4" s="1">
        <v>2.8268E-12</v>
      </c>
      <c r="G4" s="1">
        <v>1.4395000000000001E-17</v>
      </c>
      <c r="H4" s="1">
        <v>8.4497000000000003E-14</v>
      </c>
      <c r="I4" s="1">
        <v>6.7625999999999999E-15</v>
      </c>
      <c r="J4" s="8"/>
      <c r="K4" s="1"/>
      <c r="L4" s="1"/>
      <c r="M4" s="1"/>
      <c r="N4" s="7"/>
      <c r="O4">
        <f t="shared" si="4"/>
        <v>8.0266666666666667E-2</v>
      </c>
      <c r="P4" s="6">
        <f t="shared" si="5"/>
        <v>99.985084394534098</v>
      </c>
      <c r="Q4" s="6">
        <f t="shared" si="0"/>
        <v>2.285932770225374</v>
      </c>
      <c r="R4" s="6">
        <f t="shared" si="1"/>
        <v>5.3212554246967955E-3</v>
      </c>
      <c r="S4" s="5">
        <f t="shared" si="2"/>
        <v>0</v>
      </c>
      <c r="T4" s="6">
        <f t="shared" si="3"/>
        <v>97.693830368884036</v>
      </c>
      <c r="U4" s="1">
        <f t="shared" si="3"/>
        <v>97.693830368884036</v>
      </c>
      <c r="V4" s="1">
        <f t="shared" si="3"/>
        <v>97.693830368884036</v>
      </c>
      <c r="X4" s="9" t="s">
        <v>27</v>
      </c>
      <c r="Y4" s="2">
        <v>7242</v>
      </c>
      <c r="Z4" s="2">
        <v>2118</v>
      </c>
      <c r="AA4" s="2">
        <v>1979</v>
      </c>
      <c r="AB4" s="2">
        <v>0</v>
      </c>
      <c r="AC4" s="2">
        <v>3146</v>
      </c>
      <c r="AD4" s="1"/>
      <c r="AE4" s="1"/>
      <c r="AF4" t="s">
        <v>43</v>
      </c>
      <c r="AG4" t="s">
        <v>44</v>
      </c>
      <c r="AH4" s="1" t="s">
        <v>45</v>
      </c>
      <c r="AI4" s="1" t="s">
        <v>46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B5" s="7">
        <v>6.8639999999999999</v>
      </c>
      <c r="C5" s="8">
        <v>1.2425000000000001E-10</v>
      </c>
      <c r="D5" s="8">
        <v>1.2425000000000001E-10</v>
      </c>
      <c r="E5" s="8">
        <v>1.2425000000000001E-10</v>
      </c>
      <c r="F5" s="1">
        <v>2.9387E-12</v>
      </c>
      <c r="G5" s="1">
        <v>1.9173000000000001E-17</v>
      </c>
      <c r="H5" s="1">
        <v>1.3843999999999999E-13</v>
      </c>
      <c r="I5" s="1">
        <v>1.1975000000000001E-14</v>
      </c>
      <c r="J5" s="8"/>
      <c r="K5" s="1"/>
      <c r="L5" s="1"/>
      <c r="M5" s="1"/>
      <c r="N5" s="7"/>
      <c r="O5">
        <f t="shared" si="4"/>
        <v>0.1144</v>
      </c>
      <c r="P5" s="6">
        <f t="shared" si="5"/>
        <v>99.985916839878058</v>
      </c>
      <c r="Q5" s="6">
        <f t="shared" si="0"/>
        <v>2.4161516892887627</v>
      </c>
      <c r="R5" s="6">
        <f t="shared" si="1"/>
        <v>9.4177519890455644E-3</v>
      </c>
      <c r="S5" s="5">
        <f t="shared" si="2"/>
        <v>0</v>
      </c>
      <c r="T5" s="6">
        <f t="shared" si="3"/>
        <v>97.560347398600243</v>
      </c>
      <c r="U5" s="1">
        <f t="shared" si="3"/>
        <v>97.560347398600243</v>
      </c>
      <c r="V5" s="1">
        <f t="shared" si="3"/>
        <v>97.560347398600243</v>
      </c>
      <c r="X5" s="9" t="s">
        <v>28</v>
      </c>
      <c r="Y5" s="2">
        <v>7242</v>
      </c>
      <c r="Z5" s="2">
        <v>2118</v>
      </c>
      <c r="AA5" s="2">
        <v>1979</v>
      </c>
      <c r="AB5" s="2">
        <v>0</v>
      </c>
      <c r="AC5" s="2">
        <v>3146</v>
      </c>
      <c r="AD5" s="1"/>
      <c r="AE5" s="1"/>
      <c r="AF5" s="1" t="s">
        <v>60</v>
      </c>
      <c r="AG5" s="1" t="s">
        <v>61</v>
      </c>
      <c r="AH5" s="1" t="s">
        <v>62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B6" s="7">
        <v>9.9359999999999999</v>
      </c>
      <c r="C6" s="8">
        <v>1.2409999999999999E-10</v>
      </c>
      <c r="D6" s="8">
        <v>1.2409999999999999E-10</v>
      </c>
      <c r="E6" s="8">
        <v>1.2409999999999999E-10</v>
      </c>
      <c r="F6" s="1">
        <v>2.9978E-12</v>
      </c>
      <c r="G6" s="1">
        <v>2.8083999999999999E-17</v>
      </c>
      <c r="H6" s="1">
        <v>2.2292E-13</v>
      </c>
      <c r="I6" s="1">
        <v>2.3062000000000001E-14</v>
      </c>
      <c r="J6" s="8"/>
      <c r="K6" s="1"/>
      <c r="L6" s="1"/>
      <c r="M6" s="1"/>
      <c r="N6" s="7"/>
      <c r="O6">
        <f t="shared" si="4"/>
        <v>0.1656</v>
      </c>
      <c r="P6" s="6">
        <f t="shared" si="5"/>
        <v>99.989588336872529</v>
      </c>
      <c r="Q6" s="6">
        <f t="shared" si="0"/>
        <v>2.5288898356025737</v>
      </c>
      <c r="R6" s="6">
        <f t="shared" si="1"/>
        <v>1.8130194096602503E-2</v>
      </c>
      <c r="S6" s="5">
        <f t="shared" si="2"/>
        <v>0</v>
      </c>
      <c r="T6" s="6">
        <f t="shared" si="3"/>
        <v>97.442568307173346</v>
      </c>
      <c r="U6" s="1">
        <f t="shared" si="3"/>
        <v>97.442568307173346</v>
      </c>
      <c r="V6" s="1">
        <f t="shared" si="3"/>
        <v>97.442568307173346</v>
      </c>
      <c r="X6" s="9" t="s">
        <v>29</v>
      </c>
      <c r="Y6" s="2">
        <v>1</v>
      </c>
      <c r="Z6" s="2">
        <v>1</v>
      </c>
      <c r="AA6" s="2">
        <v>1</v>
      </c>
      <c r="AB6" s="2">
        <v>19</v>
      </c>
      <c r="AC6" s="2">
        <v>1</v>
      </c>
      <c r="AD6" s="1"/>
      <c r="AE6" s="1"/>
      <c r="AF6" t="s">
        <v>18</v>
      </c>
      <c r="AG6">
        <v>0.5</v>
      </c>
      <c r="AH6" s="1">
        <v>0.5</v>
      </c>
      <c r="AI6" s="1" t="s">
        <v>47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B7" s="7">
        <v>11.984</v>
      </c>
      <c r="C7" s="8">
        <v>1.2402E-10</v>
      </c>
      <c r="D7" s="8">
        <v>1.2402E-10</v>
      </c>
      <c r="E7" s="8">
        <v>1.2402E-10</v>
      </c>
      <c r="F7" s="1">
        <v>3.0098999999999999E-12</v>
      </c>
      <c r="G7" s="1">
        <v>3.6323999999999999E-17</v>
      </c>
      <c r="H7" s="1">
        <v>2.8035000000000001E-13</v>
      </c>
      <c r="I7" s="1">
        <v>3.3165000000000003E-14</v>
      </c>
      <c r="J7" s="8"/>
      <c r="K7" s="1"/>
      <c r="L7" s="1"/>
      <c r="M7" s="1"/>
      <c r="N7" s="7"/>
      <c r="O7">
        <f t="shared" si="4"/>
        <v>0.19973333333333335</v>
      </c>
      <c r="P7" s="6">
        <f t="shared" si="5"/>
        <v>99.989306640693613</v>
      </c>
      <c r="Q7" s="6">
        <f t="shared" si="0"/>
        <v>2.5834843704486476</v>
      </c>
      <c r="R7" s="6">
        <f t="shared" si="1"/>
        <v>2.606947849926345E-2</v>
      </c>
      <c r="S7" s="5">
        <f t="shared" si="2"/>
        <v>0</v>
      </c>
      <c r="T7" s="6">
        <f t="shared" si="3"/>
        <v>97.379752791745688</v>
      </c>
      <c r="U7" s="1">
        <f t="shared" si="3"/>
        <v>97.379752791745688</v>
      </c>
      <c r="V7" s="1">
        <f t="shared" si="3"/>
        <v>97.379752791745688</v>
      </c>
      <c r="X7" s="9"/>
      <c r="Y7" s="2"/>
      <c r="Z7" s="2"/>
      <c r="AA7" s="2"/>
      <c r="AB7" s="2"/>
      <c r="AC7" s="2"/>
      <c r="AD7" s="1"/>
      <c r="AE7" s="1"/>
      <c r="AF7" t="s">
        <v>48</v>
      </c>
      <c r="AG7" t="s">
        <v>94</v>
      </c>
      <c r="AH7" s="1" t="s">
        <v>95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B8" s="7">
        <v>14.032</v>
      </c>
      <c r="C8" s="8">
        <v>1.2393999999999999E-10</v>
      </c>
      <c r="D8" s="8">
        <v>1.2393999999999999E-10</v>
      </c>
      <c r="E8" s="8">
        <v>1.2393999999999999E-10</v>
      </c>
      <c r="F8" s="1">
        <v>3.0127999999999998E-12</v>
      </c>
      <c r="G8" s="1">
        <v>4.5907999999999999E-17</v>
      </c>
      <c r="H8" s="1">
        <v>3.3811999999999998E-13</v>
      </c>
      <c r="I8" s="1">
        <v>4.5967999999999999E-14</v>
      </c>
      <c r="J8" s="8"/>
      <c r="K8" s="1"/>
      <c r="L8" s="1"/>
      <c r="M8" s="1"/>
      <c r="N8" s="7"/>
      <c r="O8">
        <f t="shared" si="4"/>
        <v>0.23386666666666667</v>
      </c>
      <c r="P8" s="6">
        <f t="shared" si="5"/>
        <v>99.984189205127379</v>
      </c>
      <c r="Q8" s="6">
        <f t="shared" si="0"/>
        <v>2.6311220869611063</v>
      </c>
      <c r="R8" s="6">
        <f t="shared" si="1"/>
        <v>3.6129841848267452E-2</v>
      </c>
      <c r="S8" s="5">
        <f t="shared" si="2"/>
        <v>0</v>
      </c>
      <c r="T8" s="6">
        <f t="shared" si="3"/>
        <v>97.316937276318001</v>
      </c>
      <c r="U8" s="1">
        <f t="shared" si="3"/>
        <v>97.316937276318001</v>
      </c>
      <c r="V8" s="1">
        <f t="shared" si="3"/>
        <v>97.316937276318001</v>
      </c>
      <c r="X8" s="9"/>
      <c r="Y8" s="2">
        <f>Y4/$Y$4*100</f>
        <v>100</v>
      </c>
      <c r="Z8" s="10">
        <f>Z4/$Y$4*100</f>
        <v>29.246064623032314</v>
      </c>
      <c r="AA8" s="10">
        <f>AA4/$Y$4*100</f>
        <v>27.32670533001933</v>
      </c>
      <c r="AB8" s="10">
        <f>AB4/$Y$4*100</f>
        <v>0</v>
      </c>
      <c r="AC8" s="10">
        <f>AC4/$Y$4*100</f>
        <v>43.441038387185863</v>
      </c>
      <c r="AD8" s="1"/>
      <c r="AE8" s="1"/>
      <c r="AF8" s="1" t="s">
        <v>20</v>
      </c>
      <c r="AG8" s="1">
        <v>0</v>
      </c>
      <c r="AH8" s="1">
        <v>0</v>
      </c>
      <c r="AI8" s="1" t="s">
        <v>49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>
      <c r="B9" s="7">
        <v>16.079999999999998</v>
      </c>
      <c r="C9" s="8">
        <v>1.2387000000000001E-10</v>
      </c>
      <c r="D9" s="8">
        <v>1.2387000000000001E-10</v>
      </c>
      <c r="E9" s="8">
        <v>1.2387000000000001E-10</v>
      </c>
      <c r="F9" s="1">
        <v>3.0119000000000001E-12</v>
      </c>
      <c r="G9" s="1">
        <v>5.5907000000000003E-17</v>
      </c>
      <c r="H9" s="1">
        <v>3.9604E-13</v>
      </c>
      <c r="I9" s="1">
        <v>6.1739999999999997E-14</v>
      </c>
      <c r="J9" s="8"/>
      <c r="K9" s="1"/>
      <c r="L9" s="1"/>
      <c r="M9" s="1"/>
      <c r="N9" s="7"/>
      <c r="O9">
        <f t="shared" si="4"/>
        <v>0.26799999999999996</v>
      </c>
      <c r="P9" s="6">
        <f t="shared" si="5"/>
        <v>99.986389317770048</v>
      </c>
      <c r="Q9" s="6">
        <f t="shared" si="0"/>
        <v>2.6758938455821788</v>
      </c>
      <c r="R9" s="6">
        <f t="shared" si="1"/>
        <v>4.8521771869067143E-2</v>
      </c>
      <c r="S9" s="5">
        <f t="shared" si="2"/>
        <v>0</v>
      </c>
      <c r="T9" s="6">
        <f t="shared" si="3"/>
        <v>97.261973700318819</v>
      </c>
      <c r="U9" s="1">
        <f t="shared" si="3"/>
        <v>97.261973700318819</v>
      </c>
      <c r="V9" s="1">
        <f t="shared" si="3"/>
        <v>97.261973700318819</v>
      </c>
      <c r="X9" s="9"/>
      <c r="Y9" s="2"/>
      <c r="Z9" s="2"/>
      <c r="AA9" s="2"/>
      <c r="AB9" s="2"/>
      <c r="AC9" s="2"/>
      <c r="AD9" s="1"/>
      <c r="AE9" s="1"/>
      <c r="AF9" s="1" t="s">
        <v>22</v>
      </c>
      <c r="AG9" s="1">
        <v>0</v>
      </c>
      <c r="AH9" s="1">
        <v>0</v>
      </c>
      <c r="AI9" s="1" t="s">
        <v>50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8" thickBot="1">
      <c r="B10" s="7">
        <v>18.128</v>
      </c>
      <c r="C10" s="8">
        <v>1.2378999999999999E-10</v>
      </c>
      <c r="D10" s="8">
        <v>1.2378999999999999E-10</v>
      </c>
      <c r="E10" s="8">
        <v>1.2378999999999999E-10</v>
      </c>
      <c r="F10" s="1">
        <v>3.0096E-12</v>
      </c>
      <c r="G10" s="1">
        <v>6.6095000000000005E-17</v>
      </c>
      <c r="H10" s="1">
        <v>4.5402000000000002E-13</v>
      </c>
      <c r="I10" s="1">
        <v>8.0598999999999996E-14</v>
      </c>
      <c r="J10" s="8"/>
      <c r="K10" s="1"/>
      <c r="L10" s="1"/>
      <c r="M10" s="1"/>
      <c r="N10" s="7"/>
      <c r="O10">
        <f t="shared" si="4"/>
        <v>0.30213333333333331</v>
      </c>
      <c r="P10" s="6">
        <f t="shared" si="5"/>
        <v>99.982109373204054</v>
      </c>
      <c r="Q10" s="6">
        <f t="shared" si="0"/>
        <v>2.7196134443198372</v>
      </c>
      <c r="R10" s="6">
        <f t="shared" si="1"/>
        <v>6.3337743993087253E-2</v>
      </c>
      <c r="S10" s="5">
        <f t="shared" si="2"/>
        <v>0</v>
      </c>
      <c r="T10" s="6">
        <f t="shared" si="3"/>
        <v>97.199158184891132</v>
      </c>
      <c r="U10" s="1">
        <f t="shared" si="3"/>
        <v>97.199158184891132</v>
      </c>
      <c r="V10" s="1">
        <f t="shared" si="3"/>
        <v>97.199158184891132</v>
      </c>
      <c r="X10" s="9"/>
      <c r="Y10" s="2"/>
      <c r="Z10" s="2"/>
      <c r="AA10" s="2"/>
      <c r="AB10" s="2"/>
      <c r="AC10" s="2"/>
      <c r="AD10" s="1"/>
      <c r="AE10" s="1"/>
      <c r="AF10" s="1" t="s">
        <v>24</v>
      </c>
      <c r="AG10" s="1">
        <v>0</v>
      </c>
      <c r="AH10" s="1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>
      <c r="B11" s="7">
        <v>22.224</v>
      </c>
      <c r="C11" s="8">
        <v>1.2364E-10</v>
      </c>
      <c r="D11" s="8">
        <v>1.2364E-10</v>
      </c>
      <c r="E11" s="8">
        <v>1.2364E-10</v>
      </c>
      <c r="F11" s="1">
        <v>3.0043E-12</v>
      </c>
      <c r="G11" s="1">
        <v>8.3673999999999994E-17</v>
      </c>
      <c r="H11" s="1">
        <v>5.7007000000000001E-13</v>
      </c>
      <c r="I11" s="1">
        <v>1.2733E-13</v>
      </c>
      <c r="J11" s="8"/>
      <c r="K11" s="1"/>
      <c r="L11" s="1"/>
      <c r="M11" s="1"/>
      <c r="N11" s="7"/>
      <c r="O11">
        <f t="shared" si="4"/>
        <v>0.37040000000000001</v>
      </c>
      <c r="P11" s="6">
        <f t="shared" si="5"/>
        <v>99.987997212014818</v>
      </c>
      <c r="Q11" s="6">
        <f t="shared" si="0"/>
        <v>2.8065736734900182</v>
      </c>
      <c r="R11" s="6">
        <f t="shared" si="1"/>
        <v>0.10004444506053922</v>
      </c>
      <c r="S11" s="5">
        <f t="shared" si="2"/>
        <v>0</v>
      </c>
      <c r="T11" s="6">
        <f t="shared" si="3"/>
        <v>97.08137909346425</v>
      </c>
      <c r="U11" s="1">
        <f t="shared" si="3"/>
        <v>97.08137909346425</v>
      </c>
      <c r="V11" s="1">
        <f t="shared" si="3"/>
        <v>97.08137909346425</v>
      </c>
      <c r="X11" s="9"/>
      <c r="Y11" s="2"/>
      <c r="Z11" s="2"/>
      <c r="AA11" s="16"/>
      <c r="AB11" s="11" t="s">
        <v>33</v>
      </c>
      <c r="AC11" s="2"/>
      <c r="AD11" s="1"/>
      <c r="AE11" s="1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B12" s="7">
        <v>26.32</v>
      </c>
      <c r="C12" s="8">
        <v>1.2346999999999999E-10</v>
      </c>
      <c r="D12" s="8">
        <v>1.2346999999999999E-10</v>
      </c>
      <c r="E12" s="8">
        <v>1.2346999999999999E-10</v>
      </c>
      <c r="F12" s="1">
        <v>2.9982999999999999E-12</v>
      </c>
      <c r="G12" s="1">
        <v>1.0044E-16</v>
      </c>
      <c r="H12" s="1">
        <v>6.8614000000000004E-13</v>
      </c>
      <c r="I12" s="1">
        <v>1.8518E-13</v>
      </c>
      <c r="J12" s="8"/>
      <c r="K12" s="1"/>
      <c r="L12" s="1"/>
      <c r="M12" s="1"/>
      <c r="N12" s="7"/>
      <c r="O12">
        <f t="shared" si="4"/>
        <v>0.43866666666666665</v>
      </c>
      <c r="P12" s="6">
        <f t="shared" si="5"/>
        <v>99.986377173175327</v>
      </c>
      <c r="Q12" s="6">
        <f t="shared" si="0"/>
        <v>2.8929999707790635</v>
      </c>
      <c r="R12" s="6">
        <f t="shared" si="1"/>
        <v>0.14548107921581896</v>
      </c>
      <c r="S12" s="5">
        <f t="shared" si="2"/>
        <v>0</v>
      </c>
      <c r="T12" s="6">
        <f t="shared" si="3"/>
        <v>96.947896123180442</v>
      </c>
      <c r="U12" s="1">
        <f t="shared" si="3"/>
        <v>96.947896123180442</v>
      </c>
      <c r="V12" s="1">
        <f t="shared" si="3"/>
        <v>96.947896123180442</v>
      </c>
      <c r="X12" s="9"/>
      <c r="Y12" s="2"/>
      <c r="Z12" s="2"/>
      <c r="AA12" s="12" t="s">
        <v>32</v>
      </c>
      <c r="AB12" s="17">
        <f>AC8</f>
        <v>43.441038387185863</v>
      </c>
      <c r="AC12" s="2"/>
      <c r="AD12" s="1"/>
      <c r="AE12" s="1"/>
      <c r="AF12" s="1" t="s">
        <v>51</v>
      </c>
      <c r="AG12" s="1" t="s">
        <v>52</v>
      </c>
      <c r="AH12" s="1" t="s">
        <v>53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>
      <c r="B13" s="7">
        <v>30.416</v>
      </c>
      <c r="C13" s="8">
        <v>1.2329E-10</v>
      </c>
      <c r="D13" s="8">
        <v>1.2329E-10</v>
      </c>
      <c r="E13" s="8">
        <v>1.2329E-10</v>
      </c>
      <c r="F13" s="1">
        <v>2.9924000000000001E-12</v>
      </c>
      <c r="G13" s="1">
        <v>1.1563999999999999E-16</v>
      </c>
      <c r="H13" s="1">
        <v>8.0218000000000002E-13</v>
      </c>
      <c r="I13" s="1">
        <v>2.5281000000000001E-13</v>
      </c>
      <c r="J13" s="8"/>
      <c r="K13" s="1"/>
      <c r="L13" s="1"/>
      <c r="M13" s="1"/>
      <c r="N13" s="7"/>
      <c r="O13">
        <f t="shared" si="4"/>
        <v>0.50693333333333335</v>
      </c>
      <c r="P13" s="6">
        <f t="shared" si="5"/>
        <v>99.984638125630724</v>
      </c>
      <c r="Q13" s="6">
        <f t="shared" si="0"/>
        <v>2.9794812316441086</v>
      </c>
      <c r="R13" s="6">
        <f t="shared" si="1"/>
        <v>0.19859568051841689</v>
      </c>
      <c r="S13" s="5">
        <f t="shared" si="2"/>
        <v>0</v>
      </c>
      <c r="T13" s="6">
        <f t="shared" si="3"/>
        <v>96.806561213468186</v>
      </c>
      <c r="U13" s="1">
        <f t="shared" si="3"/>
        <v>96.806561213468186</v>
      </c>
      <c r="V13" s="1">
        <f t="shared" si="3"/>
        <v>96.806561213468186</v>
      </c>
      <c r="X13" s="9"/>
      <c r="Y13" s="2"/>
      <c r="Z13" s="2"/>
      <c r="AA13" s="13" t="s">
        <v>31</v>
      </c>
      <c r="AB13" s="18">
        <f>AA8</f>
        <v>27.32670533001933</v>
      </c>
      <c r="AC13" s="2"/>
      <c r="AD13" s="1"/>
      <c r="AE13" s="1"/>
      <c r="AF13" s="1" t="s">
        <v>54</v>
      </c>
      <c r="AG13" s="1" t="s">
        <v>55</v>
      </c>
      <c r="AH13" s="1" t="s">
        <v>56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>
      <c r="B14" s="7">
        <v>38.607999999999997</v>
      </c>
      <c r="C14" s="8">
        <v>1.2290999999999999E-10</v>
      </c>
      <c r="D14" s="8">
        <v>1.2290999999999999E-10</v>
      </c>
      <c r="E14" s="8">
        <v>1.2290999999999999E-10</v>
      </c>
      <c r="F14" s="1">
        <v>2.9807E-12</v>
      </c>
      <c r="G14" s="1">
        <v>1.3602999999999999E-16</v>
      </c>
      <c r="H14" s="1">
        <v>1.034E-12</v>
      </c>
      <c r="I14" s="1">
        <v>4.1103000000000002E-13</v>
      </c>
      <c r="J14" s="8"/>
      <c r="K14" s="1"/>
      <c r="L14" s="1"/>
      <c r="M14" s="1"/>
      <c r="N14" s="7"/>
      <c r="O14">
        <f t="shared" si="4"/>
        <v>0.64346666666666663</v>
      </c>
      <c r="P14" s="6">
        <f t="shared" si="5"/>
        <v>99.983350713790074</v>
      </c>
      <c r="Q14" s="6">
        <f t="shared" si="0"/>
        <v>3.1523181223433427</v>
      </c>
      <c r="R14" s="6">
        <f t="shared" si="1"/>
        <v>0.32284507625998626</v>
      </c>
      <c r="S14" s="5">
        <f t="shared" si="2"/>
        <v>0</v>
      </c>
      <c r="T14" s="6">
        <f t="shared" si="3"/>
        <v>96.508187515186762</v>
      </c>
      <c r="U14" s="1">
        <f t="shared" si="3"/>
        <v>96.508187515186762</v>
      </c>
      <c r="V14" s="1">
        <f t="shared" si="3"/>
        <v>96.508187515186762</v>
      </c>
      <c r="X14" s="9"/>
      <c r="Y14" s="2"/>
      <c r="Z14" s="2"/>
      <c r="AA14" s="14" t="s">
        <v>30</v>
      </c>
      <c r="AB14" s="19">
        <f>Z8</f>
        <v>29.246064623032314</v>
      </c>
      <c r="AC14" s="2"/>
      <c r="AD14" s="1"/>
      <c r="AE14" s="1"/>
      <c r="AF14" s="1" t="s">
        <v>57</v>
      </c>
      <c r="AG14" s="1" t="s">
        <v>58</v>
      </c>
      <c r="AH14" s="1" t="s">
        <v>59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8" thickBot="1">
      <c r="B15" s="7">
        <v>46.8</v>
      </c>
      <c r="C15" s="8">
        <v>1.2251E-10</v>
      </c>
      <c r="D15" s="8">
        <v>1.2251E-10</v>
      </c>
      <c r="E15" s="8">
        <v>1.2251E-10</v>
      </c>
      <c r="F15" s="1">
        <v>2.9692999999999999E-12</v>
      </c>
      <c r="G15" s="1">
        <v>1.5020000000000001E-16</v>
      </c>
      <c r="H15" s="1">
        <v>1.2654E-12</v>
      </c>
      <c r="I15" s="1">
        <v>5.9255000000000003E-13</v>
      </c>
      <c r="J15" s="8"/>
      <c r="K15" s="1"/>
      <c r="L15" s="1"/>
      <c r="M15" s="1"/>
      <c r="N15" s="7"/>
      <c r="O15">
        <f t="shared" si="4"/>
        <v>0.77999999999999992</v>
      </c>
      <c r="P15" s="6">
        <f t="shared" si="5"/>
        <v>99.984555334781376</v>
      </c>
      <c r="Q15" s="6">
        <f t="shared" si="0"/>
        <v>3.3250607897694366</v>
      </c>
      <c r="R15" s="6">
        <f t="shared" si="1"/>
        <v>0.46538460696353995</v>
      </c>
      <c r="S15" s="5">
        <f t="shared" si="2"/>
        <v>0</v>
      </c>
      <c r="T15" s="6">
        <f t="shared" si="3"/>
        <v>96.194109938048413</v>
      </c>
      <c r="U15" s="1">
        <f t="shared" si="3"/>
        <v>96.194109938048413</v>
      </c>
      <c r="V15" s="1">
        <f t="shared" si="3"/>
        <v>96.194109938048413</v>
      </c>
      <c r="X15" s="1"/>
      <c r="Y15" s="5"/>
      <c r="Z15" s="1"/>
      <c r="AA15" s="15" t="s">
        <v>11</v>
      </c>
      <c r="AB15" s="20">
        <f>AB8</f>
        <v>0</v>
      </c>
      <c r="AC15" s="1"/>
      <c r="AD15" s="1"/>
      <c r="AE15" s="1"/>
      <c r="AF15" s="1" t="s">
        <v>19</v>
      </c>
      <c r="AG15" s="1">
        <v>0.1</v>
      </c>
      <c r="AH15" s="1">
        <v>0.1</v>
      </c>
      <c r="AI15" s="1" t="s">
        <v>47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>
      <c r="B16" s="7">
        <v>54.991999999999997</v>
      </c>
      <c r="C16" s="8">
        <v>1.221E-10</v>
      </c>
      <c r="D16" s="8">
        <v>1.221E-10</v>
      </c>
      <c r="E16" s="8">
        <v>1.221E-10</v>
      </c>
      <c r="F16" s="1">
        <v>2.9581000000000001E-12</v>
      </c>
      <c r="G16" s="1">
        <v>1.616E-16</v>
      </c>
      <c r="H16" s="1">
        <v>1.4962E-12</v>
      </c>
      <c r="I16" s="1">
        <v>7.8968000000000002E-13</v>
      </c>
      <c r="J16" s="8"/>
      <c r="K16" s="1"/>
      <c r="L16" s="1"/>
      <c r="M16" s="1"/>
      <c r="N16" s="7"/>
      <c r="O16">
        <f t="shared" si="4"/>
        <v>0.91653333333333331</v>
      </c>
      <c r="P16" s="6">
        <f t="shared" si="5"/>
        <v>99.989848641227695</v>
      </c>
      <c r="Q16" s="6">
        <f t="shared" si="0"/>
        <v>3.4974893796183912</v>
      </c>
      <c r="R16" s="6">
        <f t="shared" si="1"/>
        <v>0.6201788401276962</v>
      </c>
      <c r="S16" s="5">
        <f t="shared" si="2"/>
        <v>0</v>
      </c>
      <c r="T16" s="6">
        <f t="shared" si="3"/>
        <v>95.872180421481602</v>
      </c>
      <c r="U16" s="1">
        <f t="shared" si="3"/>
        <v>95.872180421481602</v>
      </c>
      <c r="V16" s="1">
        <f t="shared" si="3"/>
        <v>95.872180421481602</v>
      </c>
      <c r="X16" s="1"/>
      <c r="AD16" s="1"/>
      <c r="AE16" s="1"/>
      <c r="AF16" s="1" t="s">
        <v>63</v>
      </c>
      <c r="AG16" s="1" t="s">
        <v>64</v>
      </c>
      <c r="AH16" s="1" t="s">
        <v>65</v>
      </c>
      <c r="AI16" s="1" t="s">
        <v>66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>
      <c r="B17" s="7">
        <v>63.183999999999997</v>
      </c>
      <c r="C17" s="8">
        <v>1.2167999999999999E-10</v>
      </c>
      <c r="D17" s="8">
        <v>1.2167999999999999E-10</v>
      </c>
      <c r="E17" s="8">
        <v>1.2167999999999999E-10</v>
      </c>
      <c r="F17" s="1">
        <v>2.9470999999999998E-12</v>
      </c>
      <c r="G17" s="1">
        <v>1.6888999999999999E-16</v>
      </c>
      <c r="H17" s="1">
        <v>1.7264E-12</v>
      </c>
      <c r="I17" s="1">
        <v>9.9703999999999996E-13</v>
      </c>
      <c r="J17" s="8"/>
      <c r="K17" s="1"/>
      <c r="L17" s="1"/>
      <c r="M17" s="1"/>
      <c r="N17" s="7"/>
      <c r="O17">
        <f t="shared" si="4"/>
        <v>1.0530666666666666</v>
      </c>
      <c r="P17" s="6">
        <f t="shared" si="5"/>
        <v>99.995005237556597</v>
      </c>
      <c r="Q17" s="6">
        <f t="shared" si="0"/>
        <v>3.6696038918902065</v>
      </c>
      <c r="R17" s="6">
        <f t="shared" si="1"/>
        <v>0.78300238018006074</v>
      </c>
      <c r="S17" s="5">
        <f t="shared" si="2"/>
        <v>0</v>
      </c>
      <c r="T17" s="6">
        <f t="shared" si="3"/>
        <v>95.542398965486328</v>
      </c>
      <c r="U17" s="1">
        <f t="shared" si="3"/>
        <v>95.542398965486328</v>
      </c>
      <c r="V17" s="1">
        <f t="shared" si="3"/>
        <v>95.542398965486328</v>
      </c>
      <c r="X17" s="5"/>
      <c r="Y17" s="5"/>
      <c r="Z17" s="5"/>
      <c r="AA17" s="5"/>
      <c r="AB17" s="5"/>
      <c r="AC17" s="1"/>
      <c r="AD17" s="5"/>
      <c r="AE17" s="5"/>
      <c r="AF17" s="1" t="s">
        <v>67</v>
      </c>
      <c r="AG17" s="1">
        <v>0.7</v>
      </c>
      <c r="AH17" s="1">
        <v>0.7</v>
      </c>
      <c r="AI17" s="1" t="s">
        <v>68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>
      <c r="B18" s="7">
        <v>71.376000000000005</v>
      </c>
      <c r="C18" s="8">
        <v>1.2124999999999999E-10</v>
      </c>
      <c r="D18" s="8">
        <v>1.2124999999999999E-10</v>
      </c>
      <c r="E18" s="8">
        <v>1.2124999999999999E-10</v>
      </c>
      <c r="F18" s="1">
        <v>2.9361999999999999E-12</v>
      </c>
      <c r="G18" s="1">
        <v>1.7263000000000001E-16</v>
      </c>
      <c r="H18" s="1">
        <v>1.9559000000000002E-12</v>
      </c>
      <c r="I18" s="1">
        <v>1.2108000000000001E-12</v>
      </c>
      <c r="J18" s="8"/>
      <c r="K18" s="1"/>
      <c r="L18" s="1"/>
      <c r="M18" s="1"/>
      <c r="N18" s="7"/>
      <c r="O18">
        <f t="shared" si="4"/>
        <v>1.1896</v>
      </c>
      <c r="P18" s="6">
        <f t="shared" si="5"/>
        <v>99.996861231887067</v>
      </c>
      <c r="Q18" s="6">
        <f t="shared" si="0"/>
        <v>3.8412472877963157</v>
      </c>
      <c r="R18" s="6">
        <f t="shared" si="1"/>
        <v>0.9508483740281416</v>
      </c>
      <c r="S18" s="5">
        <f t="shared" si="2"/>
        <v>0</v>
      </c>
      <c r="T18" s="6">
        <f t="shared" ref="T18:V81" si="6">C18/$A$1*100</f>
        <v>95.204765570062605</v>
      </c>
      <c r="U18" s="1">
        <f t="shared" si="6"/>
        <v>95.204765570062605</v>
      </c>
      <c r="V18" s="1">
        <f t="shared" si="6"/>
        <v>95.204765570062605</v>
      </c>
      <c r="X18" s="5"/>
      <c r="Y18" s="5"/>
      <c r="Z18" s="5"/>
      <c r="AA18" s="5"/>
      <c r="AB18" s="5"/>
      <c r="AC18" s="1"/>
      <c r="AD18" s="5"/>
      <c r="AE18" s="5"/>
      <c r="AF18" t="s">
        <v>69</v>
      </c>
      <c r="AG18" s="1" t="s">
        <v>70</v>
      </c>
      <c r="AH18" s="1" t="s">
        <v>71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>
      <c r="B19" s="7">
        <v>79.567999999999998</v>
      </c>
      <c r="C19" s="8">
        <v>1.2082E-10</v>
      </c>
      <c r="D19" s="8">
        <v>1.2082E-10</v>
      </c>
      <c r="E19" s="8">
        <v>1.2082E-10</v>
      </c>
      <c r="F19" s="1">
        <v>2.9254E-12</v>
      </c>
      <c r="G19" s="1">
        <v>1.7538E-16</v>
      </c>
      <c r="H19" s="1">
        <v>2.1848000000000001E-12</v>
      </c>
      <c r="I19" s="1">
        <v>1.4286E-12</v>
      </c>
      <c r="J19" s="8"/>
      <c r="K19" s="1"/>
      <c r="L19" s="1"/>
      <c r="M19" s="1"/>
      <c r="N19" s="7"/>
      <c r="O19">
        <f t="shared" si="4"/>
        <v>1.3261333333333334</v>
      </c>
      <c r="P19" s="6">
        <f t="shared" si="5"/>
        <v>100.00149603543321</v>
      </c>
      <c r="Q19" s="6">
        <f t="shared" si="0"/>
        <v>4.0124980867310009</v>
      </c>
      <c r="R19" s="6">
        <f t="shared" si="1"/>
        <v>1.1218657740633164</v>
      </c>
      <c r="S19" s="5">
        <f t="shared" si="2"/>
        <v>0</v>
      </c>
      <c r="T19" s="6">
        <f t="shared" si="6"/>
        <v>94.867132174638883</v>
      </c>
      <c r="U19" s="1">
        <f t="shared" si="6"/>
        <v>94.867132174638883</v>
      </c>
      <c r="V19" s="1">
        <f t="shared" si="6"/>
        <v>94.867132174638883</v>
      </c>
      <c r="X19" s="5"/>
      <c r="Y19" s="5"/>
      <c r="Z19" s="5"/>
      <c r="AA19" s="5"/>
      <c r="AB19" s="5"/>
      <c r="AC19" s="1"/>
      <c r="AD19" s="5"/>
      <c r="AE19" s="5"/>
      <c r="AF19" t="s">
        <v>72</v>
      </c>
      <c r="AG19" s="1" t="s">
        <v>73</v>
      </c>
      <c r="AH19" s="1" t="s">
        <v>74</v>
      </c>
      <c r="AI19" s="1" t="s">
        <v>75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>
      <c r="B20" s="7">
        <v>95.951999999999998</v>
      </c>
      <c r="C20" s="8">
        <v>1.1995000000000001E-10</v>
      </c>
      <c r="D20" s="8">
        <v>1.1995000000000001E-10</v>
      </c>
      <c r="E20" s="8">
        <v>1.1995000000000001E-10</v>
      </c>
      <c r="F20" s="1">
        <v>2.9041000000000001E-12</v>
      </c>
      <c r="G20" s="1">
        <v>1.7414000000000001E-16</v>
      </c>
      <c r="H20" s="1">
        <v>2.6402E-12</v>
      </c>
      <c r="I20" s="1">
        <v>1.8699999999999999E-12</v>
      </c>
      <c r="J20" s="8"/>
      <c r="K20" s="1"/>
      <c r="L20" s="1"/>
      <c r="M20" s="1"/>
      <c r="N20" s="7"/>
      <c r="O20">
        <f t="shared" si="4"/>
        <v>1.5992</v>
      </c>
      <c r="P20" s="6">
        <f t="shared" si="5"/>
        <v>100.00581362847836</v>
      </c>
      <c r="Q20" s="6">
        <f t="shared" si="0"/>
        <v>4.3533507773203972</v>
      </c>
      <c r="R20" s="6">
        <f t="shared" si="1"/>
        <v>1.4684494067949974</v>
      </c>
      <c r="S20" s="5">
        <f t="shared" si="2"/>
        <v>0</v>
      </c>
      <c r="T20" s="6">
        <f t="shared" si="6"/>
        <v>94.184013444362975</v>
      </c>
      <c r="U20" s="1">
        <f t="shared" si="6"/>
        <v>94.184013444362975</v>
      </c>
      <c r="V20" s="1">
        <f t="shared" si="6"/>
        <v>94.184013444362975</v>
      </c>
      <c r="X20" s="5"/>
      <c r="Y20" s="5"/>
      <c r="Z20" s="5"/>
      <c r="AA20" s="5"/>
      <c r="AB20" s="5"/>
      <c r="AC20" s="1"/>
      <c r="AD20" s="5"/>
      <c r="AE20" s="5"/>
      <c r="AF20" t="s">
        <v>76</v>
      </c>
      <c r="AG20" s="1" t="s">
        <v>77</v>
      </c>
      <c r="AH20" s="1" t="s">
        <v>78</v>
      </c>
      <c r="AI20" s="1" t="s">
        <v>79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>
      <c r="B21" s="7">
        <v>112.34</v>
      </c>
      <c r="C21" s="8">
        <v>1.1907999999999999E-10</v>
      </c>
      <c r="D21" s="8">
        <v>1.1907999999999999E-10</v>
      </c>
      <c r="E21" s="8">
        <v>1.1907999999999999E-10</v>
      </c>
      <c r="F21" s="1">
        <v>2.8829000000000002E-12</v>
      </c>
      <c r="G21" s="1">
        <v>1.7304E-16</v>
      </c>
      <c r="H21" s="1">
        <v>3.0926999999999999E-12</v>
      </c>
      <c r="I21" s="1">
        <v>2.3143999999999999E-12</v>
      </c>
      <c r="J21" s="8"/>
      <c r="K21" s="1"/>
      <c r="L21" s="1"/>
      <c r="M21" s="1"/>
      <c r="N21" s="7"/>
      <c r="O21">
        <f t="shared" si="4"/>
        <v>1.8723333333333334</v>
      </c>
      <c r="P21" s="6">
        <f t="shared" si="5"/>
        <v>100.01028837023924</v>
      </c>
      <c r="Q21" s="6">
        <f t="shared" si="0"/>
        <v>4.6920049248698232</v>
      </c>
      <c r="R21" s="6">
        <f t="shared" si="1"/>
        <v>1.8173887312823682</v>
      </c>
      <c r="S21" s="5">
        <f t="shared" si="2"/>
        <v>0</v>
      </c>
      <c r="T21" s="6">
        <f t="shared" si="6"/>
        <v>93.500894714087053</v>
      </c>
      <c r="U21" s="1">
        <f t="shared" si="6"/>
        <v>93.500894714087053</v>
      </c>
      <c r="V21" s="1">
        <f t="shared" si="6"/>
        <v>93.500894714087053</v>
      </c>
      <c r="X21" s="5"/>
      <c r="Y21" s="5"/>
      <c r="Z21" s="5"/>
      <c r="AA21" s="5"/>
      <c r="AB21" s="5"/>
      <c r="AC21" s="1"/>
      <c r="AD21" s="5"/>
      <c r="AE21" s="5"/>
      <c r="AF21" t="s">
        <v>80</v>
      </c>
      <c r="AG21" s="1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49"/>
      <c r="AW21" s="49"/>
      <c r="AX21" s="49"/>
      <c r="AY21" s="49"/>
      <c r="AZ21" s="49"/>
      <c r="BA21" s="49"/>
      <c r="BB21" s="49"/>
      <c r="BC21" s="49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>
      <c r="B22" s="7">
        <v>128.72</v>
      </c>
      <c r="C22" s="8">
        <v>1.1821E-10</v>
      </c>
      <c r="D22" s="8">
        <v>1.1821E-10</v>
      </c>
      <c r="E22" s="8">
        <v>1.1821E-10</v>
      </c>
      <c r="F22" s="1">
        <v>2.8619000000000002E-12</v>
      </c>
      <c r="G22" s="1">
        <v>1.7563000000000001E-16</v>
      </c>
      <c r="H22" s="1">
        <v>3.5419000000000001E-12</v>
      </c>
      <c r="I22" s="1">
        <v>2.7581000000000001E-12</v>
      </c>
      <c r="J22" s="8"/>
      <c r="K22" s="1"/>
      <c r="L22" s="1"/>
      <c r="M22" s="1"/>
      <c r="N22" s="7"/>
      <c r="O22">
        <f t="shared" si="4"/>
        <v>2.1453333333333333</v>
      </c>
      <c r="P22" s="6">
        <f t="shared" si="5"/>
        <v>100.01178227238296</v>
      </c>
      <c r="Q22" s="6">
        <f t="shared" si="0"/>
        <v>5.028224971196428</v>
      </c>
      <c r="R22" s="6">
        <f t="shared" si="1"/>
        <v>2.1657813173753957</v>
      </c>
      <c r="S22" s="5">
        <f t="shared" si="2"/>
        <v>0</v>
      </c>
      <c r="T22" s="6">
        <f t="shared" si="6"/>
        <v>92.817775983811131</v>
      </c>
      <c r="U22" s="1">
        <f t="shared" si="6"/>
        <v>92.817775983811131</v>
      </c>
      <c r="V22" s="1">
        <f t="shared" si="6"/>
        <v>92.817775983811131</v>
      </c>
      <c r="X22" s="5"/>
      <c r="Y22" s="5"/>
      <c r="Z22" s="5"/>
      <c r="AA22" s="5"/>
      <c r="AB22" s="5"/>
      <c r="AC22" s="1"/>
      <c r="AD22" s="5"/>
      <c r="AE22" s="5"/>
      <c r="AF22" s="1" t="s">
        <v>144</v>
      </c>
      <c r="AG22" s="1" t="s">
        <v>145</v>
      </c>
      <c r="AH22" s="1" t="s">
        <v>146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>
      <c r="B23" s="7">
        <v>145.1</v>
      </c>
      <c r="C23" s="8">
        <v>1.1734999999999999E-10</v>
      </c>
      <c r="D23" s="8">
        <v>1.1734999999999999E-10</v>
      </c>
      <c r="E23" s="8">
        <v>1.1734999999999999E-10</v>
      </c>
      <c r="F23" s="1">
        <v>2.8411000000000001E-12</v>
      </c>
      <c r="G23" s="1">
        <v>1.7541E-16</v>
      </c>
      <c r="H23" s="1">
        <v>3.9880000000000004E-12</v>
      </c>
      <c r="I23" s="1">
        <v>3.1995999999999998E-12</v>
      </c>
      <c r="J23" s="8"/>
      <c r="K23" s="1"/>
      <c r="L23" s="1"/>
      <c r="M23" s="1"/>
      <c r="N23" s="7"/>
      <c r="O23">
        <f t="shared" si="4"/>
        <v>2.4183333333333334</v>
      </c>
      <c r="P23" s="6">
        <f t="shared" si="5"/>
        <v>100.01712141845165</v>
      </c>
      <c r="Q23" s="6">
        <f t="shared" si="0"/>
        <v>5.36216795508878</v>
      </c>
      <c r="R23" s="6">
        <f t="shared" si="1"/>
        <v>2.5124442703991829</v>
      </c>
      <c r="S23" s="5">
        <f t="shared" si="2"/>
        <v>0</v>
      </c>
      <c r="T23" s="6">
        <f t="shared" si="6"/>
        <v>92.142509192963672</v>
      </c>
      <c r="U23" s="1">
        <f t="shared" si="6"/>
        <v>92.142509192963672</v>
      </c>
      <c r="V23" s="1">
        <f t="shared" si="6"/>
        <v>92.142509192963672</v>
      </c>
      <c r="X23" s="5"/>
      <c r="Y23" s="5"/>
      <c r="Z23" s="5"/>
      <c r="AA23" s="5"/>
      <c r="AB23" s="5"/>
      <c r="AC23" s="1"/>
      <c r="AD23" s="5"/>
      <c r="AE23" s="5"/>
      <c r="AF23" s="1" t="s">
        <v>147</v>
      </c>
      <c r="AG23" s="1" t="s">
        <v>148</v>
      </c>
      <c r="AH23" s="1" t="s">
        <v>149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>
      <c r="B24" s="7">
        <v>177.87</v>
      </c>
      <c r="C24" s="8">
        <v>1.1564E-10</v>
      </c>
      <c r="D24" s="8">
        <v>1.1564E-10</v>
      </c>
      <c r="E24" s="8">
        <v>1.1564E-10</v>
      </c>
      <c r="F24" s="1">
        <v>2.7997999999999998E-12</v>
      </c>
      <c r="G24" s="1">
        <v>1.6808000000000001E-16</v>
      </c>
      <c r="H24" s="1">
        <v>4.8705999999999999E-12</v>
      </c>
      <c r="I24" s="1">
        <v>4.0730999999999997E-12</v>
      </c>
      <c r="J24" s="8"/>
      <c r="K24" s="1"/>
      <c r="L24" s="1"/>
      <c r="M24" s="1"/>
      <c r="N24" s="7"/>
      <c r="O24">
        <f t="shared" si="4"/>
        <v>2.9645000000000001</v>
      </c>
      <c r="P24" s="6">
        <f t="shared" si="5"/>
        <v>100.02088459390571</v>
      </c>
      <c r="Q24" s="6">
        <f t="shared" si="0"/>
        <v>6.0227516192050157</v>
      </c>
      <c r="R24" s="6">
        <f t="shared" si="1"/>
        <v>3.1983054240034559</v>
      </c>
      <c r="S24" s="5">
        <f t="shared" si="2"/>
        <v>0</v>
      </c>
      <c r="T24" s="6">
        <f t="shared" si="6"/>
        <v>90.799827550697245</v>
      </c>
      <c r="U24" s="1">
        <f t="shared" si="6"/>
        <v>90.799827550697245</v>
      </c>
      <c r="V24" s="1">
        <f t="shared" si="6"/>
        <v>90.799827550697245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>
      <c r="B25" s="7">
        <v>243.41</v>
      </c>
      <c r="C25" s="8">
        <v>1.1235E-10</v>
      </c>
      <c r="D25" s="8">
        <v>1.1235E-10</v>
      </c>
      <c r="E25" s="8">
        <v>1.1235E-10</v>
      </c>
      <c r="F25" s="1">
        <v>2.7201000000000001E-12</v>
      </c>
      <c r="G25" s="1">
        <v>1.6401E-16</v>
      </c>
      <c r="H25" s="1">
        <v>6.5981999999999999E-12</v>
      </c>
      <c r="I25" s="1">
        <v>5.7822000000000001E-12</v>
      </c>
      <c r="J25" s="8"/>
      <c r="K25" s="1"/>
      <c r="L25" s="1"/>
      <c r="M25" s="1"/>
      <c r="N25" s="7"/>
      <c r="O25">
        <f t="shared" si="4"/>
        <v>4.0568333333333335</v>
      </c>
      <c r="P25" s="6">
        <f t="shared" si="5"/>
        <v>100.07348939233705</v>
      </c>
      <c r="Q25" s="6">
        <f t="shared" si="0"/>
        <v>7.3166727176207385</v>
      </c>
      <c r="R25" s="6">
        <f t="shared" si="1"/>
        <v>4.5402771959819974</v>
      </c>
      <c r="S25" s="5">
        <f t="shared" si="2"/>
        <v>0</v>
      </c>
      <c r="T25" s="6">
        <f t="shared" si="6"/>
        <v>88.216539478734305</v>
      </c>
      <c r="U25" s="1">
        <f t="shared" si="6"/>
        <v>88.216539478734305</v>
      </c>
      <c r="V25" s="1">
        <f t="shared" si="6"/>
        <v>88.216539478734305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>
      <c r="B26" s="7">
        <v>374.48</v>
      </c>
      <c r="C26" s="8">
        <v>1.0613E-10</v>
      </c>
      <c r="D26" s="8">
        <v>1.0613E-10</v>
      </c>
      <c r="E26" s="8">
        <v>1.0613E-10</v>
      </c>
      <c r="F26" s="1">
        <v>2.5695999999999999E-12</v>
      </c>
      <c r="G26" s="1">
        <v>1.5887000000000001E-16</v>
      </c>
      <c r="H26" s="1">
        <v>9.9092999999999994E-12</v>
      </c>
      <c r="I26" s="1">
        <v>9.0582999999999999E-12</v>
      </c>
      <c r="J26" s="8"/>
      <c r="K26" s="1"/>
      <c r="L26" s="1"/>
      <c r="M26" s="1"/>
      <c r="N26" s="7"/>
      <c r="O26">
        <f t="shared" si="4"/>
        <v>6.2413333333333334</v>
      </c>
      <c r="P26" s="6">
        <f t="shared" si="5"/>
        <v>100.24363688385488</v>
      </c>
      <c r="Q26" s="6">
        <f t="shared" si="0"/>
        <v>9.7983566933794162</v>
      </c>
      <c r="R26" s="6">
        <f t="shared" si="1"/>
        <v>7.1126470362425103</v>
      </c>
      <c r="S26" s="5">
        <f t="shared" si="2"/>
        <v>0</v>
      </c>
      <c r="T26" s="6">
        <f t="shared" si="6"/>
        <v>83.332633154232951</v>
      </c>
      <c r="U26" s="1">
        <f t="shared" si="6"/>
        <v>83.332633154232951</v>
      </c>
      <c r="V26" s="1">
        <f t="shared" si="6"/>
        <v>83.332633154232951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>
      <c r="B27" s="7">
        <v>505.55</v>
      </c>
      <c r="C27" s="8">
        <v>1.0026E-10</v>
      </c>
      <c r="D27" s="8">
        <v>1.0026E-10</v>
      </c>
      <c r="E27" s="8">
        <v>1.0026E-10</v>
      </c>
      <c r="F27" s="1">
        <v>2.4273E-12</v>
      </c>
      <c r="G27" s="1">
        <v>1.5072000000000001E-16</v>
      </c>
      <c r="H27" s="1">
        <v>1.3036999999999999E-11</v>
      </c>
      <c r="I27" s="1">
        <v>1.2155000000000001E-11</v>
      </c>
      <c r="J27" s="8"/>
      <c r="K27" s="1"/>
      <c r="L27" s="1"/>
      <c r="M27" s="1"/>
      <c r="N27" s="7"/>
      <c r="O27">
        <f t="shared" si="4"/>
        <v>8.4258333333333333</v>
      </c>
      <c r="P27" s="6">
        <f t="shared" si="5"/>
        <v>100.41017011980185</v>
      </c>
      <c r="Q27" s="6">
        <f t="shared" si="0"/>
        <v>12.142474690351497</v>
      </c>
      <c r="R27" s="6">
        <f t="shared" si="1"/>
        <v>9.5441507197227029</v>
      </c>
      <c r="S27" s="5">
        <f t="shared" si="2"/>
        <v>0</v>
      </c>
      <c r="T27" s="6">
        <f t="shared" si="6"/>
        <v>78.723544709727648</v>
      </c>
      <c r="U27" s="1">
        <f t="shared" si="6"/>
        <v>78.723544709727648</v>
      </c>
      <c r="V27" s="1">
        <f t="shared" si="6"/>
        <v>78.723544709727648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>
      <c r="B28" s="7">
        <v>636.62</v>
      </c>
      <c r="C28" s="8">
        <v>9.4704999999999998E-11</v>
      </c>
      <c r="D28" s="8">
        <v>9.4704999999999998E-11</v>
      </c>
      <c r="E28" s="8">
        <v>9.4704999999999998E-11</v>
      </c>
      <c r="F28" s="1">
        <v>2.2929000000000001E-12</v>
      </c>
      <c r="G28" s="1">
        <v>1.4318999999999999E-16</v>
      </c>
      <c r="H28" s="1">
        <v>1.5991999999999999E-11</v>
      </c>
      <c r="I28" s="1">
        <v>1.5081E-11</v>
      </c>
      <c r="J28" s="8"/>
      <c r="K28" s="1"/>
      <c r="L28" s="1"/>
      <c r="M28" s="1"/>
      <c r="N28" s="7"/>
      <c r="O28">
        <f t="shared" si="4"/>
        <v>10.610333333333333</v>
      </c>
      <c r="P28" s="6">
        <f t="shared" si="5"/>
        <v>100.56060736674073</v>
      </c>
      <c r="Q28" s="6">
        <f t="shared" si="0"/>
        <v>14.357192725542578</v>
      </c>
      <c r="R28" s="6">
        <f t="shared" si="1"/>
        <v>11.841622283979349</v>
      </c>
      <c r="S28" s="5">
        <f t="shared" si="2"/>
        <v>0</v>
      </c>
      <c r="T28" s="6">
        <f t="shared" si="6"/>
        <v>74.361792357218789</v>
      </c>
      <c r="U28" s="1">
        <f t="shared" si="6"/>
        <v>74.361792357218789</v>
      </c>
      <c r="V28" s="1">
        <f t="shared" si="6"/>
        <v>74.361792357218789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>
      <c r="B29" s="7">
        <v>898.77</v>
      </c>
      <c r="C29" s="8">
        <v>8.4314E-11</v>
      </c>
      <c r="D29" s="8">
        <v>8.4314E-11</v>
      </c>
      <c r="E29" s="8">
        <v>8.4314E-11</v>
      </c>
      <c r="F29" s="1">
        <v>2.0414000000000002E-12</v>
      </c>
      <c r="G29" s="1">
        <v>1.2468000000000001E-16</v>
      </c>
      <c r="H29" s="1">
        <v>2.1418000000000001E-11</v>
      </c>
      <c r="I29" s="1">
        <v>2.0451E-11</v>
      </c>
      <c r="J29" s="8"/>
      <c r="K29" s="1"/>
      <c r="L29" s="1"/>
      <c r="M29" s="1"/>
      <c r="N29" s="7"/>
      <c r="O29">
        <f t="shared" si="4"/>
        <v>14.9795</v>
      </c>
      <c r="P29" s="6">
        <f t="shared" si="5"/>
        <v>100.68112010302769</v>
      </c>
      <c r="Q29" s="6">
        <f t="shared" si="0"/>
        <v>18.420178782798573</v>
      </c>
      <c r="R29" s="6">
        <f t="shared" si="1"/>
        <v>16.058099223121829</v>
      </c>
      <c r="S29" s="5">
        <f t="shared" si="2"/>
        <v>0</v>
      </c>
      <c r="T29" s="6">
        <f t="shared" si="6"/>
        <v>66.202842097107279</v>
      </c>
      <c r="U29" s="1">
        <f t="shared" si="6"/>
        <v>66.202842097107279</v>
      </c>
      <c r="V29" s="1">
        <f t="shared" si="6"/>
        <v>66.202842097107279</v>
      </c>
      <c r="X29" s="5"/>
      <c r="Y29" s="5"/>
      <c r="Z29" s="5"/>
      <c r="AA29" s="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>
      <c r="B30" s="7">
        <v>1160.9000000000001</v>
      </c>
      <c r="C30" s="8">
        <v>7.4993000000000004E-11</v>
      </c>
      <c r="D30" s="8">
        <v>7.4993000000000004E-11</v>
      </c>
      <c r="E30" s="8">
        <v>7.4993000000000004E-11</v>
      </c>
      <c r="F30" s="1">
        <v>1.8157E-12</v>
      </c>
      <c r="G30" s="1">
        <v>1.0914E-16</v>
      </c>
      <c r="H30" s="1">
        <v>2.6247E-11</v>
      </c>
      <c r="I30" s="1">
        <v>2.5227E-11</v>
      </c>
      <c r="J30" s="8"/>
      <c r="K30" s="1"/>
      <c r="L30" s="1"/>
      <c r="M30" s="1"/>
      <c r="N30" s="7"/>
      <c r="O30">
        <f t="shared" si="4"/>
        <v>19.348333333333336</v>
      </c>
      <c r="P30" s="6">
        <f t="shared" si="5"/>
        <v>100.72688470798174</v>
      </c>
      <c r="Q30" s="6">
        <f t="shared" si="0"/>
        <v>22.034662059900999</v>
      </c>
      <c r="R30" s="6">
        <f t="shared" si="1"/>
        <v>19.808173292239868</v>
      </c>
      <c r="S30" s="5">
        <f t="shared" si="2"/>
        <v>0</v>
      </c>
      <c r="T30" s="6">
        <f t="shared" si="6"/>
        <v>58.884049355840872</v>
      </c>
      <c r="U30" s="1">
        <f t="shared" si="6"/>
        <v>58.884049355840872</v>
      </c>
      <c r="V30" s="1">
        <f t="shared" si="6"/>
        <v>58.884049355840872</v>
      </c>
      <c r="X30" s="5"/>
      <c r="Y30" s="5"/>
      <c r="Z30" s="5"/>
      <c r="AA30" s="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>
      <c r="B31" s="7">
        <v>1592.9</v>
      </c>
      <c r="C31" s="8">
        <v>6.1739999999999998E-11</v>
      </c>
      <c r="D31" s="8">
        <v>6.1739999999999998E-11</v>
      </c>
      <c r="E31" s="8">
        <v>6.1739999999999998E-11</v>
      </c>
      <c r="F31" s="1">
        <v>1.4948000000000001E-12</v>
      </c>
      <c r="G31" s="1">
        <v>9.0401000000000005E-17</v>
      </c>
      <c r="H31" s="1">
        <v>3.3076999999999997E-11</v>
      </c>
      <c r="I31" s="1">
        <v>3.1982E-11</v>
      </c>
      <c r="J31" s="8"/>
      <c r="K31" s="1"/>
      <c r="L31" s="1"/>
      <c r="M31" s="1"/>
      <c r="N31" s="7"/>
      <c r="O31">
        <f t="shared" si="4"/>
        <v>26.548333333333336</v>
      </c>
      <c r="P31" s="6">
        <f t="shared" si="5"/>
        <v>100.735585646998</v>
      </c>
      <c r="Q31" s="6">
        <f t="shared" si="0"/>
        <v>27.145567953279091</v>
      </c>
      <c r="R31" s="6">
        <f t="shared" si="1"/>
        <v>25.112143662414471</v>
      </c>
      <c r="S31" s="5">
        <f t="shared" si="2"/>
        <v>0</v>
      </c>
      <c r="T31" s="6">
        <f t="shared" si="6"/>
        <v>48.477874031304459</v>
      </c>
      <c r="U31" s="1">
        <f t="shared" si="6"/>
        <v>48.477874031304459</v>
      </c>
      <c r="V31" s="1">
        <f t="shared" si="6"/>
        <v>48.477874031304459</v>
      </c>
      <c r="X31" s="5"/>
      <c r="Y31" s="5"/>
      <c r="Z31" s="5"/>
      <c r="AA31" s="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>
      <c r="B32" s="7">
        <v>2024.9</v>
      </c>
      <c r="C32" s="8">
        <v>5.0788999999999998E-11</v>
      </c>
      <c r="D32" s="8">
        <v>5.0788999999999998E-11</v>
      </c>
      <c r="E32" s="8">
        <v>5.0788999999999998E-11</v>
      </c>
      <c r="F32" s="1">
        <v>1.2296999999999999E-12</v>
      </c>
      <c r="G32" s="1">
        <v>7.5682999999999994E-17</v>
      </c>
      <c r="H32" s="1">
        <v>3.8698000000000002E-11</v>
      </c>
      <c r="I32" s="1">
        <v>3.7544000000000002E-11</v>
      </c>
      <c r="J32" s="8"/>
      <c r="K32" s="1"/>
      <c r="L32" s="1"/>
      <c r="M32" s="1"/>
      <c r="N32" s="7"/>
      <c r="O32">
        <f t="shared" si="4"/>
        <v>33.748333333333335</v>
      </c>
      <c r="P32" s="6">
        <f t="shared" si="5"/>
        <v>100.70958417100537</v>
      </c>
      <c r="Q32" s="6">
        <f t="shared" si="0"/>
        <v>31.350988191767332</v>
      </c>
      <c r="R32" s="6">
        <f t="shared" si="1"/>
        <v>29.479380816038791</v>
      </c>
      <c r="S32" s="5">
        <f t="shared" si="2"/>
        <v>0</v>
      </c>
      <c r="T32" s="6">
        <f t="shared" si="6"/>
        <v>39.879215163199255</v>
      </c>
      <c r="U32" s="1">
        <f t="shared" si="6"/>
        <v>39.879215163199255</v>
      </c>
      <c r="V32" s="1">
        <f t="shared" si="6"/>
        <v>39.879215163199255</v>
      </c>
      <c r="X32" s="5"/>
      <c r="Y32" s="5"/>
      <c r="Z32" s="5"/>
      <c r="AA32" s="5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>
      <c r="B33" s="7">
        <v>2456.9</v>
      </c>
      <c r="C33" s="8">
        <v>4.1767999999999997E-11</v>
      </c>
      <c r="D33" s="8">
        <v>4.1767999999999997E-11</v>
      </c>
      <c r="E33" s="8">
        <v>4.1767999999999997E-11</v>
      </c>
      <c r="F33" s="1">
        <v>1.0112E-12</v>
      </c>
      <c r="G33" s="1">
        <v>6.1701999999999994E-17</v>
      </c>
      <c r="H33" s="1">
        <v>4.3321000000000001E-11</v>
      </c>
      <c r="I33" s="1">
        <v>4.2119999999999999E-11</v>
      </c>
      <c r="J33" s="8"/>
      <c r="K33" s="1"/>
      <c r="L33" s="1"/>
      <c r="M33" s="1"/>
      <c r="N33" s="7"/>
      <c r="O33">
        <f t="shared" si="4"/>
        <v>40.948333333333338</v>
      </c>
      <c r="P33" s="6">
        <f t="shared" si="5"/>
        <v>100.67777283852359</v>
      </c>
      <c r="Q33" s="6">
        <f t="shared" si="0"/>
        <v>34.809374913032002</v>
      </c>
      <c r="R33" s="6">
        <f t="shared" si="1"/>
        <v>33.072417320705007</v>
      </c>
      <c r="S33" s="5">
        <f t="shared" si="2"/>
        <v>0</v>
      </c>
      <c r="T33" s="6">
        <f t="shared" si="6"/>
        <v>32.795980604786592</v>
      </c>
      <c r="U33" s="1">
        <f t="shared" si="6"/>
        <v>32.795980604786592</v>
      </c>
      <c r="V33" s="1">
        <f t="shared" si="6"/>
        <v>32.795980604786592</v>
      </c>
      <c r="X33" s="5"/>
      <c r="Y33" s="5"/>
      <c r="Z33" s="5"/>
      <c r="AA33" s="5"/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>
      <c r="B34" s="7">
        <v>2888.9</v>
      </c>
      <c r="C34" s="8">
        <v>3.4344999999999999E-11</v>
      </c>
      <c r="D34" s="8">
        <v>3.4344999999999999E-11</v>
      </c>
      <c r="E34" s="8">
        <v>3.4344999999999999E-11</v>
      </c>
      <c r="F34" s="1">
        <v>8.3151999999999997E-13</v>
      </c>
      <c r="G34" s="1">
        <v>5.0122999999999997E-17</v>
      </c>
      <c r="H34" s="1">
        <v>4.7123000000000001E-11</v>
      </c>
      <c r="I34" s="1">
        <v>4.5881000000000003E-11</v>
      </c>
      <c r="J34" s="8"/>
      <c r="K34" s="1"/>
      <c r="L34" s="1"/>
      <c r="M34" s="1"/>
      <c r="N34" s="7"/>
      <c r="O34">
        <f t="shared" si="4"/>
        <v>48.148333333333333</v>
      </c>
      <c r="P34" s="6">
        <f t="shared" si="5"/>
        <v>100.64660725111081</v>
      </c>
      <c r="Q34" s="6">
        <f t="shared" si="0"/>
        <v>37.653598636081469</v>
      </c>
      <c r="R34" s="6">
        <f t="shared" si="1"/>
        <v>36.025522647987692</v>
      </c>
      <c r="S34" s="5">
        <f t="shared" si="2"/>
        <v>0</v>
      </c>
      <c r="T34" s="6">
        <f t="shared" si="6"/>
        <v>26.96748596704165</v>
      </c>
      <c r="U34" s="1">
        <f t="shared" si="6"/>
        <v>26.96748596704165</v>
      </c>
      <c r="V34" s="1">
        <f t="shared" si="6"/>
        <v>26.96748596704165</v>
      </c>
      <c r="X34" s="5"/>
      <c r="Y34" s="5"/>
      <c r="Z34" s="5"/>
      <c r="AA34" s="5"/>
      <c r="AB34" s="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>
      <c r="B35" s="7">
        <v>3320.9</v>
      </c>
      <c r="C35" s="8">
        <v>2.8238999999999999E-11</v>
      </c>
      <c r="D35" s="8">
        <v>2.8238999999999999E-11</v>
      </c>
      <c r="E35" s="8">
        <v>2.8238999999999999E-11</v>
      </c>
      <c r="F35" s="1">
        <v>6.837E-13</v>
      </c>
      <c r="G35" s="1">
        <v>4.1474999999999998E-17</v>
      </c>
      <c r="H35" s="1">
        <v>5.0248999999999999E-11</v>
      </c>
      <c r="I35" s="1">
        <v>4.8973E-11</v>
      </c>
      <c r="J35" s="8"/>
      <c r="K35" s="1"/>
      <c r="L35" s="1"/>
      <c r="M35" s="1"/>
      <c r="N35" s="7"/>
      <c r="O35">
        <f t="shared" si="4"/>
        <v>55.348333333333336</v>
      </c>
      <c r="P35" s="6">
        <f t="shared" si="5"/>
        <v>100.61847481372084</v>
      </c>
      <c r="Q35" s="6">
        <f t="shared" si="0"/>
        <v>39.992047532786209</v>
      </c>
      <c r="R35" s="6">
        <f t="shared" si="1"/>
        <v>38.453335528909918</v>
      </c>
      <c r="S35" s="5">
        <f t="shared" si="2"/>
        <v>0</v>
      </c>
      <c r="T35" s="6">
        <f t="shared" si="6"/>
        <v>22.173091752024725</v>
      </c>
      <c r="U35" s="1">
        <f t="shared" si="6"/>
        <v>22.173091752024725</v>
      </c>
      <c r="V35" s="1">
        <f t="shared" si="6"/>
        <v>22.173091752024725</v>
      </c>
      <c r="X35" s="5"/>
      <c r="Y35" s="5"/>
      <c r="Z35" s="5"/>
      <c r="AA35" s="5"/>
      <c r="AB35" s="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>
      <c r="B36" s="7">
        <v>3752.9</v>
      </c>
      <c r="C36" s="8">
        <v>2.3218000000000001E-11</v>
      </c>
      <c r="D36" s="8">
        <v>2.3218000000000001E-11</v>
      </c>
      <c r="E36" s="8">
        <v>2.3218000000000001E-11</v>
      </c>
      <c r="F36" s="1">
        <v>5.6214999999999998E-13</v>
      </c>
      <c r="G36" s="1">
        <v>3.4357000000000003E-17</v>
      </c>
      <c r="H36" s="1">
        <v>5.2819000000000003E-11</v>
      </c>
      <c r="I36" s="1">
        <v>5.1515999999999998E-11</v>
      </c>
      <c r="J36" s="8"/>
      <c r="K36" s="1"/>
      <c r="L36" s="1"/>
      <c r="M36" s="1"/>
      <c r="N36" s="7"/>
      <c r="O36">
        <f t="shared" si="4"/>
        <v>62.548333333333332</v>
      </c>
      <c r="P36" s="6">
        <f t="shared" si="5"/>
        <v>100.5952667436993</v>
      </c>
      <c r="Q36" s="6">
        <f t="shared" si="0"/>
        <v>41.914555642147199</v>
      </c>
      <c r="R36" s="6">
        <f t="shared" si="1"/>
        <v>40.450078136556499</v>
      </c>
      <c r="S36" s="5">
        <f t="shared" si="2"/>
        <v>0</v>
      </c>
      <c r="T36" s="6">
        <f t="shared" si="6"/>
        <v>18.230632964995579</v>
      </c>
      <c r="U36" s="1">
        <f t="shared" si="6"/>
        <v>18.230632964995579</v>
      </c>
      <c r="V36" s="1">
        <f t="shared" si="6"/>
        <v>18.230632964995579</v>
      </c>
      <c r="X36" s="5"/>
      <c r="Y36" s="5"/>
      <c r="Z36" s="5"/>
      <c r="AA36" s="5"/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>
      <c r="B37" s="7">
        <v>4184.8999999999996</v>
      </c>
      <c r="C37" s="8">
        <v>1.9089999999999999E-11</v>
      </c>
      <c r="D37" s="8">
        <v>1.9089999999999999E-11</v>
      </c>
      <c r="E37" s="8">
        <v>1.9089999999999999E-11</v>
      </c>
      <c r="F37" s="1">
        <v>4.6219999999999999E-13</v>
      </c>
      <c r="G37" s="1">
        <v>2.8139000000000001E-17</v>
      </c>
      <c r="H37" s="1">
        <v>5.4932999999999998E-11</v>
      </c>
      <c r="I37" s="1">
        <v>5.3607999999999999E-11</v>
      </c>
      <c r="J37" s="8"/>
      <c r="K37" s="1"/>
      <c r="L37" s="1"/>
      <c r="M37" s="1"/>
      <c r="N37" s="7"/>
      <c r="O37">
        <f t="shared" si="4"/>
        <v>69.748333333333321</v>
      </c>
      <c r="P37" s="6">
        <f t="shared" si="5"/>
        <v>100.57802685431787</v>
      </c>
      <c r="Q37" s="6">
        <f t="shared" si="0"/>
        <v>43.495975502735931</v>
      </c>
      <c r="R37" s="6">
        <f t="shared" si="1"/>
        <v>42.092698982654142</v>
      </c>
      <c r="S37" s="5">
        <f t="shared" si="2"/>
        <v>0</v>
      </c>
      <c r="T37" s="6">
        <f t="shared" si="6"/>
        <v>14.989352368927793</v>
      </c>
      <c r="U37" s="1">
        <f t="shared" si="6"/>
        <v>14.989352368927793</v>
      </c>
      <c r="V37" s="1">
        <f t="shared" si="6"/>
        <v>14.989352368927793</v>
      </c>
      <c r="X37" s="5"/>
      <c r="Y37" s="5"/>
      <c r="Z37" s="5"/>
      <c r="AA37" s="5"/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>
      <c r="B38" s="7">
        <v>4320</v>
      </c>
      <c r="C38" s="8">
        <v>1.795E-11</v>
      </c>
      <c r="D38" s="8">
        <v>1.795E-11</v>
      </c>
      <c r="E38" s="8">
        <v>1.795E-11</v>
      </c>
      <c r="F38" s="1">
        <v>4.3459000000000002E-13</v>
      </c>
      <c r="G38" s="1">
        <v>2.642E-17</v>
      </c>
      <c r="H38" s="1">
        <v>5.5511E-11</v>
      </c>
      <c r="I38" s="1">
        <v>5.4180000000000001E-11</v>
      </c>
      <c r="J38" s="8"/>
      <c r="K38" s="1"/>
      <c r="L38" s="1"/>
      <c r="M38" s="1"/>
      <c r="N38" s="7"/>
      <c r="O38">
        <f t="shared" si="4"/>
        <v>72</v>
      </c>
      <c r="P38" s="6">
        <f t="shared" si="5"/>
        <v>100.56419823923596</v>
      </c>
      <c r="Q38" s="6">
        <f t="shared" si="0"/>
        <v>43.928138396938877</v>
      </c>
      <c r="R38" s="6">
        <f t="shared" si="1"/>
        <v>42.541828568213596</v>
      </c>
      <c r="S38" s="5">
        <f t="shared" si="2"/>
        <v>0</v>
      </c>
      <c r="T38" s="6">
        <f t="shared" si="6"/>
        <v>14.094231274083496</v>
      </c>
      <c r="U38" s="1">
        <f t="shared" si="6"/>
        <v>14.094231274083496</v>
      </c>
      <c r="V38" s="1">
        <f t="shared" si="6"/>
        <v>14.094231274083496</v>
      </c>
      <c r="X38" s="5"/>
      <c r="Y38" s="5"/>
      <c r="Z38" s="5"/>
      <c r="AA38" s="5"/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>
      <c r="B39" s="7">
        <v>2917.4</v>
      </c>
      <c r="C39" s="8">
        <v>6.0260000000000004E-12</v>
      </c>
      <c r="D39" s="8">
        <v>6.0260000000000004E-12</v>
      </c>
      <c r="E39" s="8">
        <v>6.0260000000000004E-12</v>
      </c>
      <c r="J39" s="8"/>
      <c r="K39" s="1"/>
      <c r="L39" s="1"/>
      <c r="N39" s="7"/>
      <c r="P39" s="6"/>
      <c r="Q39" s="6"/>
      <c r="R39" s="6"/>
      <c r="S39" s="5"/>
      <c r="T39" s="6"/>
      <c r="U39" s="1"/>
      <c r="V39" s="1"/>
      <c r="X39" s="5"/>
      <c r="Y39" s="5"/>
      <c r="Z39" s="5"/>
      <c r="AA39" s="5"/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>
      <c r="B40" s="7">
        <v>3123.6</v>
      </c>
      <c r="C40" s="8">
        <v>4.8573000000000003E-12</v>
      </c>
      <c r="D40" s="8">
        <v>4.8573000000000003E-12</v>
      </c>
      <c r="E40" s="8">
        <v>4.8573000000000003E-12</v>
      </c>
      <c r="J40" s="8"/>
      <c r="K40" s="1"/>
      <c r="L40" s="1"/>
      <c r="N40" s="7"/>
      <c r="P40" s="6"/>
      <c r="Q40" s="6"/>
      <c r="R40" s="6"/>
      <c r="S40" s="5"/>
      <c r="T40" s="6"/>
      <c r="U40" s="1"/>
      <c r="V40" s="1"/>
      <c r="X40" s="5"/>
      <c r="Y40" s="5"/>
      <c r="Z40" s="5"/>
      <c r="AA40" s="5"/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>
      <c r="B41" s="7">
        <v>3329.9</v>
      </c>
      <c r="C41" s="8">
        <v>3.9152999999999997E-12</v>
      </c>
      <c r="D41" s="8">
        <v>3.9152999999999997E-12</v>
      </c>
      <c r="E41" s="8">
        <v>3.9152999999999997E-12</v>
      </c>
      <c r="J41" s="8"/>
      <c r="K41" s="1"/>
      <c r="L41" s="1"/>
      <c r="N41" s="7"/>
      <c r="P41" s="6"/>
      <c r="Q41" s="6"/>
      <c r="R41" s="6"/>
      <c r="S41" s="5"/>
      <c r="T41" s="6"/>
      <c r="U41" s="1"/>
      <c r="V41" s="1"/>
      <c r="X41" s="5"/>
      <c r="Y41" s="5"/>
      <c r="Z41" s="5"/>
      <c r="AA41" s="5"/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>
      <c r="B42" s="7">
        <v>3536.1</v>
      </c>
      <c r="C42" s="8">
        <v>3.1559999999999999E-12</v>
      </c>
      <c r="D42" s="8">
        <v>3.1559999999999999E-12</v>
      </c>
      <c r="E42" s="8">
        <v>3.1559999999999999E-12</v>
      </c>
      <c r="J42" s="8"/>
      <c r="K42" s="1"/>
      <c r="L42" s="1"/>
      <c r="N42" s="7"/>
      <c r="P42" s="6"/>
      <c r="Q42" s="6"/>
      <c r="R42" s="6"/>
      <c r="S42" s="5"/>
      <c r="T42" s="6"/>
      <c r="U42" s="1"/>
      <c r="V42" s="1"/>
      <c r="X42" s="5"/>
      <c r="Y42" s="5"/>
      <c r="Z42" s="5"/>
      <c r="AA42" s="5"/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>
      <c r="B43" s="7">
        <v>3742.3</v>
      </c>
      <c r="C43" s="8">
        <v>2.5439000000000001E-12</v>
      </c>
      <c r="D43" s="8">
        <v>2.5439000000000001E-12</v>
      </c>
      <c r="E43" s="8">
        <v>2.5439000000000001E-12</v>
      </c>
      <c r="J43" s="8"/>
      <c r="K43" s="1"/>
      <c r="L43" s="1"/>
      <c r="N43" s="7"/>
      <c r="P43" s="6"/>
      <c r="Q43" s="6"/>
      <c r="R43" s="6"/>
      <c r="S43" s="5"/>
      <c r="T43" s="6"/>
      <c r="U43" s="1"/>
      <c r="V43" s="1"/>
      <c r="X43" s="5"/>
      <c r="Y43" s="5"/>
      <c r="Z43" s="5"/>
      <c r="AA43" s="5"/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>
      <c r="B44" s="7">
        <v>3948.6</v>
      </c>
      <c r="C44" s="8">
        <v>2.0506000000000002E-12</v>
      </c>
      <c r="D44" s="8">
        <v>2.0506000000000002E-12</v>
      </c>
      <c r="E44" s="8">
        <v>2.0506000000000002E-12</v>
      </c>
      <c r="J44" s="8"/>
      <c r="K44" s="1"/>
      <c r="L44" s="1"/>
      <c r="N44" s="7"/>
      <c r="P44" s="6"/>
      <c r="Q44" s="6"/>
      <c r="R44" s="6"/>
      <c r="S44" s="5"/>
      <c r="T44" s="6"/>
      <c r="U44" s="1"/>
      <c r="V44" s="1"/>
      <c r="X44" s="5"/>
      <c r="Y44" s="5"/>
      <c r="Z44" s="5"/>
      <c r="AA44" s="5"/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>
      <c r="B45" s="7">
        <v>4154.8</v>
      </c>
      <c r="C45" s="8">
        <v>1.6529E-12</v>
      </c>
      <c r="D45" s="8">
        <v>1.6529E-12</v>
      </c>
      <c r="E45" s="8">
        <v>1.6529E-12</v>
      </c>
      <c r="J45" s="8"/>
      <c r="K45" s="1"/>
      <c r="L45" s="1"/>
      <c r="N45" s="7"/>
      <c r="P45" s="6"/>
      <c r="Q45" s="6"/>
      <c r="R45" s="6"/>
      <c r="S45" s="5"/>
      <c r="T45" s="6"/>
      <c r="U45" s="1"/>
      <c r="V45" s="1"/>
      <c r="X45" s="5"/>
      <c r="Y45" s="5"/>
      <c r="Z45" s="5"/>
      <c r="AA45" s="5"/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>
      <c r="B46" s="7">
        <v>4320</v>
      </c>
      <c r="C46" s="8">
        <v>1.3899999999999999E-12</v>
      </c>
      <c r="D46" s="8">
        <v>1.3899999999999999E-12</v>
      </c>
      <c r="E46" s="8">
        <v>1.3899999999999999E-12</v>
      </c>
      <c r="J46" s="8"/>
      <c r="K46" s="1"/>
      <c r="L46" s="1"/>
      <c r="N46" s="7"/>
      <c r="P46" s="6"/>
      <c r="Q46" s="6"/>
      <c r="R46" s="6"/>
      <c r="S46" s="5"/>
      <c r="T46" s="6"/>
      <c r="U46" s="1"/>
      <c r="V46" s="1"/>
      <c r="X46" s="5"/>
      <c r="Y46" s="5"/>
      <c r="Z46" s="5"/>
      <c r="AA46" s="5"/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>
      <c r="B47" s="7">
        <v>3833</v>
      </c>
      <c r="C47" s="8">
        <v>1.7058000000000001E-12</v>
      </c>
      <c r="D47" s="8">
        <v>1.7058000000000001E-12</v>
      </c>
      <c r="E47" s="8">
        <v>1.7058000000000001E-12</v>
      </c>
      <c r="J47" s="8"/>
      <c r="K47" s="1"/>
      <c r="L47" s="1"/>
      <c r="N47" s="7"/>
      <c r="P47" s="6"/>
      <c r="Q47" s="6"/>
      <c r="R47" s="6"/>
      <c r="S47" s="5"/>
      <c r="T47" s="6"/>
      <c r="U47" s="1"/>
      <c r="V47" s="1"/>
      <c r="X47" s="5"/>
      <c r="Y47" s="5"/>
      <c r="Z47" s="5"/>
      <c r="AA47" s="5"/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>
      <c r="B48" s="7">
        <v>3973.9</v>
      </c>
      <c r="C48" s="8">
        <v>1.4556999999999999E-12</v>
      </c>
      <c r="D48" s="8">
        <v>1.4556999999999999E-12</v>
      </c>
      <c r="E48" s="8">
        <v>1.4556999999999999E-12</v>
      </c>
      <c r="J48" s="8"/>
      <c r="K48" s="1"/>
      <c r="L48" s="1"/>
      <c r="N48" s="7"/>
      <c r="P48" s="6"/>
      <c r="Q48" s="6"/>
      <c r="R48" s="6"/>
      <c r="S48" s="5"/>
      <c r="T48" s="6"/>
      <c r="U48" s="1"/>
      <c r="V48" s="1"/>
      <c r="X48" s="5"/>
      <c r="Y48" s="5"/>
      <c r="Z48" s="5"/>
      <c r="AA48" s="5"/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>
      <c r="B49" s="7">
        <v>4114.7</v>
      </c>
      <c r="C49" s="8">
        <v>1.2423000000000001E-12</v>
      </c>
      <c r="D49" s="8">
        <v>1.2423000000000001E-12</v>
      </c>
      <c r="E49" s="8">
        <v>1.2423000000000001E-12</v>
      </c>
      <c r="J49" s="8"/>
      <c r="K49" s="1"/>
      <c r="L49" s="1"/>
      <c r="N49" s="7"/>
      <c r="P49" s="6"/>
      <c r="Q49" s="6"/>
      <c r="R49" s="6"/>
      <c r="S49" s="5"/>
      <c r="T49" s="6"/>
      <c r="U49" s="1"/>
      <c r="V49" s="1"/>
      <c r="X49" s="5"/>
      <c r="Y49" s="5"/>
      <c r="Z49" s="5"/>
      <c r="AA49" s="5"/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>
      <c r="B50" s="7">
        <v>4255.5</v>
      </c>
      <c r="C50" s="8">
        <v>1.0602000000000001E-12</v>
      </c>
      <c r="D50" s="8">
        <v>1.0602000000000001E-12</v>
      </c>
      <c r="E50" s="8">
        <v>1.0602000000000001E-12</v>
      </c>
      <c r="J50" s="8"/>
      <c r="K50" s="1"/>
      <c r="L50" s="1"/>
      <c r="N50" s="7"/>
      <c r="P50" s="6"/>
      <c r="Q50" s="6"/>
      <c r="R50" s="6"/>
      <c r="S50" s="5"/>
      <c r="T50" s="6"/>
      <c r="U50" s="1"/>
      <c r="V50" s="1"/>
      <c r="X50" s="5"/>
      <c r="Y50" s="5"/>
      <c r="Z50" s="5"/>
      <c r="AA50" s="5"/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>
      <c r="B51" s="7">
        <v>4320</v>
      </c>
      <c r="C51" s="8">
        <v>9.8571000000000005E-13</v>
      </c>
      <c r="D51" s="8">
        <v>9.8571000000000005E-13</v>
      </c>
      <c r="E51" s="8">
        <v>9.8571000000000005E-13</v>
      </c>
      <c r="J51" s="8"/>
      <c r="K51" s="1"/>
      <c r="L51" s="1"/>
      <c r="N51" s="7"/>
      <c r="P51" s="6"/>
      <c r="Q51" s="6"/>
      <c r="R51" s="6"/>
      <c r="S51" s="5"/>
      <c r="T51" s="6"/>
      <c r="U51" s="1"/>
      <c r="V51" s="1"/>
      <c r="X51" s="5"/>
      <c r="Y51" s="5"/>
      <c r="Z51" s="5"/>
      <c r="AA51" s="5"/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>
      <c r="B52" s="7">
        <v>4075.1</v>
      </c>
      <c r="C52" s="8">
        <v>5.2395E-13</v>
      </c>
      <c r="D52" s="8">
        <v>5.2395E-13</v>
      </c>
      <c r="E52" s="8">
        <v>5.2395E-13</v>
      </c>
      <c r="J52" s="8"/>
      <c r="K52" s="1"/>
      <c r="L52" s="1"/>
      <c r="N52" s="7"/>
      <c r="P52" s="6"/>
      <c r="Q52" s="6"/>
      <c r="R52" s="6"/>
      <c r="S52" s="5"/>
      <c r="T52" s="6"/>
      <c r="U52" s="1"/>
      <c r="V52" s="1"/>
      <c r="X52" s="5"/>
      <c r="Y52" s="5"/>
      <c r="Z52" s="5"/>
      <c r="AA52" s="5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>
      <c r="B53" s="7">
        <v>4206</v>
      </c>
      <c r="C53" s="8">
        <v>4.3898000000000001E-13</v>
      </c>
      <c r="D53" s="8">
        <v>4.3898000000000001E-13</v>
      </c>
      <c r="E53" s="8">
        <v>4.3898000000000001E-13</v>
      </c>
      <c r="J53" s="8"/>
      <c r="K53" s="1"/>
      <c r="L53" s="1"/>
      <c r="N53" s="7"/>
      <c r="P53" s="6"/>
      <c r="Q53" s="6"/>
      <c r="R53" s="6"/>
      <c r="S53" s="5"/>
      <c r="T53" s="6"/>
      <c r="U53" s="1"/>
      <c r="V53" s="1"/>
      <c r="X53" s="5"/>
      <c r="Y53" s="5"/>
      <c r="Z53" s="5"/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>
      <c r="B54" s="7">
        <v>4320</v>
      </c>
      <c r="C54" s="8">
        <v>3.7621999999999999E-13</v>
      </c>
      <c r="D54" s="8">
        <v>3.7621999999999999E-13</v>
      </c>
      <c r="E54" s="8">
        <v>3.7621999999999999E-13</v>
      </c>
      <c r="J54" s="8"/>
      <c r="K54" s="1"/>
      <c r="L54" s="1"/>
      <c r="N54" s="7"/>
      <c r="P54" s="6"/>
      <c r="Q54" s="6"/>
      <c r="R54" s="6"/>
      <c r="S54" s="5"/>
      <c r="T54" s="6"/>
      <c r="U54" s="1"/>
      <c r="V54" s="1"/>
      <c r="X54" s="5"/>
      <c r="Y54" s="5"/>
      <c r="Z54" s="5"/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>
      <c r="B55" s="7">
        <v>175</v>
      </c>
      <c r="C55" s="8">
        <v>1.142E-10</v>
      </c>
      <c r="D55" s="8">
        <v>1.142E-10</v>
      </c>
      <c r="E55" s="8">
        <v>1.142E-10</v>
      </c>
      <c r="J55" s="8"/>
      <c r="K55" s="1"/>
      <c r="L55" s="1"/>
      <c r="N55" s="7"/>
      <c r="P55" s="6"/>
      <c r="Q55" s="6"/>
      <c r="R55" s="6"/>
      <c r="S55" s="5"/>
      <c r="T55" s="6"/>
      <c r="U55" s="1"/>
      <c r="V55" s="1"/>
      <c r="X55" s="5"/>
      <c r="Y55" s="5"/>
      <c r="Z55" s="5"/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>
      <c r="B56" s="7">
        <v>180</v>
      </c>
      <c r="C56" s="8">
        <v>1.139E-10</v>
      </c>
      <c r="D56" s="8">
        <v>1.139E-10</v>
      </c>
      <c r="E56" s="8">
        <v>1.139E-10</v>
      </c>
      <c r="J56" s="8"/>
      <c r="K56" s="1"/>
      <c r="L56" s="1"/>
      <c r="N56" s="7"/>
      <c r="P56" s="6"/>
      <c r="Q56" s="6"/>
      <c r="R56" s="6"/>
      <c r="S56" s="5"/>
      <c r="T56" s="6"/>
      <c r="U56" s="1"/>
      <c r="V56" s="1"/>
      <c r="X56" s="5"/>
      <c r="Y56" s="5"/>
      <c r="Z56" s="5"/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>
      <c r="B57" s="7">
        <v>185</v>
      </c>
      <c r="C57" s="8">
        <v>1.136E-10</v>
      </c>
      <c r="D57" s="8">
        <v>1.136E-10</v>
      </c>
      <c r="E57" s="8">
        <v>1.136E-10</v>
      </c>
      <c r="J57" s="8"/>
      <c r="K57" s="1"/>
      <c r="L57" s="1"/>
      <c r="N57" s="7"/>
      <c r="P57" s="6"/>
      <c r="Q57" s="6"/>
      <c r="R57" s="6"/>
      <c r="S57" s="5"/>
      <c r="T57" s="6"/>
      <c r="U57" s="1"/>
      <c r="V57" s="1"/>
      <c r="X57" s="5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>
      <c r="B58" s="7">
        <v>190</v>
      </c>
      <c r="C58" s="8">
        <v>1.133E-10</v>
      </c>
      <c r="D58" s="8">
        <v>1.133E-10</v>
      </c>
      <c r="E58" s="8">
        <v>1.133E-10</v>
      </c>
      <c r="J58" s="8"/>
      <c r="K58" s="1"/>
      <c r="L58" s="1"/>
      <c r="N58" s="7"/>
      <c r="P58" s="6"/>
      <c r="Q58" s="6"/>
      <c r="R58" s="6"/>
      <c r="S58" s="5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>
      <c r="B59" s="7">
        <v>195</v>
      </c>
      <c r="C59" s="8">
        <v>1.13E-10</v>
      </c>
      <c r="D59" s="8">
        <v>1.13E-10</v>
      </c>
      <c r="E59" s="8">
        <v>1.13E-10</v>
      </c>
      <c r="J59" s="8"/>
      <c r="K59" s="1"/>
      <c r="L59" s="1"/>
      <c r="N59" s="7"/>
      <c r="P59" s="6"/>
      <c r="Q59" s="6"/>
      <c r="R59" s="6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>
      <c r="B60" s="7">
        <v>200</v>
      </c>
      <c r="C60" s="8">
        <v>1.127E-10</v>
      </c>
      <c r="D60" s="8">
        <v>1.127E-10</v>
      </c>
      <c r="E60" s="8">
        <v>1.127E-10</v>
      </c>
      <c r="J60" s="8"/>
      <c r="K60" s="1"/>
      <c r="L60" s="1"/>
      <c r="N60" s="7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>
      <c r="B61" s="7">
        <v>205</v>
      </c>
      <c r="C61" s="8">
        <v>1.1241E-10</v>
      </c>
      <c r="D61" s="8">
        <v>1.1241E-10</v>
      </c>
      <c r="E61" s="8">
        <v>1.1241E-10</v>
      </c>
      <c r="J61" s="8"/>
      <c r="K61" s="1"/>
      <c r="L61" s="1"/>
      <c r="N61" s="7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>
      <c r="B62" s="7">
        <v>210</v>
      </c>
      <c r="C62" s="8">
        <v>1.1211E-10</v>
      </c>
      <c r="D62" s="8">
        <v>1.1211E-10</v>
      </c>
      <c r="E62" s="8">
        <v>1.1211E-10</v>
      </c>
      <c r="J62" s="8"/>
      <c r="K62" s="1"/>
      <c r="L62" s="1"/>
      <c r="N62" s="7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>
      <c r="B63" s="7">
        <v>215</v>
      </c>
      <c r="C63" s="8">
        <v>1.1181E-10</v>
      </c>
      <c r="D63" s="8">
        <v>1.1181E-10</v>
      </c>
      <c r="E63" s="8">
        <v>1.1181E-10</v>
      </c>
      <c r="J63" s="8"/>
      <c r="K63" s="1"/>
      <c r="L63" s="1"/>
      <c r="N63" s="7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>
      <c r="B64" s="7">
        <v>220</v>
      </c>
      <c r="C64" s="8">
        <v>1.1152000000000001E-10</v>
      </c>
      <c r="D64" s="8">
        <v>1.1152000000000001E-10</v>
      </c>
      <c r="E64" s="8">
        <v>1.1152000000000001E-10</v>
      </c>
      <c r="J64" s="8"/>
      <c r="K64" s="1"/>
      <c r="L64" s="1"/>
      <c r="N64" s="7"/>
      <c r="P64" s="6"/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2:65">
      <c r="B65" s="7">
        <v>225</v>
      </c>
      <c r="C65" s="8">
        <v>1.1122E-10</v>
      </c>
      <c r="D65" s="8">
        <v>1.1122E-10</v>
      </c>
      <c r="E65" s="8">
        <v>1.1122E-10</v>
      </c>
      <c r="J65" s="8"/>
      <c r="K65" s="1"/>
      <c r="L65" s="1"/>
      <c r="N65" s="7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2:65">
      <c r="B66" s="7">
        <v>230</v>
      </c>
      <c r="C66" s="8">
        <v>1.1093E-10</v>
      </c>
      <c r="D66" s="8">
        <v>1.1093E-10</v>
      </c>
      <c r="E66" s="8">
        <v>1.1093E-10</v>
      </c>
      <c r="J66" s="8"/>
      <c r="K66" s="1"/>
      <c r="L66" s="1"/>
      <c r="N66" s="7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2:65">
      <c r="B67" s="7">
        <v>235</v>
      </c>
      <c r="C67" s="8">
        <v>1.1063E-10</v>
      </c>
      <c r="D67" s="8">
        <v>1.1063E-10</v>
      </c>
      <c r="E67" s="8">
        <v>1.1063E-10</v>
      </c>
      <c r="J67" s="8"/>
      <c r="K67" s="1"/>
      <c r="L67" s="1"/>
      <c r="N67" s="7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2:65">
      <c r="B68" s="7">
        <v>240</v>
      </c>
      <c r="C68" s="8">
        <v>1.1034E-10</v>
      </c>
      <c r="D68" s="8">
        <v>1.1034E-10</v>
      </c>
      <c r="E68" s="8">
        <v>1.1034E-10</v>
      </c>
      <c r="J68" s="8"/>
      <c r="K68" s="1"/>
      <c r="L68" s="1"/>
      <c r="N68" s="7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2:65">
      <c r="B69" s="7">
        <v>245</v>
      </c>
      <c r="C69" s="8">
        <v>1.1005E-10</v>
      </c>
      <c r="D69" s="8">
        <v>1.1005E-10</v>
      </c>
      <c r="E69" s="8">
        <v>1.1005E-10</v>
      </c>
      <c r="J69" s="8"/>
      <c r="K69" s="1"/>
      <c r="L69" s="1"/>
      <c r="N69" s="7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2:65">
      <c r="B70" s="7">
        <v>250</v>
      </c>
      <c r="C70" s="8">
        <v>1.0976E-10</v>
      </c>
      <c r="D70" s="8">
        <v>1.0976E-10</v>
      </c>
      <c r="E70" s="8">
        <v>1.0976E-10</v>
      </c>
      <c r="J70" s="8"/>
      <c r="K70" s="1"/>
      <c r="L70" s="1"/>
      <c r="N70" s="7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2:65">
      <c r="B71" s="7">
        <v>255</v>
      </c>
      <c r="C71" s="8">
        <v>1.0947E-10</v>
      </c>
      <c r="D71" s="8">
        <v>1.0947E-10</v>
      </c>
      <c r="E71" s="8">
        <v>1.0947E-10</v>
      </c>
      <c r="J71" s="8"/>
      <c r="K71" s="1"/>
      <c r="L71" s="1"/>
      <c r="N71" s="7"/>
      <c r="P71" s="6"/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2:65">
      <c r="B72" s="7">
        <v>260</v>
      </c>
      <c r="C72" s="8">
        <v>1.0918E-10</v>
      </c>
      <c r="D72" s="8">
        <v>1.0918E-10</v>
      </c>
      <c r="E72" s="8">
        <v>1.0918E-10</v>
      </c>
      <c r="J72" s="8"/>
      <c r="K72" s="1"/>
      <c r="L72" s="1"/>
      <c r="N72" s="7"/>
      <c r="P72" s="6"/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2:65">
      <c r="B73" s="7">
        <v>265</v>
      </c>
      <c r="C73" s="8">
        <v>1.0889E-10</v>
      </c>
      <c r="D73" s="8">
        <v>1.0889E-10</v>
      </c>
      <c r="E73" s="8">
        <v>1.0889E-10</v>
      </c>
      <c r="J73" s="8"/>
      <c r="K73" s="1"/>
      <c r="L73" s="1"/>
      <c r="N73" s="7"/>
      <c r="P73" s="6"/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2:65">
      <c r="B74" s="7">
        <v>270</v>
      </c>
      <c r="C74" s="8">
        <v>1.086E-10</v>
      </c>
      <c r="D74" s="8">
        <v>1.086E-10</v>
      </c>
      <c r="E74" s="8">
        <v>1.086E-10</v>
      </c>
      <c r="J74" s="8"/>
      <c r="K74" s="1"/>
      <c r="L74" s="1"/>
      <c r="N74" s="7"/>
      <c r="P74" s="6"/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2:65">
      <c r="B75" s="7">
        <v>275</v>
      </c>
      <c r="C75" s="8">
        <v>1.0831E-10</v>
      </c>
      <c r="D75" s="8">
        <v>1.0831E-10</v>
      </c>
      <c r="E75" s="8">
        <v>1.0831E-10</v>
      </c>
      <c r="J75" s="8"/>
      <c r="K75" s="1"/>
      <c r="L75" s="1"/>
      <c r="N75" s="7"/>
      <c r="P75" s="6"/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2:65">
      <c r="B76" s="7">
        <v>280</v>
      </c>
      <c r="C76" s="8">
        <v>1.0802000000000001E-10</v>
      </c>
      <c r="D76" s="8">
        <v>1.0802000000000001E-10</v>
      </c>
      <c r="E76" s="8">
        <v>1.0802000000000001E-10</v>
      </c>
      <c r="J76" s="8"/>
      <c r="K76" s="1"/>
      <c r="L76" s="1"/>
      <c r="N76" s="7"/>
      <c r="P76" s="6"/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2:65">
      <c r="B77" s="7">
        <v>285</v>
      </c>
      <c r="C77" s="8">
        <v>1.0773E-10</v>
      </c>
      <c r="D77" s="8">
        <v>1.0773E-10</v>
      </c>
      <c r="E77" s="8">
        <v>1.0773E-10</v>
      </c>
      <c r="J77" s="8"/>
      <c r="K77" s="1"/>
      <c r="L77" s="1"/>
      <c r="N77" s="7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2:65">
      <c r="B78" s="7">
        <v>290</v>
      </c>
      <c r="C78" s="8">
        <v>1.0745E-10</v>
      </c>
      <c r="D78" s="8">
        <v>1.0745E-10</v>
      </c>
      <c r="E78" s="8">
        <v>1.0745E-10</v>
      </c>
      <c r="J78" s="8"/>
      <c r="K78" s="1"/>
      <c r="L78" s="1"/>
      <c r="N78" s="7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2:65">
      <c r="B79" s="7">
        <v>295</v>
      </c>
      <c r="C79" s="8">
        <v>1.0715999999999999E-10</v>
      </c>
      <c r="D79" s="8">
        <v>1.0715999999999999E-10</v>
      </c>
      <c r="E79" s="8">
        <v>1.0715999999999999E-10</v>
      </c>
      <c r="J79" s="8"/>
      <c r="K79" s="1"/>
      <c r="L79" s="1"/>
      <c r="N79" s="7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2:65">
      <c r="B80" s="7">
        <v>300</v>
      </c>
      <c r="C80" s="8">
        <v>1.0688E-10</v>
      </c>
      <c r="D80" s="8">
        <v>1.0688E-10</v>
      </c>
      <c r="E80" s="8">
        <v>1.0688E-10</v>
      </c>
      <c r="J80" s="8"/>
      <c r="K80" s="1"/>
      <c r="L80" s="1"/>
      <c r="N80" s="7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2:65">
      <c r="B81" s="7">
        <v>310</v>
      </c>
      <c r="C81" s="8">
        <v>1.0631000000000001E-10</v>
      </c>
      <c r="D81" s="8">
        <v>1.0631000000000001E-10</v>
      </c>
      <c r="E81" s="8">
        <v>1.0631000000000001E-10</v>
      </c>
      <c r="J81" s="8"/>
      <c r="K81" s="1"/>
      <c r="L81" s="1"/>
      <c r="N81" s="7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2:65">
      <c r="B82" s="7">
        <v>320</v>
      </c>
      <c r="C82" s="8">
        <v>1.0575E-10</v>
      </c>
      <c r="D82" s="8">
        <v>1.0575E-10</v>
      </c>
      <c r="E82" s="8">
        <v>1.0575E-10</v>
      </c>
      <c r="J82" s="8"/>
      <c r="K82" s="1"/>
      <c r="L82" s="1"/>
      <c r="N82" s="7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2:65">
      <c r="B83" s="7">
        <v>330</v>
      </c>
      <c r="C83" s="8">
        <v>1.0518000000000001E-10</v>
      </c>
      <c r="D83" s="8">
        <v>1.0518000000000001E-10</v>
      </c>
      <c r="E83" s="8">
        <v>1.0518000000000001E-10</v>
      </c>
      <c r="J83" s="8"/>
      <c r="K83" s="1"/>
      <c r="L83" s="1"/>
      <c r="N83" s="7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2:65">
      <c r="B84" s="7">
        <v>340</v>
      </c>
      <c r="C84" s="8">
        <v>1.0463E-10</v>
      </c>
      <c r="D84" s="8">
        <v>1.0463E-10</v>
      </c>
      <c r="E84" s="8">
        <v>1.0463E-10</v>
      </c>
      <c r="J84" s="8"/>
      <c r="K84" s="1"/>
      <c r="L84" s="1"/>
      <c r="N84" s="7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2:65">
      <c r="B85" s="7">
        <v>350</v>
      </c>
      <c r="C85" s="8">
        <v>1.0407E-10</v>
      </c>
      <c r="D85" s="8">
        <v>1.0407E-10</v>
      </c>
      <c r="E85" s="8">
        <v>1.0407E-10</v>
      </c>
      <c r="J85" s="8"/>
      <c r="K85" s="1"/>
      <c r="L85" s="1"/>
      <c r="N85" s="7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2:65">
      <c r="B86" s="7">
        <v>360</v>
      </c>
      <c r="C86" s="8">
        <v>1.0352E-10</v>
      </c>
      <c r="D86" s="8">
        <v>1.0352E-10</v>
      </c>
      <c r="E86" s="8">
        <v>1.0352E-10</v>
      </c>
      <c r="J86" s="8"/>
      <c r="K86" s="1"/>
      <c r="L86" s="1"/>
      <c r="N86" s="7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2:65">
      <c r="B87" s="7">
        <v>370</v>
      </c>
      <c r="C87" s="8">
        <v>1.0296999999999999E-10</v>
      </c>
      <c r="D87" s="8">
        <v>1.0296999999999999E-10</v>
      </c>
      <c r="E87" s="8">
        <v>1.0296999999999999E-10</v>
      </c>
      <c r="J87" s="8"/>
      <c r="K87" s="1"/>
      <c r="L87" s="1"/>
      <c r="N87" s="7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2:65">
      <c r="B88" s="7">
        <v>380</v>
      </c>
      <c r="C88" s="8">
        <v>1.0241999999999999E-10</v>
      </c>
      <c r="D88" s="8">
        <v>1.0241999999999999E-10</v>
      </c>
      <c r="E88" s="8">
        <v>1.0241999999999999E-10</v>
      </c>
      <c r="J88" s="8"/>
      <c r="K88" s="1"/>
      <c r="L88" s="1"/>
      <c r="N88" s="7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2:65">
      <c r="B89" s="7">
        <v>390</v>
      </c>
      <c r="C89" s="8">
        <v>1.0188E-10</v>
      </c>
      <c r="D89" s="8">
        <v>1.0188E-10</v>
      </c>
      <c r="E89" s="8">
        <v>1.0188E-10</v>
      </c>
      <c r="J89" s="8"/>
      <c r="K89" s="1"/>
      <c r="L89" s="1"/>
      <c r="N89" s="7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2:65">
      <c r="B90" s="7">
        <v>400</v>
      </c>
      <c r="C90" s="8">
        <v>1.0133E-10</v>
      </c>
      <c r="D90" s="8">
        <v>1.0133E-10</v>
      </c>
      <c r="E90" s="8">
        <v>1.0133E-10</v>
      </c>
      <c r="J90" s="8"/>
      <c r="K90" s="1"/>
      <c r="L90" s="1"/>
      <c r="N90" s="7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2:65">
      <c r="B91" s="7">
        <v>410</v>
      </c>
      <c r="C91" s="8">
        <v>1.008E-10</v>
      </c>
      <c r="D91" s="8">
        <v>1.008E-10</v>
      </c>
      <c r="E91" s="8">
        <v>1.008E-10</v>
      </c>
      <c r="J91" s="8"/>
      <c r="K91" s="1"/>
      <c r="L91" s="1"/>
      <c r="N91" s="7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2:65">
      <c r="B92" s="7">
        <v>420</v>
      </c>
      <c r="C92" s="8">
        <v>1.0026E-10</v>
      </c>
      <c r="D92" s="8">
        <v>1.0026E-10</v>
      </c>
      <c r="E92" s="8">
        <v>1.0026E-10</v>
      </c>
      <c r="J92" s="8"/>
      <c r="K92" s="1"/>
      <c r="L92" s="1"/>
      <c r="N92" s="7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2:65">
      <c r="B93" s="7">
        <v>430</v>
      </c>
      <c r="C93" s="8">
        <v>9.9727999999999997E-11</v>
      </c>
      <c r="D93" s="8">
        <v>9.9727999999999997E-11</v>
      </c>
      <c r="E93" s="8">
        <v>9.9727999999999997E-11</v>
      </c>
      <c r="J93" s="8"/>
      <c r="K93" s="1"/>
      <c r="L93" s="1"/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2:65">
      <c r="B94" s="7">
        <v>440</v>
      </c>
      <c r="C94" s="8">
        <v>9.9198E-11</v>
      </c>
      <c r="D94" s="8">
        <v>9.9198E-11</v>
      </c>
      <c r="E94" s="8">
        <v>9.9198E-11</v>
      </c>
      <c r="J94" s="8"/>
      <c r="K94" s="1"/>
      <c r="L94" s="1"/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2:65">
      <c r="B95" s="7">
        <v>450</v>
      </c>
      <c r="C95" s="8">
        <v>9.8671000000000002E-11</v>
      </c>
      <c r="D95" s="8">
        <v>9.8671000000000002E-11</v>
      </c>
      <c r="E95" s="8">
        <v>9.8671000000000002E-11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2:65">
      <c r="B96" s="7">
        <v>460</v>
      </c>
      <c r="C96" s="8">
        <v>9.8147000000000005E-11</v>
      </c>
      <c r="D96" s="8">
        <v>9.8147000000000005E-11</v>
      </c>
      <c r="E96" s="8">
        <v>9.8147000000000005E-11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>
      <c r="B97" s="7">
        <v>470</v>
      </c>
      <c r="C97" s="8">
        <v>9.7625999999999995E-11</v>
      </c>
      <c r="D97" s="8">
        <v>9.7625999999999995E-11</v>
      </c>
      <c r="E97" s="8">
        <v>9.7625999999999995E-11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>
      <c r="B98" s="7">
        <v>480</v>
      </c>
      <c r="C98" s="8">
        <v>9.7107000000000001E-11</v>
      </c>
      <c r="D98" s="8">
        <v>9.7107000000000001E-11</v>
      </c>
      <c r="E98" s="8">
        <v>9.7107000000000001E-11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>
      <c r="B99" s="7">
        <v>490</v>
      </c>
      <c r="C99" s="8">
        <v>9.6590999999999995E-11</v>
      </c>
      <c r="D99" s="8">
        <v>9.6590999999999995E-11</v>
      </c>
      <c r="E99" s="8">
        <v>9.6590999999999995E-11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>
      <c r="B100" s="7">
        <v>500</v>
      </c>
      <c r="C100" s="8">
        <v>9.6078000000000002E-11</v>
      </c>
      <c r="D100" s="8">
        <v>9.6078000000000002E-11</v>
      </c>
      <c r="E100" s="8">
        <v>9.6078000000000002E-11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>
      <c r="B101" s="7">
        <v>510</v>
      </c>
      <c r="C101" s="8">
        <v>9.5567999999999995E-11</v>
      </c>
      <c r="D101" s="8">
        <v>9.5567999999999995E-11</v>
      </c>
      <c r="E101" s="8">
        <v>9.5567999999999995E-11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>
      <c r="B102" s="7">
        <v>520</v>
      </c>
      <c r="C102" s="8">
        <v>9.5060000000000006E-11</v>
      </c>
      <c r="D102" s="8">
        <v>9.5060000000000006E-11</v>
      </c>
      <c r="E102" s="8">
        <v>9.5060000000000006E-11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>
      <c r="B103" s="7">
        <v>530</v>
      </c>
      <c r="C103" s="8">
        <v>9.4555999999999999E-11</v>
      </c>
      <c r="D103" s="8">
        <v>9.4555999999999999E-11</v>
      </c>
      <c r="E103" s="8">
        <v>9.4555999999999999E-11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>
      <c r="B104" s="7">
        <v>540</v>
      </c>
      <c r="C104" s="8">
        <v>9.4053000000000001E-11</v>
      </c>
      <c r="D104" s="8">
        <v>9.4053000000000001E-11</v>
      </c>
      <c r="E104" s="8">
        <v>9.4053000000000001E-11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>
      <c r="B105" s="7">
        <v>550</v>
      </c>
      <c r="C105" s="8">
        <v>9.3553999999999998E-11</v>
      </c>
      <c r="D105" s="8">
        <v>9.3553999999999998E-11</v>
      </c>
      <c r="E105" s="8">
        <v>9.3553999999999998E-11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>
      <c r="B106" s="7">
        <v>560</v>
      </c>
      <c r="C106" s="8">
        <v>9.3057E-11</v>
      </c>
      <c r="D106" s="8">
        <v>9.3057E-11</v>
      </c>
      <c r="E106" s="8">
        <v>9.3057E-11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>
      <c r="B107" s="7">
        <v>570</v>
      </c>
      <c r="C107" s="8">
        <v>9.2563000000000001E-11</v>
      </c>
      <c r="D107" s="8">
        <v>9.2563000000000001E-11</v>
      </c>
      <c r="E107" s="8">
        <v>9.2563000000000001E-11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>
      <c r="B108" s="7">
        <v>580</v>
      </c>
      <c r="C108" s="8">
        <v>9.2072000000000003E-11</v>
      </c>
      <c r="D108" s="8">
        <v>9.2072000000000003E-11</v>
      </c>
      <c r="E108" s="8">
        <v>9.2072000000000003E-11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>
      <c r="B109" s="7">
        <v>590</v>
      </c>
      <c r="C109" s="8">
        <v>9.1582999999999995E-11</v>
      </c>
      <c r="D109" s="8">
        <v>9.1582999999999995E-11</v>
      </c>
      <c r="E109" s="8">
        <v>9.1582999999999995E-11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>
      <c r="B110" s="7">
        <v>600</v>
      </c>
      <c r="C110" s="8">
        <v>9.1097000000000001E-11</v>
      </c>
      <c r="D110" s="8">
        <v>9.1097000000000001E-11</v>
      </c>
      <c r="E110" s="8">
        <v>9.1097000000000001E-11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>
      <c r="B111" s="7">
        <v>610</v>
      </c>
      <c r="C111" s="8">
        <v>9.0612999999999998E-11</v>
      </c>
      <c r="D111" s="8">
        <v>9.0612999999999998E-11</v>
      </c>
      <c r="E111" s="8">
        <v>9.0612999999999998E-11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>
      <c r="B112" s="7">
        <v>620</v>
      </c>
      <c r="C112" s="8">
        <v>9.0131999999999994E-11</v>
      </c>
      <c r="D112" s="8">
        <v>9.0131999999999994E-11</v>
      </c>
      <c r="E112" s="8">
        <v>9.0131999999999994E-11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>
      <c r="B113" s="7">
        <v>630</v>
      </c>
      <c r="C113" s="8">
        <v>8.9654000000000004E-11</v>
      </c>
      <c r="D113" s="8">
        <v>8.9654000000000004E-11</v>
      </c>
      <c r="E113" s="8">
        <v>8.9654000000000004E-11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>
      <c r="B114" s="7">
        <v>640</v>
      </c>
      <c r="C114" s="8">
        <v>8.9178000000000005E-11</v>
      </c>
      <c r="D114" s="8">
        <v>8.9178000000000005E-11</v>
      </c>
      <c r="E114" s="8">
        <v>8.9178000000000005E-11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>
      <c r="B115" s="7">
        <v>650</v>
      </c>
      <c r="C115" s="8">
        <v>8.8705000000000005E-11</v>
      </c>
      <c r="D115" s="8">
        <v>8.8705000000000005E-11</v>
      </c>
      <c r="E115" s="8">
        <v>8.8705000000000005E-11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>
      <c r="B116" s="7">
        <v>660</v>
      </c>
      <c r="C116" s="8">
        <v>8.8233999999999997E-11</v>
      </c>
      <c r="D116" s="8">
        <v>8.8233999999999997E-11</v>
      </c>
      <c r="E116" s="8">
        <v>8.8233999999999997E-11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>
      <c r="B117" s="7">
        <v>670</v>
      </c>
      <c r="C117" s="8">
        <v>8.7766000000000002E-11</v>
      </c>
      <c r="D117" s="8">
        <v>8.7766000000000002E-11</v>
      </c>
      <c r="E117" s="8">
        <v>8.7766000000000002E-11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>
      <c r="B118" s="7">
        <v>680</v>
      </c>
      <c r="C118" s="8">
        <v>8.7299999999999998E-11</v>
      </c>
      <c r="D118" s="8">
        <v>8.7299999999999998E-11</v>
      </c>
      <c r="E118" s="8">
        <v>8.7299999999999998E-11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>
      <c r="B119" s="7">
        <v>690</v>
      </c>
      <c r="C119" s="8">
        <v>8.6836999999999994E-11</v>
      </c>
      <c r="D119" s="8">
        <v>8.6836999999999994E-11</v>
      </c>
      <c r="E119" s="8">
        <v>8.6836999999999994E-11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>
      <c r="B120" s="7">
        <v>700</v>
      </c>
      <c r="C120" s="8">
        <v>8.6375999999999995E-11</v>
      </c>
      <c r="D120" s="8">
        <v>8.6375999999999995E-11</v>
      </c>
      <c r="E120" s="8">
        <v>8.6375999999999995E-11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>
      <c r="B121" s="7">
        <v>720</v>
      </c>
      <c r="C121" s="8">
        <v>8.5461000000000003E-11</v>
      </c>
      <c r="D121" s="8">
        <v>8.5461000000000003E-11</v>
      </c>
      <c r="E121" s="8">
        <v>8.5461000000000003E-11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>
      <c r="B122" s="7">
        <v>740</v>
      </c>
      <c r="C122" s="8">
        <v>8.4561999999999995E-11</v>
      </c>
      <c r="D122" s="8">
        <v>8.4561999999999995E-11</v>
      </c>
      <c r="E122" s="8">
        <v>8.4561999999999995E-11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>
      <c r="B123" s="7">
        <v>760</v>
      </c>
      <c r="C123" s="8">
        <v>8.3671000000000002E-11</v>
      </c>
      <c r="D123" s="8">
        <v>8.3671000000000002E-11</v>
      </c>
      <c r="E123" s="8">
        <v>8.3671000000000002E-11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>
      <c r="B124" s="7">
        <v>780</v>
      </c>
      <c r="C124" s="8">
        <v>8.2791000000000001E-11</v>
      </c>
      <c r="D124" s="8">
        <v>8.2791000000000001E-11</v>
      </c>
      <c r="E124" s="8">
        <v>8.2791000000000001E-11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>
      <c r="B125" s="7">
        <v>800</v>
      </c>
      <c r="C125" s="8">
        <v>8.1916000000000004E-11</v>
      </c>
      <c r="D125" s="8">
        <v>8.1916000000000004E-11</v>
      </c>
      <c r="E125" s="8">
        <v>8.1916000000000004E-11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>
      <c r="B126" s="7">
        <v>820</v>
      </c>
      <c r="C126" s="8">
        <v>8.1049999999999994E-11</v>
      </c>
      <c r="D126" s="8">
        <v>8.1049999999999994E-11</v>
      </c>
      <c r="E126" s="8">
        <v>8.1049999999999994E-11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>
      <c r="B127" s="7">
        <v>840</v>
      </c>
      <c r="C127" s="8">
        <v>8.0192000000000001E-11</v>
      </c>
      <c r="D127" s="8">
        <v>8.0192000000000001E-11</v>
      </c>
      <c r="E127" s="8">
        <v>8.0192000000000001E-11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>
      <c r="B128" s="7">
        <v>860</v>
      </c>
      <c r="C128" s="8">
        <v>7.9344000000000003E-11</v>
      </c>
      <c r="D128" s="8">
        <v>7.9344000000000003E-11</v>
      </c>
      <c r="E128" s="8">
        <v>7.9344000000000003E-11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>
      <c r="B129" s="7">
        <v>880</v>
      </c>
      <c r="C129" s="8">
        <v>7.8503999999999996E-11</v>
      </c>
      <c r="D129" s="8">
        <v>7.8503999999999996E-11</v>
      </c>
      <c r="E129" s="8">
        <v>7.8503999999999996E-11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>
      <c r="B130" s="7">
        <v>900</v>
      </c>
      <c r="C130" s="8">
        <v>7.7673999999999997E-11</v>
      </c>
      <c r="D130" s="8">
        <v>7.7673999999999997E-11</v>
      </c>
      <c r="E130" s="8">
        <v>7.7673999999999997E-11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>
      <c r="B131" s="7">
        <v>920</v>
      </c>
      <c r="C131" s="8">
        <v>7.6852000000000003E-11</v>
      </c>
      <c r="D131" s="8">
        <v>7.6852000000000003E-11</v>
      </c>
      <c r="E131" s="8">
        <v>7.6852000000000003E-11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>
      <c r="B132" s="7">
        <v>940</v>
      </c>
      <c r="C132" s="8">
        <v>7.6038999999999995E-11</v>
      </c>
      <c r="D132" s="8">
        <v>7.6038999999999995E-11</v>
      </c>
      <c r="E132" s="8">
        <v>7.6038999999999995E-11</v>
      </c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>
      <c r="B133" s="7">
        <v>960</v>
      </c>
      <c r="C133" s="8">
        <v>7.5234999999999999E-11</v>
      </c>
      <c r="D133" s="8">
        <v>7.5234999999999999E-11</v>
      </c>
      <c r="E133" s="8">
        <v>7.5234999999999999E-11</v>
      </c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>
      <c r="B134" s="7">
        <v>980</v>
      </c>
      <c r="C134" s="8">
        <v>7.4438999999999995E-11</v>
      </c>
      <c r="D134" s="8">
        <v>7.4438999999999995E-11</v>
      </c>
      <c r="E134" s="8">
        <v>7.4438999999999995E-11</v>
      </c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>
      <c r="B135" s="7">
        <v>1000</v>
      </c>
      <c r="C135" s="8">
        <v>7.3650999999999995E-11</v>
      </c>
      <c r="D135" s="8">
        <v>7.3650999999999995E-11</v>
      </c>
      <c r="E135" s="8">
        <v>7.3650999999999995E-11</v>
      </c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>
      <c r="B136" s="7">
        <v>1020</v>
      </c>
      <c r="C136" s="8">
        <v>7.2871999999999994E-11</v>
      </c>
      <c r="D136" s="8">
        <v>7.2871999999999994E-11</v>
      </c>
      <c r="E136" s="8">
        <v>7.2871999999999994E-11</v>
      </c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>
      <c r="B137" s="7">
        <v>1040</v>
      </c>
      <c r="C137" s="8">
        <v>7.2102000000000006E-11</v>
      </c>
      <c r="D137" s="8">
        <v>7.2102000000000006E-11</v>
      </c>
      <c r="E137" s="8">
        <v>7.2102000000000006E-11</v>
      </c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>
      <c r="B138" s="7">
        <v>1060</v>
      </c>
      <c r="C138" s="8">
        <v>7.1339E-11</v>
      </c>
      <c r="D138" s="8">
        <v>7.1339E-11</v>
      </c>
      <c r="E138" s="8">
        <v>7.1339E-11</v>
      </c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>
      <c r="B139" s="7">
        <v>1080</v>
      </c>
      <c r="C139" s="8">
        <v>7.0583999999999999E-11</v>
      </c>
      <c r="D139" s="8">
        <v>7.0583999999999999E-11</v>
      </c>
      <c r="E139" s="8">
        <v>7.0583999999999999E-11</v>
      </c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>
      <c r="B140" s="7">
        <v>1100</v>
      </c>
      <c r="C140" s="8">
        <v>6.9837999999999997E-11</v>
      </c>
      <c r="D140" s="8">
        <v>6.9837999999999997E-11</v>
      </c>
      <c r="E140" s="8">
        <v>6.9837999999999997E-11</v>
      </c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>
      <c r="B141" s="7">
        <v>1120</v>
      </c>
      <c r="C141" s="8">
        <v>6.9099000000000004E-11</v>
      </c>
      <c r="D141" s="8">
        <v>6.9099000000000004E-11</v>
      </c>
      <c r="E141" s="8">
        <v>6.9099000000000004E-11</v>
      </c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>
      <c r="B142" s="7">
        <v>1140</v>
      </c>
      <c r="C142" s="8">
        <v>6.8368000000000001E-11</v>
      </c>
      <c r="D142" s="8">
        <v>6.8368000000000001E-11</v>
      </c>
      <c r="E142" s="8">
        <v>6.8368000000000001E-11</v>
      </c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>
      <c r="B143" s="7">
        <v>1160</v>
      </c>
      <c r="C143" s="8">
        <v>6.7645000000000003E-11</v>
      </c>
      <c r="D143" s="8">
        <v>6.7645000000000003E-11</v>
      </c>
      <c r="E143" s="8">
        <v>6.7645000000000003E-11</v>
      </c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>
      <c r="B144" s="7">
        <v>1180</v>
      </c>
      <c r="C144" s="8">
        <v>6.6929999999999995E-11</v>
      </c>
      <c r="D144" s="8">
        <v>6.6929999999999995E-11</v>
      </c>
      <c r="E144" s="8">
        <v>6.6929999999999995E-11</v>
      </c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>
      <c r="B145" s="7">
        <v>1200</v>
      </c>
      <c r="C145" s="8">
        <v>6.6221999999999996E-11</v>
      </c>
      <c r="D145" s="8">
        <v>6.6221999999999996E-11</v>
      </c>
      <c r="E145" s="8">
        <v>6.6221999999999996E-11</v>
      </c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>
      <c r="B146" s="7">
        <v>1220</v>
      </c>
      <c r="C146" s="8">
        <v>6.5522000000000001E-11</v>
      </c>
      <c r="D146" s="8">
        <v>6.5522000000000001E-11</v>
      </c>
      <c r="E146" s="8">
        <v>6.5522000000000001E-11</v>
      </c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>
      <c r="B147" s="7">
        <v>1240</v>
      </c>
      <c r="C147" s="8">
        <v>6.4829000000000002E-11</v>
      </c>
      <c r="D147" s="8">
        <v>6.4829000000000002E-11</v>
      </c>
      <c r="E147" s="8">
        <v>6.4829000000000002E-11</v>
      </c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>
      <c r="B148" s="7">
        <v>1260</v>
      </c>
      <c r="C148" s="8">
        <v>6.4142999999999998E-11</v>
      </c>
      <c r="D148" s="8">
        <v>6.4142999999999998E-11</v>
      </c>
      <c r="E148" s="8">
        <v>6.4142999999999998E-11</v>
      </c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>
      <c r="B149" s="7">
        <v>1280</v>
      </c>
      <c r="C149" s="8">
        <v>6.3464999999999997E-11</v>
      </c>
      <c r="D149" s="8">
        <v>6.3464999999999997E-11</v>
      </c>
      <c r="E149" s="8">
        <v>6.3464999999999997E-11</v>
      </c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>
      <c r="B150" s="7">
        <v>1300</v>
      </c>
      <c r="C150" s="8">
        <v>6.2794000000000006E-11</v>
      </c>
      <c r="D150" s="8">
        <v>6.2794000000000006E-11</v>
      </c>
      <c r="E150" s="8">
        <v>6.2794000000000006E-11</v>
      </c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>
      <c r="B151" s="7">
        <v>1320</v>
      </c>
      <c r="C151" s="8">
        <v>6.2129999999999996E-11</v>
      </c>
      <c r="D151" s="8">
        <v>6.2129999999999996E-11</v>
      </c>
      <c r="E151" s="8">
        <v>6.2129999999999996E-11</v>
      </c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>
      <c r="B152" s="7">
        <v>1340</v>
      </c>
      <c r="C152" s="8">
        <v>6.1472E-11</v>
      </c>
      <c r="D152" s="8">
        <v>6.1472E-11</v>
      </c>
      <c r="E152" s="8">
        <v>6.1472E-11</v>
      </c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>
      <c r="B153" s="7">
        <v>1360</v>
      </c>
      <c r="C153" s="8">
        <v>6.0821999999999994E-11</v>
      </c>
      <c r="D153" s="8">
        <v>6.0821999999999994E-11</v>
      </c>
      <c r="E153" s="8">
        <v>6.0821999999999994E-11</v>
      </c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>
      <c r="B154" s="7">
        <v>1380</v>
      </c>
      <c r="C154" s="8">
        <v>6.0178999999999997E-11</v>
      </c>
      <c r="D154" s="8">
        <v>6.0178999999999997E-11</v>
      </c>
      <c r="E154" s="8">
        <v>6.0178999999999997E-11</v>
      </c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>
      <c r="B155" s="7">
        <v>1400</v>
      </c>
      <c r="C155" s="8">
        <v>5.9542999999999995E-11</v>
      </c>
      <c r="D155" s="8">
        <v>5.9542999999999995E-11</v>
      </c>
      <c r="E155" s="8">
        <v>5.9542999999999995E-11</v>
      </c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>
      <c r="B156" s="7">
        <v>1420</v>
      </c>
      <c r="C156" s="8">
        <v>5.8913000000000006E-11</v>
      </c>
      <c r="D156" s="8">
        <v>5.8913000000000006E-11</v>
      </c>
      <c r="E156" s="8">
        <v>5.8913000000000006E-11</v>
      </c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>
      <c r="B157" s="7">
        <v>1440</v>
      </c>
      <c r="C157" s="8">
        <v>5.829E-11</v>
      </c>
      <c r="D157" s="8">
        <v>5.829E-11</v>
      </c>
      <c r="E157" s="8">
        <v>5.829E-11</v>
      </c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>
      <c r="B158" s="7">
        <v>1460</v>
      </c>
      <c r="C158" s="8">
        <v>5.7674000000000002E-11</v>
      </c>
      <c r="D158" s="8">
        <v>5.7674000000000002E-11</v>
      </c>
      <c r="E158" s="8">
        <v>5.7674000000000002E-11</v>
      </c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>
      <c r="B159" s="7">
        <v>1480</v>
      </c>
      <c r="C159" s="8">
        <v>5.7064000000000003E-11</v>
      </c>
      <c r="D159" s="8">
        <v>5.7064000000000003E-11</v>
      </c>
      <c r="E159" s="8">
        <v>5.7064000000000003E-11</v>
      </c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>
      <c r="B160" s="7">
        <v>1500</v>
      </c>
      <c r="C160" s="8">
        <v>5.6459999999999998E-11</v>
      </c>
      <c r="D160" s="8">
        <v>5.6459999999999998E-11</v>
      </c>
      <c r="E160" s="8">
        <v>5.6459999999999998E-11</v>
      </c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>
      <c r="B161" s="7">
        <v>1520</v>
      </c>
      <c r="C161" s="8">
        <v>5.5863000000000001E-11</v>
      </c>
      <c r="D161" s="8">
        <v>5.5863000000000001E-11</v>
      </c>
      <c r="E161" s="8">
        <v>5.5863000000000001E-11</v>
      </c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>
      <c r="B162" s="7">
        <v>1560</v>
      </c>
      <c r="C162" s="8">
        <v>5.4688000000000003E-11</v>
      </c>
      <c r="D162" s="8">
        <v>5.4688000000000003E-11</v>
      </c>
      <c r="E162" s="8">
        <v>5.4688000000000003E-11</v>
      </c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>
      <c r="B163" s="7">
        <v>1600</v>
      </c>
      <c r="C163" s="8">
        <v>5.3536999999999997E-11</v>
      </c>
      <c r="D163" s="8">
        <v>5.3536999999999997E-11</v>
      </c>
      <c r="E163" s="8">
        <v>5.3536999999999997E-11</v>
      </c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>
      <c r="B164" s="7">
        <v>1640</v>
      </c>
      <c r="C164" s="8">
        <v>5.2410999999999999E-11</v>
      </c>
      <c r="D164" s="8">
        <v>5.2410999999999999E-11</v>
      </c>
      <c r="E164" s="8">
        <v>5.2410999999999999E-11</v>
      </c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>
      <c r="B165" s="7">
        <v>1680</v>
      </c>
      <c r="C165" s="8">
        <v>5.1307999999999997E-11</v>
      </c>
      <c r="D165" s="8">
        <v>5.1307999999999997E-11</v>
      </c>
      <c r="E165" s="8">
        <v>5.1307999999999997E-11</v>
      </c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>
      <c r="B166" s="7">
        <v>1720</v>
      </c>
      <c r="C166" s="8">
        <v>5.0229000000000002E-11</v>
      </c>
      <c r="D166" s="8">
        <v>5.0229000000000002E-11</v>
      </c>
      <c r="E166" s="8">
        <v>5.0229000000000002E-11</v>
      </c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>
      <c r="B167" s="7">
        <v>1760</v>
      </c>
      <c r="C167" s="8">
        <v>4.9172000000000001E-11</v>
      </c>
      <c r="D167" s="8">
        <v>4.9172000000000001E-11</v>
      </c>
      <c r="E167" s="8">
        <v>4.9172000000000001E-11</v>
      </c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>
      <c r="B168" s="7">
        <v>1800</v>
      </c>
      <c r="C168" s="8">
        <v>4.8137999999999997E-11</v>
      </c>
      <c r="D168" s="8">
        <v>4.8137999999999997E-11</v>
      </c>
      <c r="E168" s="8">
        <v>4.8137999999999997E-11</v>
      </c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>
      <c r="B169" s="7">
        <v>1840</v>
      </c>
      <c r="C169" s="8">
        <v>4.7124999999999999E-11</v>
      </c>
      <c r="D169" s="8">
        <v>4.7124999999999999E-11</v>
      </c>
      <c r="E169" s="8">
        <v>4.7124999999999999E-11</v>
      </c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>
      <c r="B170" s="7">
        <v>1880</v>
      </c>
      <c r="C170" s="8">
        <v>4.6133E-11</v>
      </c>
      <c r="D170" s="8">
        <v>4.6133E-11</v>
      </c>
      <c r="E170" s="8">
        <v>4.6133E-11</v>
      </c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>
      <c r="B171" s="7">
        <v>1920</v>
      </c>
      <c r="C171" s="8">
        <v>4.5163000000000002E-11</v>
      </c>
      <c r="D171" s="8">
        <v>4.5163000000000002E-11</v>
      </c>
      <c r="E171" s="8">
        <v>4.5163000000000002E-11</v>
      </c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>
      <c r="B172" s="7">
        <v>1960</v>
      </c>
      <c r="C172" s="8">
        <v>4.4213000000000002E-11</v>
      </c>
      <c r="D172" s="8">
        <v>4.4213000000000002E-11</v>
      </c>
      <c r="E172" s="8">
        <v>4.4213000000000002E-11</v>
      </c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>
      <c r="B173" s="7">
        <v>2000</v>
      </c>
      <c r="C173" s="8">
        <v>4.3282000000000002E-11</v>
      </c>
      <c r="D173" s="8">
        <v>4.3282000000000002E-11</v>
      </c>
      <c r="E173" s="8">
        <v>4.3282000000000002E-11</v>
      </c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>
      <c r="B174" s="7">
        <v>2040</v>
      </c>
      <c r="C174" s="8">
        <v>4.2372000000000002E-11</v>
      </c>
      <c r="D174" s="8">
        <v>4.2372000000000002E-11</v>
      </c>
      <c r="E174" s="8">
        <v>4.2372000000000002E-11</v>
      </c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>
      <c r="B175" s="7">
        <v>2080</v>
      </c>
      <c r="C175" s="8">
        <v>4.1480000000000002E-11</v>
      </c>
      <c r="D175" s="8">
        <v>4.1480000000000002E-11</v>
      </c>
      <c r="E175" s="8">
        <v>4.1480000000000002E-11</v>
      </c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>
      <c r="B176" s="7">
        <v>2120</v>
      </c>
      <c r="C176" s="8">
        <v>4.0607999999999998E-11</v>
      </c>
      <c r="D176" s="8">
        <v>4.0607999999999998E-11</v>
      </c>
      <c r="E176" s="8">
        <v>4.0607999999999998E-11</v>
      </c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>
      <c r="B177" s="7">
        <v>2160</v>
      </c>
      <c r="C177" s="8">
        <v>3.9752999999999998E-11</v>
      </c>
      <c r="D177" s="8">
        <v>3.9752999999999998E-11</v>
      </c>
      <c r="E177" s="8">
        <v>3.9752999999999998E-11</v>
      </c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>
      <c r="B178" s="7">
        <v>2200</v>
      </c>
      <c r="C178" s="8">
        <v>3.8917E-11</v>
      </c>
      <c r="D178" s="8">
        <v>3.8917E-11</v>
      </c>
      <c r="E178" s="8">
        <v>3.8917E-11</v>
      </c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>
      <c r="B179" s="7">
        <v>2240</v>
      </c>
      <c r="C179" s="8">
        <v>3.8097999999999999E-11</v>
      </c>
      <c r="D179" s="8">
        <v>3.8097999999999999E-11</v>
      </c>
      <c r="E179" s="8">
        <v>3.8097999999999999E-11</v>
      </c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>
      <c r="B180" s="7">
        <v>2280</v>
      </c>
      <c r="C180" s="8">
        <v>3.7297000000000003E-11</v>
      </c>
      <c r="D180" s="8">
        <v>3.7297000000000003E-11</v>
      </c>
      <c r="E180" s="8">
        <v>3.7297000000000003E-11</v>
      </c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>
      <c r="B181" s="7">
        <v>2320</v>
      </c>
      <c r="C181" s="8">
        <v>3.6512000000000003E-11</v>
      </c>
      <c r="D181" s="8">
        <v>3.6512000000000003E-11</v>
      </c>
      <c r="E181" s="8">
        <v>3.6512000000000003E-11</v>
      </c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>
      <c r="B182" s="7">
        <v>2360</v>
      </c>
      <c r="C182" s="8">
        <v>3.5744E-11</v>
      </c>
      <c r="D182" s="8">
        <v>3.5744E-11</v>
      </c>
      <c r="E182" s="8">
        <v>3.5744E-11</v>
      </c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>
      <c r="B183" s="7">
        <v>2400</v>
      </c>
      <c r="C183" s="8">
        <v>3.4991999999999998E-11</v>
      </c>
      <c r="D183" s="8">
        <v>3.4991999999999998E-11</v>
      </c>
      <c r="E183" s="8">
        <v>3.4991999999999998E-11</v>
      </c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>
      <c r="B184" s="7">
        <v>2440</v>
      </c>
      <c r="C184" s="8">
        <v>3.4255999999999998E-11</v>
      </c>
      <c r="D184" s="8">
        <v>3.4255999999999998E-11</v>
      </c>
      <c r="E184" s="8">
        <v>3.4255999999999998E-11</v>
      </c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>
      <c r="B185" s="7">
        <v>2480</v>
      </c>
      <c r="C185" s="8">
        <v>3.3534999999999997E-11</v>
      </c>
      <c r="D185" s="8">
        <v>3.3534999999999997E-11</v>
      </c>
      <c r="E185" s="8">
        <v>3.3534999999999997E-11</v>
      </c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>
      <c r="B186" s="7">
        <v>2520</v>
      </c>
      <c r="C186" s="8">
        <v>3.2829999999999998E-11</v>
      </c>
      <c r="D186" s="8">
        <v>3.2829999999999998E-11</v>
      </c>
      <c r="E186" s="8">
        <v>3.2829999999999998E-11</v>
      </c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>
      <c r="B187" s="7">
        <v>2560</v>
      </c>
      <c r="C187" s="8">
        <v>3.2139000000000003E-11</v>
      </c>
      <c r="D187" s="8">
        <v>3.2139000000000003E-11</v>
      </c>
      <c r="E187" s="8">
        <v>3.2139000000000003E-11</v>
      </c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>
      <c r="B188" s="7">
        <v>2600</v>
      </c>
      <c r="C188" s="8">
        <v>3.1463E-11</v>
      </c>
      <c r="D188" s="8">
        <v>3.1463E-11</v>
      </c>
      <c r="E188" s="8">
        <v>3.1463E-11</v>
      </c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>
      <c r="B189" s="7">
        <v>2640</v>
      </c>
      <c r="C189" s="8">
        <v>3.0801000000000002E-11</v>
      </c>
      <c r="D189" s="8">
        <v>3.0801000000000002E-11</v>
      </c>
      <c r="E189" s="8">
        <v>3.0801000000000002E-11</v>
      </c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>
      <c r="B190" s="7">
        <v>2680</v>
      </c>
      <c r="C190" s="8">
        <v>3.0153E-11</v>
      </c>
      <c r="D190" s="8">
        <v>3.0153E-11</v>
      </c>
      <c r="E190" s="8">
        <v>3.0153E-11</v>
      </c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>
      <c r="B191" s="7">
        <v>2720</v>
      </c>
      <c r="C191" s="8">
        <v>2.9518000000000001E-11</v>
      </c>
      <c r="D191" s="8">
        <v>2.9518000000000001E-11</v>
      </c>
      <c r="E191" s="8">
        <v>2.9518000000000001E-11</v>
      </c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>
      <c r="B192" s="7">
        <v>2760</v>
      </c>
      <c r="C192" s="8">
        <v>2.8896999999999999E-11</v>
      </c>
      <c r="D192" s="8">
        <v>2.8896999999999999E-11</v>
      </c>
      <c r="E192" s="8">
        <v>2.8896999999999999E-11</v>
      </c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>
      <c r="B193" s="7">
        <v>2800</v>
      </c>
      <c r="C193" s="8">
        <v>2.8289000000000001E-11</v>
      </c>
      <c r="D193" s="8">
        <v>2.8289000000000001E-11</v>
      </c>
      <c r="E193" s="8">
        <v>2.8289000000000001E-11</v>
      </c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>
      <c r="B194" s="7">
        <v>2840</v>
      </c>
      <c r="C194" s="8">
        <v>2.7693999999999999E-11</v>
      </c>
      <c r="D194" s="8">
        <v>2.7693999999999999E-11</v>
      </c>
      <c r="E194" s="8">
        <v>2.7693999999999999E-11</v>
      </c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>
      <c r="B195" s="7">
        <v>2880</v>
      </c>
      <c r="C195" s="8">
        <v>2.7112000000000002E-11</v>
      </c>
      <c r="D195" s="8">
        <v>2.7112000000000002E-11</v>
      </c>
      <c r="E195" s="8">
        <v>2.7112000000000002E-11</v>
      </c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>
      <c r="B196" s="7">
        <v>2920</v>
      </c>
      <c r="C196" s="8">
        <v>2.6540999999999998E-11</v>
      </c>
      <c r="D196" s="8">
        <v>2.6540999999999998E-11</v>
      </c>
      <c r="E196" s="8">
        <v>2.6540999999999998E-11</v>
      </c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>
      <c r="B197" s="7">
        <v>2960</v>
      </c>
      <c r="C197" s="8">
        <v>2.5983E-11</v>
      </c>
      <c r="D197" s="8">
        <v>2.5983E-11</v>
      </c>
      <c r="E197" s="8">
        <v>2.5983E-11</v>
      </c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>
      <c r="B198" s="7">
        <v>3000</v>
      </c>
      <c r="C198" s="8">
        <v>2.5435999999999999E-11</v>
      </c>
      <c r="D198" s="8">
        <v>2.5435999999999999E-11</v>
      </c>
      <c r="E198" s="8">
        <v>2.5435999999999999E-11</v>
      </c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>
      <c r="B199" s="7">
        <v>3040</v>
      </c>
      <c r="C199" s="8">
        <v>2.4901000000000001E-11</v>
      </c>
      <c r="D199" s="8">
        <v>2.4901000000000001E-11</v>
      </c>
      <c r="E199" s="8">
        <v>2.4901000000000001E-11</v>
      </c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>
      <c r="B200" s="7">
        <v>3080</v>
      </c>
      <c r="C200" s="8">
        <v>2.4377000000000001E-11</v>
      </c>
      <c r="D200" s="8">
        <v>2.4377000000000001E-11</v>
      </c>
      <c r="E200" s="8">
        <v>2.4377000000000001E-11</v>
      </c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>
      <c r="B201" s="7">
        <v>3120</v>
      </c>
      <c r="C201" s="8">
        <v>2.3864000000000001E-11</v>
      </c>
      <c r="D201" s="8">
        <v>2.3864000000000001E-11</v>
      </c>
      <c r="E201" s="8">
        <v>2.3864000000000001E-11</v>
      </c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>
      <c r="B202" s="7">
        <v>3160</v>
      </c>
      <c r="C202" s="8">
        <v>2.3361999999999998E-11</v>
      </c>
      <c r="D202" s="8">
        <v>2.3361999999999998E-11</v>
      </c>
      <c r="E202" s="8">
        <v>2.3361999999999998E-11</v>
      </c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>
      <c r="B203" s="7">
        <v>3200</v>
      </c>
      <c r="C203" s="8">
        <v>2.2871E-11</v>
      </c>
      <c r="D203" s="8">
        <v>2.2871E-11</v>
      </c>
      <c r="E203" s="8">
        <v>2.2871E-11</v>
      </c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>
      <c r="B204" s="7">
        <v>3240</v>
      </c>
      <c r="C204" s="8">
        <v>2.239E-11</v>
      </c>
      <c r="D204" s="8">
        <v>2.239E-11</v>
      </c>
      <c r="E204" s="8">
        <v>2.239E-11</v>
      </c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>
      <c r="B205" s="7">
        <v>3280</v>
      </c>
      <c r="C205" s="8">
        <v>2.1919000000000001E-11</v>
      </c>
      <c r="D205" s="8">
        <v>2.1919000000000001E-11</v>
      </c>
      <c r="E205" s="8">
        <v>2.1919000000000001E-11</v>
      </c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>
      <c r="B206" s="7">
        <v>3320</v>
      </c>
      <c r="C206" s="8">
        <v>2.1457E-11</v>
      </c>
      <c r="D206" s="8">
        <v>2.1457E-11</v>
      </c>
      <c r="E206" s="8">
        <v>2.1457E-11</v>
      </c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>
      <c r="B207" s="7">
        <v>3360</v>
      </c>
      <c r="C207" s="8">
        <v>2.1006000000000002E-11</v>
      </c>
      <c r="D207" s="8">
        <v>2.1006000000000002E-11</v>
      </c>
      <c r="E207" s="8">
        <v>2.1006000000000002E-11</v>
      </c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>
      <c r="B208" s="7">
        <v>3400</v>
      </c>
      <c r="C208" s="8">
        <v>2.0564E-11</v>
      </c>
      <c r="D208" s="8">
        <v>2.0564E-11</v>
      </c>
      <c r="E208" s="8">
        <v>2.0564E-11</v>
      </c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>
      <c r="B209" s="7">
        <v>3440</v>
      </c>
      <c r="C209" s="8">
        <v>2.0131000000000001E-11</v>
      </c>
      <c r="D209" s="8">
        <v>2.0131000000000001E-11</v>
      </c>
      <c r="E209" s="8">
        <v>2.0131000000000001E-11</v>
      </c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>
      <c r="B210" s="7">
        <v>3480</v>
      </c>
      <c r="C210" s="8">
        <v>1.9708000000000001E-11</v>
      </c>
      <c r="D210" s="8">
        <v>1.9708000000000001E-11</v>
      </c>
      <c r="E210" s="8">
        <v>1.9708000000000001E-11</v>
      </c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>
      <c r="B211" s="7">
        <v>3520</v>
      </c>
      <c r="C211" s="8">
        <v>1.9292999999999999E-11</v>
      </c>
      <c r="D211" s="8">
        <v>1.9292999999999999E-11</v>
      </c>
      <c r="E211" s="8">
        <v>1.9292999999999999E-11</v>
      </c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>
      <c r="B212" s="7">
        <v>3560</v>
      </c>
      <c r="C212" s="8">
        <v>1.8886999999999999E-11</v>
      </c>
      <c r="D212" s="8">
        <v>1.8886999999999999E-11</v>
      </c>
      <c r="E212" s="8">
        <v>1.8886999999999999E-11</v>
      </c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>
      <c r="B213" s="7">
        <v>3600</v>
      </c>
      <c r="C213" s="8">
        <v>1.8489999999999999E-11</v>
      </c>
      <c r="D213" s="8">
        <v>1.8489999999999999E-11</v>
      </c>
      <c r="E213" s="8">
        <v>1.8489999999999999E-11</v>
      </c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>
      <c r="B214" s="7">
        <v>3640</v>
      </c>
      <c r="C214" s="8">
        <v>1.8101E-11</v>
      </c>
      <c r="D214" s="8">
        <v>1.8101E-11</v>
      </c>
      <c r="E214" s="8">
        <v>1.8101E-11</v>
      </c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>
      <c r="B215" s="7">
        <v>3680</v>
      </c>
      <c r="C215" s="8">
        <v>1.7720000000000001E-11</v>
      </c>
      <c r="D215" s="8">
        <v>1.7720000000000001E-11</v>
      </c>
      <c r="E215" s="8">
        <v>1.7720000000000001E-11</v>
      </c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>
      <c r="B216" s="7">
        <v>3720</v>
      </c>
      <c r="C216" s="8">
        <v>1.7347E-11</v>
      </c>
      <c r="D216" s="8">
        <v>1.7347E-11</v>
      </c>
      <c r="E216" s="8">
        <v>1.7347E-11</v>
      </c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>
      <c r="B217" s="7">
        <v>3760</v>
      </c>
      <c r="C217" s="8">
        <v>1.6982E-11</v>
      </c>
      <c r="D217" s="8">
        <v>1.6982E-11</v>
      </c>
      <c r="E217" s="8">
        <v>1.6982E-11</v>
      </c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>
      <c r="B218" s="7">
        <v>3800</v>
      </c>
      <c r="C218" s="8">
        <v>1.6625000000000001E-11</v>
      </c>
      <c r="D218" s="8">
        <v>1.6625000000000001E-11</v>
      </c>
      <c r="E218" s="8">
        <v>1.6625000000000001E-11</v>
      </c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>
      <c r="B219" s="7">
        <v>3840</v>
      </c>
      <c r="C219" s="8">
        <v>1.6275E-11</v>
      </c>
      <c r="D219" s="8">
        <v>1.6275E-11</v>
      </c>
      <c r="E219" s="8">
        <v>1.6275E-11</v>
      </c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>
      <c r="B220" s="7">
        <v>3880</v>
      </c>
      <c r="C220" s="8">
        <v>1.5933E-11</v>
      </c>
      <c r="D220" s="8">
        <v>1.5933E-11</v>
      </c>
      <c r="E220" s="8">
        <v>1.5933E-11</v>
      </c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>
      <c r="B221" s="7">
        <v>3920</v>
      </c>
      <c r="C221" s="8">
        <v>1.5597999999999999E-11</v>
      </c>
      <c r="D221" s="8">
        <v>1.5597999999999999E-11</v>
      </c>
      <c r="E221" s="8">
        <v>1.5597999999999999E-11</v>
      </c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>
      <c r="B222" s="7">
        <v>3960</v>
      </c>
      <c r="C222" s="8">
        <v>1.5269999999999999E-11</v>
      </c>
      <c r="D222" s="8">
        <v>1.5269999999999999E-11</v>
      </c>
      <c r="E222" s="8">
        <v>1.5269999999999999E-11</v>
      </c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>
      <c r="B223" s="7">
        <v>4000</v>
      </c>
      <c r="C223" s="8">
        <v>1.4948E-11</v>
      </c>
      <c r="D223" s="8">
        <v>1.4948E-11</v>
      </c>
      <c r="E223" s="8">
        <v>1.4948E-11</v>
      </c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>
      <c r="B224" s="7">
        <v>4040</v>
      </c>
      <c r="C224" s="8">
        <v>1.4634000000000001E-11</v>
      </c>
      <c r="D224" s="8">
        <v>1.4634000000000001E-11</v>
      </c>
      <c r="E224" s="8">
        <v>1.4634000000000001E-11</v>
      </c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>
      <c r="B225" s="7">
        <v>4080</v>
      </c>
      <c r="C225" s="8">
        <v>1.4326E-11</v>
      </c>
      <c r="D225" s="8">
        <v>1.4326E-11</v>
      </c>
      <c r="E225" s="8">
        <v>1.4326E-11</v>
      </c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>
      <c r="B226" s="7">
        <v>4120</v>
      </c>
      <c r="C226" s="8">
        <v>1.4025E-11</v>
      </c>
      <c r="D226" s="8">
        <v>1.4025E-11</v>
      </c>
      <c r="E226" s="8">
        <v>1.4025E-11</v>
      </c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>
      <c r="B227" s="7">
        <v>4160</v>
      </c>
      <c r="C227" s="8">
        <v>1.3730000000000001E-11</v>
      </c>
      <c r="D227" s="8">
        <v>1.3730000000000001E-11</v>
      </c>
      <c r="E227" s="8">
        <v>1.3730000000000001E-11</v>
      </c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>
      <c r="B228" s="7">
        <v>4200</v>
      </c>
      <c r="C228" s="8">
        <v>1.3441E-11</v>
      </c>
      <c r="D228" s="8">
        <v>1.3441E-11</v>
      </c>
      <c r="E228" s="8">
        <v>1.3441E-11</v>
      </c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>
      <c r="B229" s="7">
        <v>4240</v>
      </c>
      <c r="C229" s="8">
        <v>1.3158E-11</v>
      </c>
      <c r="D229" s="8">
        <v>1.3158E-11</v>
      </c>
      <c r="E229" s="8">
        <v>1.3158E-11</v>
      </c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>
      <c r="B230" s="7">
        <v>4280</v>
      </c>
      <c r="C230" s="8">
        <v>1.2881000000000001E-11</v>
      </c>
      <c r="D230" s="8">
        <v>1.2881000000000001E-11</v>
      </c>
      <c r="E230" s="8">
        <v>1.2881000000000001E-11</v>
      </c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>
      <c r="B231" s="7">
        <v>4320</v>
      </c>
      <c r="C231" s="8">
        <v>1.2610000000000001E-11</v>
      </c>
      <c r="D231" s="8">
        <v>1.2610000000000001E-11</v>
      </c>
      <c r="E231" s="8">
        <v>1.2610000000000001E-11</v>
      </c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10.Document" shapeId="15365" r:id="rId4">
          <objectPr defaultSize="0" r:id="rId5">
            <anchor moveWithCells="1">
              <from>
                <xdr:col>22</xdr:col>
                <xdr:colOff>330200</xdr:colOff>
                <xdr:row>16</xdr:row>
                <xdr:rowOff>12700</xdr:rowOff>
              </from>
              <to>
                <xdr:col>28</xdr:col>
                <xdr:colOff>368300</xdr:colOff>
                <xdr:row>30</xdr:row>
                <xdr:rowOff>38100</xdr:rowOff>
              </to>
            </anchor>
          </objectPr>
        </oleObject>
      </mc:Choice>
      <mc:Fallback>
        <oleObject progId="Prism10.Document" shapeId="15365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82B0-956E-4DAA-BAAC-1CFD70E1FC7C}">
  <dimension ref="A1:BM602"/>
  <sheetViews>
    <sheetView zoomScale="61" zoomScaleNormal="100" workbookViewId="0">
      <selection activeCell="O47" sqref="O47:V231"/>
    </sheetView>
  </sheetViews>
  <sheetFormatPr baseColWidth="10" defaultColWidth="8.83203125" defaultRowHeight="17"/>
  <cols>
    <col min="6" max="9" width="13.1640625" bestFit="1" customWidth="1"/>
    <col min="11" max="11" width="9.1640625" bestFit="1" customWidth="1"/>
    <col min="13" max="13" width="13.1640625" bestFit="1" customWidth="1"/>
    <col min="16" max="16" width="13.5" customWidth="1"/>
    <col min="17" max="17" width="9.83203125" bestFit="1" customWidth="1"/>
    <col min="18" max="18" width="9.5" bestFit="1" customWidth="1"/>
    <col min="19" max="19" width="9.6640625" bestFit="1" customWidth="1"/>
    <col min="20" max="20" width="11.1640625" bestFit="1" customWidth="1"/>
    <col min="21" max="21" width="10" bestFit="1" customWidth="1"/>
    <col min="22" max="22" width="13.5" bestFit="1" customWidth="1"/>
    <col min="25" max="28" width="9" bestFit="1" customWidth="1"/>
    <col min="29" max="29" width="9.6640625" bestFit="1" customWidth="1"/>
    <col min="33" max="33" width="9.1640625" customWidth="1"/>
    <col min="34" max="34" width="10" bestFit="1" customWidth="1"/>
    <col min="35" max="35" width="9.1640625" customWidth="1"/>
    <col min="46" max="46" width="7.5" customWidth="1"/>
    <col min="47" max="47" width="15" customWidth="1"/>
    <col min="48" max="48" width="11" bestFit="1" customWidth="1"/>
    <col min="49" max="49" width="9.1640625" bestFit="1" customWidth="1"/>
    <col min="51" max="56" width="9.1640625" bestFit="1" customWidth="1"/>
  </cols>
  <sheetData>
    <row r="1" spans="1:65">
      <c r="A1" s="1">
        <f>K2</f>
        <v>1.2735707007309502E-10</v>
      </c>
      <c r="B1" s="7" t="s">
        <v>0</v>
      </c>
      <c r="C1" s="7" t="s">
        <v>105</v>
      </c>
      <c r="D1" s="7" t="s">
        <v>105</v>
      </c>
      <c r="E1" s="7" t="s">
        <v>105</v>
      </c>
      <c r="F1" t="s">
        <v>105</v>
      </c>
      <c r="G1" t="s">
        <v>105</v>
      </c>
      <c r="H1" t="s">
        <v>106</v>
      </c>
      <c r="I1" t="s">
        <v>107</v>
      </c>
      <c r="J1" s="7"/>
      <c r="N1" s="7"/>
      <c r="O1" t="s">
        <v>35</v>
      </c>
      <c r="P1" t="s">
        <v>5</v>
      </c>
      <c r="Q1" t="s">
        <v>30</v>
      </c>
      <c r="R1" t="s">
        <v>38</v>
      </c>
      <c r="S1" s="3" t="s">
        <v>11</v>
      </c>
      <c r="T1" t="s">
        <v>32</v>
      </c>
      <c r="U1" t="s">
        <v>3</v>
      </c>
      <c r="V1" s="4" t="s">
        <v>4</v>
      </c>
      <c r="X1" s="3"/>
      <c r="Y1" s="3" t="s">
        <v>12</v>
      </c>
      <c r="Z1" s="3" t="s">
        <v>36</v>
      </c>
      <c r="AA1" s="3" t="s">
        <v>37</v>
      </c>
      <c r="AB1" s="3" t="s">
        <v>39</v>
      </c>
      <c r="AC1" s="3" t="s">
        <v>13</v>
      </c>
      <c r="AF1" s="35" t="s">
        <v>85</v>
      </c>
      <c r="AJ1" s="7"/>
      <c r="AK1" s="7"/>
    </row>
    <row r="2" spans="1:65">
      <c r="B2" s="7">
        <v>0</v>
      </c>
      <c r="C2" s="8">
        <v>1.2710000000000001E-10</v>
      </c>
      <c r="D2" s="8">
        <v>1.2710000000000001E-10</v>
      </c>
      <c r="E2" s="8">
        <v>1.2710000000000001E-10</v>
      </c>
      <c r="F2" s="1">
        <v>2.5706999999999998E-13</v>
      </c>
      <c r="G2" s="1">
        <v>7.3095000000000005E-20</v>
      </c>
      <c r="H2" s="1">
        <v>0</v>
      </c>
      <c r="I2" s="1">
        <v>0</v>
      </c>
      <c r="J2" s="8"/>
      <c r="K2" s="1">
        <f>SUM(C2,F2,G2)</f>
        <v>1.2735707007309502E-10</v>
      </c>
      <c r="M2" s="1"/>
      <c r="N2" s="7"/>
      <c r="O2">
        <f>B2/60</f>
        <v>0</v>
      </c>
      <c r="P2" s="6">
        <f>(SUM(F2:J2)+C2)/$A$1*100</f>
        <v>99.999999999999972</v>
      </c>
      <c r="Q2" s="6">
        <f t="shared" ref="Q2:Q65" si="0">(H2+F2)/$A$1*100</f>
        <v>0.2018498068874055</v>
      </c>
      <c r="R2" s="6">
        <f t="shared" ref="R2:R65" si="1">(G2+I2)/$A$1*100</f>
        <v>5.7393751252323903E-8</v>
      </c>
      <c r="S2" s="5">
        <f t="shared" ref="S2:S65" si="2">J2/$A$1*100</f>
        <v>0</v>
      </c>
      <c r="T2" s="6">
        <f t="shared" ref="T2:V17" si="3">C2/$A$1*100</f>
        <v>99.798150135718828</v>
      </c>
      <c r="U2" s="1">
        <f t="shared" si="3"/>
        <v>99.798150135718828</v>
      </c>
      <c r="V2" s="1">
        <f t="shared" si="3"/>
        <v>99.798150135718828</v>
      </c>
      <c r="X2" s="9" t="s">
        <v>26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" t="s">
        <v>84</v>
      </c>
      <c r="AG2" t="s">
        <v>81</v>
      </c>
      <c r="AH2" s="7" t="s">
        <v>82</v>
      </c>
      <c r="AI2" s="7" t="s">
        <v>83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>
      <c r="B3" s="7">
        <v>2.2200000000000002</v>
      </c>
      <c r="C3" s="8">
        <v>1.248E-10</v>
      </c>
      <c r="D3" s="8">
        <v>1.248E-10</v>
      </c>
      <c r="E3" s="8">
        <v>1.248E-10</v>
      </c>
      <c r="F3" s="1">
        <v>2.4047E-12</v>
      </c>
      <c r="G3" s="1">
        <v>9.8764999999999998E-18</v>
      </c>
      <c r="H3" s="1">
        <v>9.5520000000000006E-14</v>
      </c>
      <c r="I3" s="1">
        <v>1.6882000000000001E-15</v>
      </c>
      <c r="J3" s="8"/>
      <c r="K3" s="1"/>
      <c r="L3" s="1"/>
      <c r="M3" s="1"/>
      <c r="N3" s="7"/>
      <c r="O3">
        <f t="shared" ref="O3:O66" si="4">B3/60</f>
        <v>3.7000000000000005E-2</v>
      </c>
      <c r="P3" s="6">
        <f t="shared" ref="P3:P66" si="5">(SUM(F3:J3)+C3)/$A$1*100</f>
        <v>99.956694986337723</v>
      </c>
      <c r="Q3" s="6">
        <f t="shared" si="0"/>
        <v>1.9631575997822732</v>
      </c>
      <c r="R3" s="6">
        <f t="shared" si="1"/>
        <v>1.3333193822890319E-3</v>
      </c>
      <c r="S3" s="5">
        <f t="shared" si="2"/>
        <v>0</v>
      </c>
      <c r="T3" s="6">
        <f t="shared" si="3"/>
        <v>97.992204067173176</v>
      </c>
      <c r="U3" s="1">
        <f t="shared" si="3"/>
        <v>97.992204067173176</v>
      </c>
      <c r="V3" s="1">
        <f t="shared" si="3"/>
        <v>97.992204067173176</v>
      </c>
      <c r="X3" s="9"/>
      <c r="Y3" s="2"/>
      <c r="Z3" s="2"/>
      <c r="AA3" s="2"/>
      <c r="AB3" s="2"/>
      <c r="AC3" s="2"/>
      <c r="AD3" s="1"/>
      <c r="AE3" s="1"/>
      <c r="AF3" t="s">
        <v>40</v>
      </c>
      <c r="AG3" s="36" t="s">
        <v>96</v>
      </c>
      <c r="AH3" s="37" t="s">
        <v>97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B4" s="7">
        <v>4.78</v>
      </c>
      <c r="C4" s="8">
        <v>1.2412000000000001E-10</v>
      </c>
      <c r="D4" s="8">
        <v>1.2412000000000001E-10</v>
      </c>
      <c r="E4" s="8">
        <v>1.2412000000000001E-10</v>
      </c>
      <c r="F4" s="1">
        <v>2.8311999999999999E-12</v>
      </c>
      <c r="G4" s="1">
        <v>1.3391000000000001E-17</v>
      </c>
      <c r="H4" s="1">
        <v>3.3868999999999999E-13</v>
      </c>
      <c r="I4" s="1">
        <v>6.3060000000000003E-15</v>
      </c>
      <c r="J4" s="8"/>
      <c r="K4" s="1"/>
      <c r="L4" s="1"/>
      <c r="M4" s="1"/>
      <c r="N4" s="7"/>
      <c r="O4">
        <f t="shared" si="4"/>
        <v>7.9666666666666677E-2</v>
      </c>
      <c r="P4" s="6">
        <f t="shared" si="5"/>
        <v>99.952212561061515</v>
      </c>
      <c r="Q4" s="6">
        <f t="shared" si="0"/>
        <v>2.488978427487913</v>
      </c>
      <c r="R4" s="6">
        <f t="shared" si="1"/>
        <v>4.9619475356751409E-3</v>
      </c>
      <c r="S4" s="5">
        <f t="shared" si="2"/>
        <v>0</v>
      </c>
      <c r="T4" s="6">
        <f t="shared" si="3"/>
        <v>97.458272186037931</v>
      </c>
      <c r="U4" s="1">
        <f t="shared" si="3"/>
        <v>97.458272186037931</v>
      </c>
      <c r="V4" s="1">
        <f t="shared" si="3"/>
        <v>97.458272186037931</v>
      </c>
      <c r="X4" s="9" t="s">
        <v>27</v>
      </c>
      <c r="Y4" s="2">
        <v>7152</v>
      </c>
      <c r="Z4" s="2">
        <v>4962</v>
      </c>
      <c r="AA4" s="2">
        <v>617.6</v>
      </c>
      <c r="AB4" s="2">
        <v>0</v>
      </c>
      <c r="AC4" s="2">
        <v>1572</v>
      </c>
      <c r="AD4" s="1"/>
      <c r="AE4" s="1"/>
      <c r="AF4" t="s">
        <v>43</v>
      </c>
      <c r="AG4" t="s">
        <v>44</v>
      </c>
      <c r="AH4" s="1" t="s">
        <v>45</v>
      </c>
      <c r="AI4" s="1" t="s">
        <v>46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B5" s="7">
        <v>6.8280000000000003</v>
      </c>
      <c r="C5" s="8">
        <v>1.2378000000000001E-10</v>
      </c>
      <c r="D5" s="8">
        <v>1.2378000000000001E-10</v>
      </c>
      <c r="E5" s="8">
        <v>1.2378000000000001E-10</v>
      </c>
      <c r="F5" s="1">
        <v>2.9375999999999999E-12</v>
      </c>
      <c r="G5" s="1">
        <v>1.6544000000000001E-17</v>
      </c>
      <c r="H5" s="1">
        <v>5.5676999999999996E-13</v>
      </c>
      <c r="I5" s="1">
        <v>1.1089E-14</v>
      </c>
      <c r="J5" s="8"/>
      <c r="K5" s="1"/>
      <c r="L5" s="1"/>
      <c r="M5" s="1"/>
      <c r="N5" s="7"/>
      <c r="O5">
        <f t="shared" si="4"/>
        <v>0.1138</v>
      </c>
      <c r="P5" s="6">
        <f t="shared" si="5"/>
        <v>99.943784409413709</v>
      </c>
      <c r="Q5" s="6">
        <f t="shared" si="0"/>
        <v>2.7437581580625632</v>
      </c>
      <c r="R5" s="6">
        <f t="shared" si="1"/>
        <v>8.7200058808090588E-3</v>
      </c>
      <c r="S5" s="5">
        <f t="shared" si="2"/>
        <v>0</v>
      </c>
      <c r="T5" s="6">
        <f t="shared" si="3"/>
        <v>97.191306245470315</v>
      </c>
      <c r="U5" s="1">
        <f t="shared" si="3"/>
        <v>97.191306245470315</v>
      </c>
      <c r="V5" s="1">
        <f t="shared" si="3"/>
        <v>97.191306245470315</v>
      </c>
      <c r="X5" s="9" t="s">
        <v>28</v>
      </c>
      <c r="Y5" s="2">
        <v>7152</v>
      </c>
      <c r="Z5" s="2">
        <v>4962</v>
      </c>
      <c r="AA5" s="2">
        <v>617.6</v>
      </c>
      <c r="AB5" s="2">
        <v>0</v>
      </c>
      <c r="AC5" s="2">
        <v>1572</v>
      </c>
      <c r="AD5" s="1"/>
      <c r="AE5" s="1"/>
      <c r="AF5" s="1" t="s">
        <v>60</v>
      </c>
      <c r="AG5" s="1" t="s">
        <v>61</v>
      </c>
      <c r="AH5" s="1" t="s">
        <v>62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B6" s="7">
        <v>9.9</v>
      </c>
      <c r="C6" s="8">
        <v>1.2337999999999999E-10</v>
      </c>
      <c r="D6" s="8">
        <v>1.2337999999999999E-10</v>
      </c>
      <c r="E6" s="8">
        <v>1.2337999999999999E-10</v>
      </c>
      <c r="F6" s="1">
        <v>2.9882000000000001E-12</v>
      </c>
      <c r="G6" s="1">
        <v>2.1320999999999999E-17</v>
      </c>
      <c r="H6" s="1">
        <v>8.9495000000000004E-13</v>
      </c>
      <c r="I6" s="1">
        <v>2.0323000000000001E-14</v>
      </c>
      <c r="J6" s="8"/>
      <c r="K6" s="1"/>
      <c r="L6" s="1"/>
      <c r="M6" s="1"/>
      <c r="N6" s="7"/>
      <c r="O6">
        <f t="shared" si="4"/>
        <v>0.16500000000000001</v>
      </c>
      <c r="P6" s="6">
        <f t="shared" si="5"/>
        <v>99.942228765114649</v>
      </c>
      <c r="Q6" s="6">
        <f t="shared" si="0"/>
        <v>3.0490258591622075</v>
      </c>
      <c r="R6" s="6">
        <f t="shared" si="1"/>
        <v>1.5974237620513435E-2</v>
      </c>
      <c r="S6" s="5">
        <f t="shared" si="2"/>
        <v>0</v>
      </c>
      <c r="T6" s="6">
        <f t="shared" si="3"/>
        <v>96.877228668331924</v>
      </c>
      <c r="U6" s="1">
        <f t="shared" si="3"/>
        <v>96.877228668331924</v>
      </c>
      <c r="V6" s="1">
        <f t="shared" si="3"/>
        <v>96.877228668331924</v>
      </c>
      <c r="X6" s="9" t="s">
        <v>29</v>
      </c>
      <c r="Y6" s="2">
        <v>1</v>
      </c>
      <c r="Z6" s="2">
        <v>1</v>
      </c>
      <c r="AA6" s="2">
        <v>1</v>
      </c>
      <c r="AB6" s="2">
        <v>23</v>
      </c>
      <c r="AC6" s="2">
        <v>1</v>
      </c>
      <c r="AD6" s="1"/>
      <c r="AE6" s="1"/>
      <c r="AF6" t="s">
        <v>18</v>
      </c>
      <c r="AG6">
        <v>0.5</v>
      </c>
      <c r="AH6" s="1">
        <v>0.5</v>
      </c>
      <c r="AI6" s="1" t="s">
        <v>47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B7" s="7">
        <v>11.948</v>
      </c>
      <c r="C7" s="8">
        <v>1.2312999999999999E-10</v>
      </c>
      <c r="D7" s="8">
        <v>1.2312999999999999E-10</v>
      </c>
      <c r="E7" s="8">
        <v>1.2312999999999999E-10</v>
      </c>
      <c r="F7" s="1">
        <v>2.9954999999999999E-12</v>
      </c>
      <c r="G7" s="1">
        <v>2.5217000000000001E-17</v>
      </c>
      <c r="H7" s="1">
        <v>1.1236E-12</v>
      </c>
      <c r="I7" s="1">
        <v>2.8001E-14</v>
      </c>
      <c r="J7" s="8"/>
      <c r="K7" s="1"/>
      <c r="L7" s="1"/>
      <c r="M7" s="1"/>
      <c r="N7" s="7"/>
      <c r="O7">
        <f t="shared" si="4"/>
        <v>0.19913333333333333</v>
      </c>
      <c r="P7" s="6">
        <f t="shared" si="5"/>
        <v>99.937228568426434</v>
      </c>
      <c r="Q7" s="6">
        <f t="shared" si="0"/>
        <v>3.2342923699767065</v>
      </c>
      <c r="R7" s="6">
        <f t="shared" si="1"/>
        <v>2.200601582928588E-2</v>
      </c>
      <c r="S7" s="5">
        <f t="shared" si="2"/>
        <v>0</v>
      </c>
      <c r="T7" s="6">
        <f t="shared" si="3"/>
        <v>96.680930182620443</v>
      </c>
      <c r="U7" s="1">
        <f t="shared" si="3"/>
        <v>96.680930182620443</v>
      </c>
      <c r="V7" s="1">
        <f t="shared" si="3"/>
        <v>96.680930182620443</v>
      </c>
      <c r="X7" s="9"/>
      <c r="Y7" s="2"/>
      <c r="Z7" s="2"/>
      <c r="AA7" s="2"/>
      <c r="AB7" s="2"/>
      <c r="AC7" s="2"/>
      <c r="AD7" s="1"/>
      <c r="AE7" s="1"/>
      <c r="AF7" t="s">
        <v>48</v>
      </c>
      <c r="AG7" t="s">
        <v>94</v>
      </c>
      <c r="AH7" s="1" t="s">
        <v>95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B8" s="7">
        <v>13.996</v>
      </c>
      <c r="C8" s="8">
        <v>1.2289E-10</v>
      </c>
      <c r="D8" s="8">
        <v>1.2289E-10</v>
      </c>
      <c r="E8" s="8">
        <v>1.2289E-10</v>
      </c>
      <c r="F8" s="1">
        <v>2.9940999999999999E-12</v>
      </c>
      <c r="G8" s="1">
        <v>2.9691E-17</v>
      </c>
      <c r="H8" s="1">
        <v>1.3529E-12</v>
      </c>
      <c r="I8" s="1">
        <v>3.7039999999999999E-14</v>
      </c>
      <c r="J8" s="8"/>
      <c r="K8" s="1"/>
      <c r="L8" s="1"/>
      <c r="M8" s="1"/>
      <c r="N8" s="7"/>
      <c r="O8">
        <f t="shared" si="4"/>
        <v>0.23326666666666668</v>
      </c>
      <c r="P8" s="6">
        <f t="shared" si="5"/>
        <v>99.934828602725105</v>
      </c>
      <c r="Q8" s="6">
        <f t="shared" si="0"/>
        <v>3.4132380695512965</v>
      </c>
      <c r="R8" s="6">
        <f t="shared" si="1"/>
        <v>2.9106896836370612E-2</v>
      </c>
      <c r="S8" s="5">
        <f t="shared" si="2"/>
        <v>0</v>
      </c>
      <c r="T8" s="6">
        <f t="shared" si="3"/>
        <v>96.492483636337425</v>
      </c>
      <c r="U8" s="1">
        <f t="shared" si="3"/>
        <v>96.492483636337425</v>
      </c>
      <c r="V8" s="1">
        <f t="shared" si="3"/>
        <v>96.492483636337425</v>
      </c>
      <c r="X8" s="9"/>
      <c r="Y8" s="2">
        <f>Y4/$Y$4*100</f>
        <v>100</v>
      </c>
      <c r="Z8" s="10">
        <f>Z4/$Y$4*100</f>
        <v>69.37919463087249</v>
      </c>
      <c r="AA8" s="10">
        <f>AA4/$Y$4*100</f>
        <v>8.6353467561521242</v>
      </c>
      <c r="AB8" s="10">
        <f>AB4/$Y$4*100</f>
        <v>0</v>
      </c>
      <c r="AC8" s="10">
        <f>AC4/$Y$4*100</f>
        <v>21.979865771812079</v>
      </c>
      <c r="AD8" s="1"/>
      <c r="AE8" s="1"/>
      <c r="AF8" s="1" t="s">
        <v>20</v>
      </c>
      <c r="AG8" s="1">
        <v>0</v>
      </c>
      <c r="AH8" s="1">
        <v>0</v>
      </c>
      <c r="AI8" s="1" t="s">
        <v>49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>
      <c r="B9" s="7">
        <v>16.044</v>
      </c>
      <c r="C9" s="8">
        <v>1.2265000000000001E-10</v>
      </c>
      <c r="D9" s="8">
        <v>1.2265000000000001E-10</v>
      </c>
      <c r="E9" s="8">
        <v>1.2265000000000001E-10</v>
      </c>
      <c r="F9" s="1">
        <v>2.9894000000000002E-12</v>
      </c>
      <c r="G9" s="1">
        <v>3.3889000000000002E-17</v>
      </c>
      <c r="H9" s="1">
        <v>1.5825E-12</v>
      </c>
      <c r="I9" s="1">
        <v>4.7499000000000003E-14</v>
      </c>
      <c r="J9" s="8"/>
      <c r="K9" s="1"/>
      <c r="L9" s="1"/>
      <c r="M9" s="1"/>
      <c r="N9" s="7"/>
      <c r="O9">
        <f t="shared" si="4"/>
        <v>0.26740000000000003</v>
      </c>
      <c r="P9" s="6">
        <f t="shared" si="5"/>
        <v>99.931187813880513</v>
      </c>
      <c r="Q9" s="6">
        <f t="shared" si="0"/>
        <v>3.5898281872973477</v>
      </c>
      <c r="R9" s="6">
        <f t="shared" si="1"/>
        <v>3.7322536528768359E-2</v>
      </c>
      <c r="S9" s="5">
        <f t="shared" si="2"/>
        <v>0</v>
      </c>
      <c r="T9" s="6">
        <f t="shared" si="3"/>
        <v>96.304037090054408</v>
      </c>
      <c r="U9" s="1">
        <f t="shared" si="3"/>
        <v>96.304037090054408</v>
      </c>
      <c r="V9" s="1">
        <f t="shared" si="3"/>
        <v>96.304037090054408</v>
      </c>
      <c r="X9" s="9"/>
      <c r="Y9" s="2"/>
      <c r="Z9" s="2"/>
      <c r="AA9" s="2"/>
      <c r="AB9" s="2"/>
      <c r="AC9" s="2"/>
      <c r="AD9" s="1"/>
      <c r="AE9" s="1"/>
      <c r="AF9" s="1" t="s">
        <v>22</v>
      </c>
      <c r="AG9" s="1">
        <v>0</v>
      </c>
      <c r="AH9" s="1">
        <v>0</v>
      </c>
      <c r="AI9" s="1" t="s">
        <v>50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8" thickBot="1">
      <c r="B10" s="7">
        <v>20.14</v>
      </c>
      <c r="C10" s="8">
        <v>1.2217E-10</v>
      </c>
      <c r="D10" s="8">
        <v>1.2217E-10</v>
      </c>
      <c r="E10" s="8">
        <v>1.2217E-10</v>
      </c>
      <c r="F10" s="1">
        <v>2.9778000000000001E-12</v>
      </c>
      <c r="G10" s="1">
        <v>4.1300000000000001E-17</v>
      </c>
      <c r="H10" s="1">
        <v>2.0410999999999999E-12</v>
      </c>
      <c r="I10" s="1">
        <v>7.2664999999999999E-14</v>
      </c>
      <c r="J10" s="8"/>
      <c r="K10" s="1"/>
      <c r="L10" s="1"/>
      <c r="M10" s="1"/>
      <c r="N10" s="7"/>
      <c r="O10">
        <f t="shared" si="4"/>
        <v>0.33566666666666667</v>
      </c>
      <c r="P10" s="6">
        <f t="shared" si="5"/>
        <v>99.925042423604566</v>
      </c>
      <c r="Q10" s="6">
        <f t="shared" si="0"/>
        <v>3.9408098797494824</v>
      </c>
      <c r="R10" s="6">
        <f t="shared" si="1"/>
        <v>5.7088546366739684E-2</v>
      </c>
      <c r="S10" s="5">
        <f t="shared" si="2"/>
        <v>0</v>
      </c>
      <c r="T10" s="6">
        <f t="shared" si="3"/>
        <v>95.927143997488358</v>
      </c>
      <c r="U10" s="1">
        <f t="shared" si="3"/>
        <v>95.927143997488358</v>
      </c>
      <c r="V10" s="1">
        <f t="shared" si="3"/>
        <v>95.927143997488358</v>
      </c>
      <c r="X10" s="9"/>
      <c r="Y10" s="2"/>
      <c r="Z10" s="2"/>
      <c r="AA10" s="2"/>
      <c r="AB10" s="2"/>
      <c r="AC10" s="2"/>
      <c r="AD10" s="1"/>
      <c r="AE10" s="1"/>
      <c r="AF10" s="1" t="s">
        <v>24</v>
      </c>
      <c r="AG10" s="1">
        <v>0</v>
      </c>
      <c r="AH10" s="1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>
      <c r="B11" s="7">
        <v>24.236000000000001</v>
      </c>
      <c r="C11" s="8">
        <v>1.2169E-10</v>
      </c>
      <c r="D11" s="8">
        <v>1.2169E-10</v>
      </c>
      <c r="E11" s="8">
        <v>1.2169E-10</v>
      </c>
      <c r="F11" s="1">
        <v>2.9648E-12</v>
      </c>
      <c r="G11" s="1">
        <v>4.8766999999999999E-17</v>
      </c>
      <c r="H11" s="1">
        <v>2.4987999999999998E-12</v>
      </c>
      <c r="I11" s="1">
        <v>1.0322E-13</v>
      </c>
      <c r="J11" s="8"/>
      <c r="K11" s="1"/>
      <c r="L11" s="1"/>
      <c r="M11" s="1"/>
      <c r="N11" s="7"/>
      <c r="O11">
        <f t="shared" si="4"/>
        <v>0.40393333333333337</v>
      </c>
      <c r="P11" s="6">
        <f t="shared" si="5"/>
        <v>99.921322541388946</v>
      </c>
      <c r="Q11" s="6">
        <f t="shared" si="0"/>
        <v>4.2899856261330713</v>
      </c>
      <c r="R11" s="6">
        <f t="shared" si="1"/>
        <v>8.1086010333568576E-2</v>
      </c>
      <c r="S11" s="5">
        <f t="shared" si="2"/>
        <v>0</v>
      </c>
      <c r="T11" s="6">
        <f t="shared" si="3"/>
        <v>95.550250904922294</v>
      </c>
      <c r="U11" s="1">
        <f t="shared" si="3"/>
        <v>95.550250904922294</v>
      </c>
      <c r="V11" s="1">
        <f t="shared" si="3"/>
        <v>95.550250904922294</v>
      </c>
      <c r="X11" s="9"/>
      <c r="Y11" s="2"/>
      <c r="Z11" s="2"/>
      <c r="AA11" s="16"/>
      <c r="AB11" s="11" t="s">
        <v>33</v>
      </c>
      <c r="AC11" s="2"/>
      <c r="AD11" s="1"/>
      <c r="AE11" s="1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B12" s="7">
        <v>28.332000000000001</v>
      </c>
      <c r="C12" s="8">
        <v>1.2120999999999999E-10</v>
      </c>
      <c r="D12" s="8">
        <v>1.2120999999999999E-10</v>
      </c>
      <c r="E12" s="8">
        <v>1.2120999999999999E-10</v>
      </c>
      <c r="F12" s="1">
        <v>2.9518E-12</v>
      </c>
      <c r="G12" s="1">
        <v>5.5836999999999996E-17</v>
      </c>
      <c r="H12" s="1">
        <v>2.9552000000000002E-12</v>
      </c>
      <c r="I12" s="1">
        <v>1.3860000000000001E-13</v>
      </c>
      <c r="J12" s="8"/>
      <c r="K12" s="1"/>
      <c r="L12" s="1"/>
      <c r="M12" s="1"/>
      <c r="N12" s="7"/>
      <c r="O12">
        <f t="shared" si="4"/>
        <v>0.47220000000000001</v>
      </c>
      <c r="P12" s="6">
        <f t="shared" si="5"/>
        <v>99.920370156099835</v>
      </c>
      <c r="Q12" s="6">
        <f t="shared" si="0"/>
        <v>4.6381406203909608</v>
      </c>
      <c r="R12" s="6">
        <f t="shared" si="1"/>
        <v>0.10887172335263381</v>
      </c>
      <c r="S12" s="5">
        <f t="shared" si="2"/>
        <v>0</v>
      </c>
      <c r="T12" s="6">
        <f t="shared" si="3"/>
        <v>95.173357812356244</v>
      </c>
      <c r="U12" s="1">
        <f t="shared" si="3"/>
        <v>95.173357812356244</v>
      </c>
      <c r="V12" s="1">
        <f t="shared" si="3"/>
        <v>95.173357812356244</v>
      </c>
      <c r="X12" s="9"/>
      <c r="Y12" s="2"/>
      <c r="Z12" s="2"/>
      <c r="AA12" s="12" t="s">
        <v>32</v>
      </c>
      <c r="AB12" s="17">
        <f>AC8</f>
        <v>21.979865771812079</v>
      </c>
      <c r="AC12" s="2"/>
      <c r="AD12" s="1"/>
      <c r="AE12" s="1"/>
      <c r="AF12" s="1" t="s">
        <v>51</v>
      </c>
      <c r="AG12" s="1" t="s">
        <v>52</v>
      </c>
      <c r="AH12" s="1" t="s">
        <v>53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>
      <c r="B13" s="7">
        <v>32.427999999999997</v>
      </c>
      <c r="C13" s="8">
        <v>1.2072E-10</v>
      </c>
      <c r="D13" s="8">
        <v>1.2072E-10</v>
      </c>
      <c r="E13" s="8">
        <v>1.2072E-10</v>
      </c>
      <c r="F13" s="1">
        <v>2.9389999999999999E-12</v>
      </c>
      <c r="G13" s="1">
        <v>6.1190000000000002E-17</v>
      </c>
      <c r="H13" s="1">
        <v>3.4101000000000002E-12</v>
      </c>
      <c r="I13" s="1">
        <v>1.7806999999999999E-13</v>
      </c>
      <c r="J13" s="8"/>
      <c r="K13" s="1"/>
      <c r="L13" s="1"/>
      <c r="M13" s="1"/>
      <c r="N13" s="7"/>
      <c r="O13">
        <f t="shared" si="4"/>
        <v>0.54046666666666665</v>
      </c>
      <c r="P13" s="6">
        <f t="shared" si="5"/>
        <v>99.913755174304825</v>
      </c>
      <c r="Q13" s="6">
        <f t="shared" si="0"/>
        <v>4.9852748625231511</v>
      </c>
      <c r="R13" s="6">
        <f t="shared" si="1"/>
        <v>0.13986753141993907</v>
      </c>
      <c r="S13" s="5">
        <f t="shared" si="2"/>
        <v>0</v>
      </c>
      <c r="T13" s="6">
        <f t="shared" si="3"/>
        <v>94.788612780361731</v>
      </c>
      <c r="U13" s="1">
        <f t="shared" si="3"/>
        <v>94.788612780361731</v>
      </c>
      <c r="V13" s="1">
        <f t="shared" si="3"/>
        <v>94.788612780361731</v>
      </c>
      <c r="X13" s="9"/>
      <c r="Y13" s="2"/>
      <c r="Z13" s="2"/>
      <c r="AA13" s="13" t="s">
        <v>31</v>
      </c>
      <c r="AB13" s="18">
        <f>AA8</f>
        <v>8.6353467561521242</v>
      </c>
      <c r="AC13" s="2"/>
      <c r="AD13" s="1"/>
      <c r="AE13" s="1"/>
      <c r="AF13" s="1" t="s">
        <v>54</v>
      </c>
      <c r="AG13" s="1" t="s">
        <v>55</v>
      </c>
      <c r="AH13" s="1" t="s">
        <v>56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>
      <c r="B14" s="7">
        <v>40.619999999999997</v>
      </c>
      <c r="C14" s="8">
        <v>1.1973999999999999E-10</v>
      </c>
      <c r="D14" s="8">
        <v>1.1973999999999999E-10</v>
      </c>
      <c r="E14" s="8">
        <v>1.1973999999999999E-10</v>
      </c>
      <c r="F14" s="1">
        <v>2.9138E-12</v>
      </c>
      <c r="G14" s="1">
        <v>6.7669000000000006E-17</v>
      </c>
      <c r="H14" s="1">
        <v>4.3152E-12</v>
      </c>
      <c r="I14" s="1">
        <v>2.6629000000000002E-13</v>
      </c>
      <c r="J14" s="8"/>
      <c r="K14" s="1"/>
      <c r="L14" s="1"/>
      <c r="M14" s="1"/>
      <c r="N14" s="7"/>
      <c r="O14">
        <f t="shared" si="4"/>
        <v>0.67699999999999994</v>
      </c>
      <c r="P14" s="6">
        <f t="shared" si="5"/>
        <v>99.904432157535368</v>
      </c>
      <c r="Q14" s="6">
        <f t="shared" si="0"/>
        <v>5.6761670128332922</v>
      </c>
      <c r="R14" s="6">
        <f t="shared" si="1"/>
        <v>0.20914242832936347</v>
      </c>
      <c r="S14" s="5">
        <f t="shared" si="2"/>
        <v>0</v>
      </c>
      <c r="T14" s="6">
        <f t="shared" si="3"/>
        <v>94.019122716372721</v>
      </c>
      <c r="U14" s="1">
        <f t="shared" si="3"/>
        <v>94.019122716372721</v>
      </c>
      <c r="V14" s="1">
        <f t="shared" si="3"/>
        <v>94.019122716372721</v>
      </c>
      <c r="X14" s="9"/>
      <c r="Y14" s="2"/>
      <c r="Z14" s="2"/>
      <c r="AA14" s="14" t="s">
        <v>30</v>
      </c>
      <c r="AB14" s="19">
        <f>Z8</f>
        <v>69.37919463087249</v>
      </c>
      <c r="AC14" s="2"/>
      <c r="AD14" s="1"/>
      <c r="AE14" s="1"/>
      <c r="AF14" s="1" t="s">
        <v>57</v>
      </c>
      <c r="AG14" s="1" t="s">
        <v>58</v>
      </c>
      <c r="AH14" s="1" t="s">
        <v>59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8" thickBot="1">
      <c r="B15" s="7">
        <v>48.811999999999998</v>
      </c>
      <c r="C15" s="8">
        <v>1.1876000000000001E-10</v>
      </c>
      <c r="D15" s="8">
        <v>1.1876000000000001E-10</v>
      </c>
      <c r="E15" s="8">
        <v>1.1876000000000001E-10</v>
      </c>
      <c r="F15" s="1">
        <v>2.8890999999999999E-12</v>
      </c>
      <c r="G15" s="1">
        <v>7.2614999999999998E-17</v>
      </c>
      <c r="H15" s="1">
        <v>5.2138000000000003E-12</v>
      </c>
      <c r="I15" s="1">
        <v>3.6365999999999999E-13</v>
      </c>
      <c r="J15" s="8"/>
      <c r="K15" s="1"/>
      <c r="L15" s="1"/>
      <c r="M15" s="1"/>
      <c r="N15" s="7"/>
      <c r="O15">
        <f t="shared" si="4"/>
        <v>0.81353333333333333</v>
      </c>
      <c r="P15" s="6">
        <f t="shared" si="5"/>
        <v>99.897581297983578</v>
      </c>
      <c r="Q15" s="6">
        <f t="shared" si="0"/>
        <v>6.3623479994863574</v>
      </c>
      <c r="R15" s="6">
        <f t="shared" si="1"/>
        <v>0.28560064611351388</v>
      </c>
      <c r="S15" s="5">
        <f t="shared" si="2"/>
        <v>0</v>
      </c>
      <c r="T15" s="6">
        <f t="shared" si="3"/>
        <v>93.24963265238371</v>
      </c>
      <c r="U15" s="1">
        <f t="shared" si="3"/>
        <v>93.24963265238371</v>
      </c>
      <c r="V15" s="1">
        <f t="shared" si="3"/>
        <v>93.24963265238371</v>
      </c>
      <c r="X15" s="1"/>
      <c r="Y15" s="5"/>
      <c r="Z15" s="1"/>
      <c r="AA15" s="15" t="s">
        <v>11</v>
      </c>
      <c r="AB15" s="20">
        <f>AB8</f>
        <v>0</v>
      </c>
      <c r="AC15" s="1"/>
      <c r="AD15" s="1"/>
      <c r="AE15" s="1"/>
      <c r="AF15" s="1" t="s">
        <v>19</v>
      </c>
      <c r="AG15" s="1">
        <v>0.1</v>
      </c>
      <c r="AH15" s="1">
        <v>0.1</v>
      </c>
      <c r="AI15" s="1" t="s">
        <v>47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>
      <c r="B16" s="7">
        <v>57.003999999999998</v>
      </c>
      <c r="C16" s="8">
        <v>1.1778000000000001E-10</v>
      </c>
      <c r="D16" s="8">
        <v>1.1778000000000001E-10</v>
      </c>
      <c r="E16" s="8">
        <v>1.1778000000000001E-10</v>
      </c>
      <c r="F16" s="1">
        <v>2.8647000000000001E-12</v>
      </c>
      <c r="G16" s="1">
        <v>7.6725999999999997E-17</v>
      </c>
      <c r="H16" s="1">
        <v>6.1058000000000001E-12</v>
      </c>
      <c r="I16" s="1">
        <v>4.6679999999999999E-13</v>
      </c>
      <c r="J16" s="8"/>
      <c r="K16" s="1"/>
      <c r="L16" s="1"/>
      <c r="M16" s="1"/>
      <c r="N16" s="7"/>
      <c r="O16">
        <f t="shared" si="4"/>
        <v>0.95006666666666661</v>
      </c>
      <c r="P16" s="6">
        <f t="shared" si="5"/>
        <v>99.89031363000511</v>
      </c>
      <c r="Q16" s="6">
        <f t="shared" si="0"/>
        <v>7.0435822642994941</v>
      </c>
      <c r="R16" s="6">
        <f t="shared" si="1"/>
        <v>0.36658877731094308</v>
      </c>
      <c r="S16" s="5">
        <f t="shared" si="2"/>
        <v>0</v>
      </c>
      <c r="T16" s="6">
        <f t="shared" si="3"/>
        <v>92.480142588394685</v>
      </c>
      <c r="U16" s="1">
        <f t="shared" si="3"/>
        <v>92.480142588394685</v>
      </c>
      <c r="V16" s="1">
        <f t="shared" si="3"/>
        <v>92.480142588394685</v>
      </c>
      <c r="X16" s="1"/>
      <c r="AD16" s="1"/>
      <c r="AE16" s="1"/>
      <c r="AF16" s="1" t="s">
        <v>63</v>
      </c>
      <c r="AG16" s="1" t="s">
        <v>64</v>
      </c>
      <c r="AH16" s="1" t="s">
        <v>65</v>
      </c>
      <c r="AI16" s="1" t="s">
        <v>66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>
      <c r="B17" s="7">
        <v>65.195999999999998</v>
      </c>
      <c r="C17" s="8">
        <v>1.168E-10</v>
      </c>
      <c r="D17" s="8">
        <v>1.168E-10</v>
      </c>
      <c r="E17" s="8">
        <v>1.168E-10</v>
      </c>
      <c r="F17" s="1">
        <v>2.8404999999999999E-12</v>
      </c>
      <c r="G17" s="1">
        <v>7.8555000000000001E-17</v>
      </c>
      <c r="H17" s="1">
        <v>6.9910000000000004E-12</v>
      </c>
      <c r="I17" s="1">
        <v>5.7339999999999996E-13</v>
      </c>
      <c r="J17" s="8"/>
      <c r="K17" s="1"/>
      <c r="L17" s="1"/>
      <c r="M17" s="1"/>
      <c r="N17" s="7"/>
      <c r="O17">
        <f t="shared" si="4"/>
        <v>1.0866</v>
      </c>
      <c r="P17" s="6">
        <f t="shared" si="5"/>
        <v>99.880578661233542</v>
      </c>
      <c r="Q17" s="6">
        <f t="shared" si="0"/>
        <v>7.7196342490898475</v>
      </c>
      <c r="R17" s="6">
        <f t="shared" si="1"/>
        <v>0.45029188773804163</v>
      </c>
      <c r="S17" s="5">
        <f t="shared" si="2"/>
        <v>0</v>
      </c>
      <c r="T17" s="6">
        <f t="shared" si="3"/>
        <v>91.71065252440566</v>
      </c>
      <c r="U17" s="1">
        <f t="shared" si="3"/>
        <v>91.71065252440566</v>
      </c>
      <c r="V17" s="1">
        <f t="shared" si="3"/>
        <v>91.71065252440566</v>
      </c>
      <c r="X17" s="5"/>
      <c r="Y17" s="5"/>
      <c r="Z17" s="5"/>
      <c r="AA17" s="5"/>
      <c r="AB17" s="5"/>
      <c r="AC17" s="1"/>
      <c r="AD17" s="5"/>
      <c r="AE17" s="5"/>
      <c r="AF17" s="1" t="s">
        <v>67</v>
      </c>
      <c r="AG17" s="1">
        <v>0.7</v>
      </c>
      <c r="AH17" s="1">
        <v>0.7</v>
      </c>
      <c r="AI17" s="1" t="s">
        <v>68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>
      <c r="B18" s="7">
        <v>73.388000000000005</v>
      </c>
      <c r="C18" s="8">
        <v>1.1583E-10</v>
      </c>
      <c r="D18" s="8">
        <v>1.1583E-10</v>
      </c>
      <c r="E18" s="8">
        <v>1.1583E-10</v>
      </c>
      <c r="F18" s="1">
        <v>2.8165999999999999E-12</v>
      </c>
      <c r="G18" s="1">
        <v>7.9753000000000004E-17</v>
      </c>
      <c r="H18" s="1">
        <v>7.8692999999999992E-12</v>
      </c>
      <c r="I18" s="1">
        <v>6.8189999999999995E-13</v>
      </c>
      <c r="J18" s="8"/>
      <c r="K18" s="1"/>
      <c r="L18" s="1"/>
      <c r="M18" s="1"/>
      <c r="N18" s="7"/>
      <c r="O18">
        <f t="shared" si="4"/>
        <v>1.2231333333333334</v>
      </c>
      <c r="P18" s="6">
        <f t="shared" si="5"/>
        <v>99.875004724901686</v>
      </c>
      <c r="Q18" s="6">
        <f t="shared" si="0"/>
        <v>8.3905039538574169</v>
      </c>
      <c r="R18" s="6">
        <f t="shared" si="1"/>
        <v>0.53548637119916942</v>
      </c>
      <c r="S18" s="5">
        <f t="shared" si="2"/>
        <v>0</v>
      </c>
      <c r="T18" s="6">
        <f t="shared" ref="T18:V81" si="6">C18/$A$1*100</f>
        <v>90.949014399845098</v>
      </c>
      <c r="U18" s="1">
        <f t="shared" si="6"/>
        <v>90.949014399845098</v>
      </c>
      <c r="V18" s="1">
        <f t="shared" si="6"/>
        <v>90.949014399845098</v>
      </c>
      <c r="X18" s="5"/>
      <c r="Y18" s="5"/>
      <c r="Z18" s="5"/>
      <c r="AA18" s="5"/>
      <c r="AB18" s="5"/>
      <c r="AC18" s="1"/>
      <c r="AD18" s="5"/>
      <c r="AE18" s="5"/>
      <c r="AF18" t="s">
        <v>69</v>
      </c>
      <c r="AG18" s="1" t="s">
        <v>70</v>
      </c>
      <c r="AH18" s="1" t="s">
        <v>71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>
      <c r="B19" s="7">
        <v>81.58</v>
      </c>
      <c r="C19" s="8">
        <v>1.1486E-10</v>
      </c>
      <c r="D19" s="8">
        <v>1.1486E-10</v>
      </c>
      <c r="E19" s="8">
        <v>1.1486E-10</v>
      </c>
      <c r="F19" s="1">
        <v>2.7929999999999999E-12</v>
      </c>
      <c r="G19" s="1">
        <v>7.9788000000000001E-17</v>
      </c>
      <c r="H19" s="1">
        <v>8.7404999999999998E-12</v>
      </c>
      <c r="I19" s="1">
        <v>7.9128000000000004E-13</v>
      </c>
      <c r="J19" s="8"/>
      <c r="K19" s="1"/>
      <c r="L19" s="1"/>
      <c r="M19" s="1"/>
      <c r="N19" s="7"/>
      <c r="O19">
        <f t="shared" si="4"/>
        <v>1.3596666666666666</v>
      </c>
      <c r="P19" s="6">
        <f t="shared" si="5"/>
        <v>99.864781527247629</v>
      </c>
      <c r="Q19" s="6">
        <f t="shared" si="0"/>
        <v>9.0560343398136354</v>
      </c>
      <c r="R19" s="6">
        <f t="shared" si="1"/>
        <v>0.62137091214944629</v>
      </c>
      <c r="S19" s="5">
        <f t="shared" si="2"/>
        <v>0</v>
      </c>
      <c r="T19" s="6">
        <f t="shared" si="6"/>
        <v>90.187376275284535</v>
      </c>
      <c r="U19" s="1">
        <f t="shared" si="6"/>
        <v>90.187376275284535</v>
      </c>
      <c r="V19" s="1">
        <f t="shared" si="6"/>
        <v>90.187376275284535</v>
      </c>
      <c r="X19" s="5"/>
      <c r="Y19" s="5"/>
      <c r="Z19" s="5"/>
      <c r="AA19" s="5"/>
      <c r="AB19" s="5"/>
      <c r="AC19" s="1"/>
      <c r="AD19" s="5"/>
      <c r="AE19" s="5"/>
      <c r="AF19" t="s">
        <v>72</v>
      </c>
      <c r="AG19" s="1" t="s">
        <v>73</v>
      </c>
      <c r="AH19" s="1" t="s">
        <v>74</v>
      </c>
      <c r="AI19" s="1" t="s">
        <v>75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>
      <c r="B20" s="7">
        <v>97.963999999999999</v>
      </c>
      <c r="C20" s="8">
        <v>1.1295E-10</v>
      </c>
      <c r="D20" s="8">
        <v>1.1295E-10</v>
      </c>
      <c r="E20" s="8">
        <v>1.1295E-10</v>
      </c>
      <c r="F20" s="1">
        <v>2.7463000000000001E-12</v>
      </c>
      <c r="G20" s="1">
        <v>7.7152999999999996E-17</v>
      </c>
      <c r="H20" s="1">
        <v>1.0462E-11</v>
      </c>
      <c r="I20" s="1">
        <v>1.0102000000000001E-12</v>
      </c>
      <c r="J20" s="8"/>
      <c r="K20" s="1"/>
      <c r="L20" s="1"/>
      <c r="M20" s="1"/>
      <c r="N20" s="7"/>
      <c r="O20">
        <f t="shared" si="4"/>
        <v>1.6327333333333334</v>
      </c>
      <c r="P20" s="6">
        <f t="shared" si="5"/>
        <v>99.851996500872048</v>
      </c>
      <c r="Q20" s="6">
        <f t="shared" si="0"/>
        <v>10.371077155292014</v>
      </c>
      <c r="R20" s="6">
        <f t="shared" si="1"/>
        <v>0.79326350113123989</v>
      </c>
      <c r="S20" s="5">
        <f t="shared" si="2"/>
        <v>0</v>
      </c>
      <c r="T20" s="6">
        <f t="shared" si="6"/>
        <v>88.687655844448784</v>
      </c>
      <c r="U20" s="1">
        <f t="shared" si="6"/>
        <v>88.687655844448784</v>
      </c>
      <c r="V20" s="1">
        <f t="shared" si="6"/>
        <v>88.687655844448784</v>
      </c>
      <c r="X20" s="5"/>
      <c r="Y20" s="5"/>
      <c r="Z20" s="5"/>
      <c r="AA20" s="5"/>
      <c r="AB20" s="5"/>
      <c r="AC20" s="1"/>
      <c r="AD20" s="5"/>
      <c r="AE20" s="5"/>
      <c r="AF20" t="s">
        <v>76</v>
      </c>
      <c r="AG20" s="1" t="s">
        <v>77</v>
      </c>
      <c r="AH20" s="1" t="s">
        <v>78</v>
      </c>
      <c r="AI20" s="1" t="s">
        <v>79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>
      <c r="B21" s="7">
        <v>114.35</v>
      </c>
      <c r="C21" s="8">
        <v>1.1107E-10</v>
      </c>
      <c r="D21" s="8">
        <v>1.1107E-10</v>
      </c>
      <c r="E21" s="8">
        <v>1.1107E-10</v>
      </c>
      <c r="F21" s="1">
        <v>2.7004000000000001E-12</v>
      </c>
      <c r="G21" s="1">
        <v>7.6186999999999997E-17</v>
      </c>
      <c r="H21" s="1">
        <v>1.2155000000000001E-11</v>
      </c>
      <c r="I21" s="1">
        <v>1.2275999999999999E-12</v>
      </c>
      <c r="J21" s="8"/>
      <c r="K21" s="1"/>
      <c r="L21" s="1"/>
      <c r="M21" s="1"/>
      <c r="N21" s="7"/>
      <c r="O21">
        <f t="shared" si="4"/>
        <v>1.9058333333333333</v>
      </c>
      <c r="P21" s="6">
        <f t="shared" si="5"/>
        <v>99.839825236260594</v>
      </c>
      <c r="Q21" s="6">
        <f t="shared" si="0"/>
        <v>11.664370098553562</v>
      </c>
      <c r="R21" s="6">
        <f t="shared" si="1"/>
        <v>0.96396390580859803</v>
      </c>
      <c r="S21" s="5">
        <f t="shared" si="2"/>
        <v>0</v>
      </c>
      <c r="T21" s="6">
        <f t="shared" si="6"/>
        <v>87.211491231898435</v>
      </c>
      <c r="U21" s="1">
        <f t="shared" si="6"/>
        <v>87.211491231898435</v>
      </c>
      <c r="V21" s="1">
        <f t="shared" si="6"/>
        <v>87.211491231898435</v>
      </c>
      <c r="X21" s="5"/>
      <c r="Y21" s="5"/>
      <c r="Z21" s="5"/>
      <c r="AA21" s="5"/>
      <c r="AB21" s="5"/>
      <c r="AC21" s="1"/>
      <c r="AD21" s="5"/>
      <c r="AE21" s="5"/>
      <c r="AF21" t="s">
        <v>80</v>
      </c>
      <c r="AG21" s="1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49"/>
      <c r="AW21" s="49"/>
      <c r="AX21" s="49"/>
      <c r="AY21" s="49"/>
      <c r="AZ21" s="49"/>
      <c r="BA21" s="49"/>
      <c r="BB21" s="49"/>
      <c r="BC21" s="49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>
      <c r="B22" s="7">
        <v>130.72999999999999</v>
      </c>
      <c r="C22" s="8">
        <v>1.0921E-10</v>
      </c>
      <c r="D22" s="8">
        <v>1.0921E-10</v>
      </c>
      <c r="E22" s="8">
        <v>1.0921E-10</v>
      </c>
      <c r="F22" s="1">
        <v>2.6552999999999998E-12</v>
      </c>
      <c r="G22" s="1">
        <v>7.6905999999999994E-17</v>
      </c>
      <c r="H22" s="1">
        <v>1.382E-11</v>
      </c>
      <c r="I22" s="1">
        <v>1.4425E-12</v>
      </c>
      <c r="J22" s="8"/>
      <c r="K22" s="1"/>
      <c r="L22" s="1"/>
      <c r="M22" s="1"/>
      <c r="N22" s="7"/>
      <c r="O22">
        <f t="shared" si="4"/>
        <v>2.178833333333333</v>
      </c>
      <c r="P22" s="6">
        <f t="shared" si="5"/>
        <v>99.820038913455321</v>
      </c>
      <c r="Q22" s="6">
        <f t="shared" si="0"/>
        <v>12.936305766569694</v>
      </c>
      <c r="R22" s="6">
        <f t="shared" si="1"/>
        <v>1.1327026486806353</v>
      </c>
      <c r="S22" s="5">
        <f t="shared" si="2"/>
        <v>0</v>
      </c>
      <c r="T22" s="6">
        <f t="shared" si="6"/>
        <v>85.751030498204983</v>
      </c>
      <c r="U22" s="1">
        <f t="shared" si="6"/>
        <v>85.751030498204983</v>
      </c>
      <c r="V22" s="1">
        <f t="shared" si="6"/>
        <v>85.751030498204983</v>
      </c>
      <c r="X22" s="5"/>
      <c r="Y22" s="5"/>
      <c r="Z22" s="5"/>
      <c r="AA22" s="5"/>
      <c r="AB22" s="5"/>
      <c r="AC22" s="1"/>
      <c r="AD22" s="5"/>
      <c r="AE22" s="5"/>
      <c r="AF22" s="1" t="s">
        <v>144</v>
      </c>
      <c r="AG22" s="1" t="s">
        <v>145</v>
      </c>
      <c r="AH22" s="1" t="s">
        <v>146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>
      <c r="B23" s="7">
        <v>163.5</v>
      </c>
      <c r="C23" s="8">
        <v>1.056E-10</v>
      </c>
      <c r="D23" s="8">
        <v>1.056E-10</v>
      </c>
      <c r="E23" s="8">
        <v>1.056E-10</v>
      </c>
      <c r="F23" s="1">
        <v>2.5674000000000001E-12</v>
      </c>
      <c r="G23" s="1">
        <v>7.3249999999999995E-17</v>
      </c>
      <c r="H23" s="1">
        <v>1.7068000000000001E-11</v>
      </c>
      <c r="I23" s="1">
        <v>1.8626000000000002E-12</v>
      </c>
      <c r="J23" s="8"/>
      <c r="K23" s="1"/>
      <c r="L23" s="1"/>
      <c r="M23" s="1"/>
      <c r="N23" s="7"/>
      <c r="O23">
        <f t="shared" si="4"/>
        <v>2.7250000000000001</v>
      </c>
      <c r="P23" s="6">
        <f t="shared" si="5"/>
        <v>99.796637263289455</v>
      </c>
      <c r="Q23" s="6">
        <f t="shared" si="0"/>
        <v>15.417597145357147</v>
      </c>
      <c r="R23" s="6">
        <f t="shared" si="1"/>
        <v>1.4625597534011592</v>
      </c>
      <c r="S23" s="5">
        <f t="shared" si="2"/>
        <v>0</v>
      </c>
      <c r="T23" s="6">
        <f t="shared" si="6"/>
        <v>82.916480364531139</v>
      </c>
      <c r="U23" s="1">
        <f t="shared" si="6"/>
        <v>82.916480364531139</v>
      </c>
      <c r="V23" s="1">
        <f t="shared" si="6"/>
        <v>82.916480364531139</v>
      </c>
      <c r="X23" s="5"/>
      <c r="Y23" s="5"/>
      <c r="Z23" s="5"/>
      <c r="AA23" s="5"/>
      <c r="AB23" s="5"/>
      <c r="AC23" s="1"/>
      <c r="AD23" s="5"/>
      <c r="AE23" s="5"/>
      <c r="AF23" s="1" t="s">
        <v>147</v>
      </c>
      <c r="AG23" s="1" t="s">
        <v>148</v>
      </c>
      <c r="AH23" s="1" t="s">
        <v>149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>
      <c r="B24" s="7">
        <v>229.04</v>
      </c>
      <c r="C24" s="8">
        <v>9.8929000000000005E-11</v>
      </c>
      <c r="D24" s="8">
        <v>9.8929000000000005E-11</v>
      </c>
      <c r="E24" s="8">
        <v>9.8929000000000005E-11</v>
      </c>
      <c r="F24" s="1">
        <v>2.4051999999999999E-12</v>
      </c>
      <c r="G24" s="1">
        <v>6.8833999999999996E-17</v>
      </c>
      <c r="H24" s="1">
        <v>2.3253999999999999E-11</v>
      </c>
      <c r="I24" s="1">
        <v>2.6627999999999999E-12</v>
      </c>
      <c r="J24" s="8"/>
      <c r="K24" s="1"/>
      <c r="L24" s="1"/>
      <c r="M24" s="1"/>
      <c r="N24" s="7"/>
      <c r="O24">
        <f t="shared" si="4"/>
        <v>3.817333333333333</v>
      </c>
      <c r="P24" s="6">
        <f t="shared" si="5"/>
        <v>99.916768469128442</v>
      </c>
      <c r="Q24" s="6">
        <f t="shared" si="0"/>
        <v>20.147448418272511</v>
      </c>
      <c r="R24" s="6">
        <f t="shared" si="1"/>
        <v>2.0908684790500276</v>
      </c>
      <c r="S24" s="5">
        <f t="shared" si="2"/>
        <v>0</v>
      </c>
      <c r="T24" s="6">
        <f t="shared" si="6"/>
        <v>77.67845157180588</v>
      </c>
      <c r="U24" s="1">
        <f t="shared" si="6"/>
        <v>77.67845157180588</v>
      </c>
      <c r="V24" s="1">
        <f t="shared" si="6"/>
        <v>77.67845157180588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>
      <c r="B25" s="7">
        <v>294.57</v>
      </c>
      <c r="C25" s="8">
        <v>9.2684000000000005E-11</v>
      </c>
      <c r="D25" s="8">
        <v>9.2684000000000005E-11</v>
      </c>
      <c r="E25" s="8">
        <v>9.2684000000000005E-11</v>
      </c>
      <c r="F25" s="1">
        <v>2.2533000000000001E-12</v>
      </c>
      <c r="G25" s="1">
        <v>6.5873000000000001E-17</v>
      </c>
      <c r="H25" s="1">
        <v>2.9048000000000001E-11</v>
      </c>
      <c r="I25" s="1">
        <v>3.4128000000000002E-12</v>
      </c>
      <c r="J25" s="8"/>
      <c r="K25" s="1"/>
      <c r="L25" s="1"/>
      <c r="M25" s="1"/>
      <c r="N25" s="7"/>
      <c r="O25">
        <f t="shared" si="4"/>
        <v>4.9094999999999995</v>
      </c>
      <c r="P25" s="6">
        <f t="shared" si="5"/>
        <v>100.0322681731618</v>
      </c>
      <c r="Q25" s="6">
        <f t="shared" si="0"/>
        <v>24.577591163203586</v>
      </c>
      <c r="R25" s="6">
        <f t="shared" si="1"/>
        <v>2.6797616112252176</v>
      </c>
      <c r="S25" s="5">
        <f t="shared" si="2"/>
        <v>0</v>
      </c>
      <c r="T25" s="6">
        <f t="shared" si="6"/>
        <v>72.774915398733</v>
      </c>
      <c r="U25" s="1">
        <f t="shared" si="6"/>
        <v>72.774915398733</v>
      </c>
      <c r="V25" s="1">
        <f t="shared" si="6"/>
        <v>72.774915398733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>
      <c r="B26" s="7">
        <v>360.11</v>
      </c>
      <c r="C26" s="8">
        <v>8.6832999999999999E-11</v>
      </c>
      <c r="D26" s="8">
        <v>8.6832999999999999E-11</v>
      </c>
      <c r="E26" s="8">
        <v>8.6832999999999999E-11</v>
      </c>
      <c r="F26" s="1">
        <v>2.1110000000000002E-12</v>
      </c>
      <c r="G26" s="1">
        <v>6.1732000000000004E-17</v>
      </c>
      <c r="H26" s="1">
        <v>3.4475999999999998E-11</v>
      </c>
      <c r="I26" s="1">
        <v>4.1157999999999999E-12</v>
      </c>
      <c r="J26" s="8"/>
      <c r="K26" s="1"/>
      <c r="L26" s="1"/>
      <c r="M26" s="1"/>
      <c r="N26" s="7"/>
      <c r="O26">
        <f t="shared" si="4"/>
        <v>6.0018333333333338</v>
      </c>
      <c r="P26" s="6">
        <f t="shared" si="5"/>
        <v>100.14038612760356</v>
      </c>
      <c r="Q26" s="6">
        <f t="shared" si="0"/>
        <v>28.727890786904364</v>
      </c>
      <c r="R26" s="6">
        <f t="shared" si="1"/>
        <v>3.2317497015577947</v>
      </c>
      <c r="S26" s="5">
        <f t="shared" si="2"/>
        <v>0</v>
      </c>
      <c r="T26" s="6">
        <f t="shared" si="6"/>
        <v>68.180745639141406</v>
      </c>
      <c r="U26" s="1">
        <f t="shared" si="6"/>
        <v>68.180745639141406</v>
      </c>
      <c r="V26" s="1">
        <f t="shared" si="6"/>
        <v>68.180745639141406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>
      <c r="B27" s="7">
        <v>491.18</v>
      </c>
      <c r="C27" s="8">
        <v>7.5981999999999997E-11</v>
      </c>
      <c r="D27" s="8">
        <v>7.5981999999999997E-11</v>
      </c>
      <c r="E27" s="8">
        <v>7.5981999999999997E-11</v>
      </c>
      <c r="F27" s="1">
        <v>1.8472E-12</v>
      </c>
      <c r="G27" s="1">
        <v>5.2122E-17</v>
      </c>
      <c r="H27" s="1">
        <v>4.4322E-11</v>
      </c>
      <c r="I27" s="1">
        <v>5.3900000000000003E-12</v>
      </c>
      <c r="J27" s="8"/>
      <c r="K27" s="1"/>
      <c r="L27" s="1"/>
      <c r="M27" s="1"/>
      <c r="N27" s="7"/>
      <c r="O27">
        <f t="shared" si="4"/>
        <v>8.1863333333333337</v>
      </c>
      <c r="P27" s="6">
        <f t="shared" si="5"/>
        <v>100.14461862918114</v>
      </c>
      <c r="Q27" s="6">
        <f t="shared" si="0"/>
        <v>36.251776186042719</v>
      </c>
      <c r="R27" s="6">
        <f t="shared" si="1"/>
        <v>4.2322362778183003</v>
      </c>
      <c r="S27" s="5">
        <f t="shared" si="2"/>
        <v>0</v>
      </c>
      <c r="T27" s="6">
        <f t="shared" si="6"/>
        <v>59.660606165320118</v>
      </c>
      <c r="U27" s="1">
        <f t="shared" si="6"/>
        <v>59.660606165320118</v>
      </c>
      <c r="V27" s="1">
        <f t="shared" si="6"/>
        <v>59.660606165320118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>
      <c r="B28" s="7">
        <v>622.25</v>
      </c>
      <c r="C28" s="8">
        <v>6.6402000000000002E-11</v>
      </c>
      <c r="D28" s="8">
        <v>6.6402000000000002E-11</v>
      </c>
      <c r="E28" s="8">
        <v>6.6402000000000002E-11</v>
      </c>
      <c r="F28" s="1">
        <v>1.6143000000000001E-12</v>
      </c>
      <c r="G28" s="1">
        <v>4.5086000000000002E-17</v>
      </c>
      <c r="H28" s="1">
        <v>5.2932000000000003E-11</v>
      </c>
      <c r="I28" s="1">
        <v>6.5035000000000003E-12</v>
      </c>
      <c r="J28" s="8"/>
      <c r="K28" s="1"/>
      <c r="L28" s="1"/>
      <c r="M28" s="1"/>
      <c r="N28" s="7"/>
      <c r="O28">
        <f t="shared" si="4"/>
        <v>10.370833333333334</v>
      </c>
      <c r="P28" s="6">
        <f t="shared" si="5"/>
        <v>100.07441676606615</v>
      </c>
      <c r="Q28" s="6">
        <f t="shared" si="0"/>
        <v>42.829424364657434</v>
      </c>
      <c r="R28" s="6">
        <f t="shared" si="1"/>
        <v>5.1065442085526707</v>
      </c>
      <c r="S28" s="5">
        <f t="shared" si="2"/>
        <v>0</v>
      </c>
      <c r="T28" s="6">
        <f t="shared" si="6"/>
        <v>52.138448192856032</v>
      </c>
      <c r="U28" s="1">
        <f t="shared" si="6"/>
        <v>52.138448192856032</v>
      </c>
      <c r="V28" s="1">
        <f t="shared" si="6"/>
        <v>52.138448192856032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>
      <c r="B29" s="7">
        <v>753.32</v>
      </c>
      <c r="C29" s="8">
        <v>5.8003E-11</v>
      </c>
      <c r="D29" s="8">
        <v>5.8003E-11</v>
      </c>
      <c r="E29" s="8">
        <v>5.8003E-11</v>
      </c>
      <c r="F29" s="1">
        <v>1.4101E-12</v>
      </c>
      <c r="G29" s="1">
        <v>4.0569E-17</v>
      </c>
      <c r="H29" s="1">
        <v>6.0455E-11</v>
      </c>
      <c r="I29" s="1">
        <v>7.4769000000000002E-12</v>
      </c>
      <c r="J29" s="8"/>
      <c r="K29" s="1"/>
      <c r="L29" s="1"/>
      <c r="M29" s="1"/>
      <c r="N29" s="7"/>
      <c r="O29">
        <f t="shared" si="4"/>
        <v>12.555333333333333</v>
      </c>
      <c r="P29" s="6">
        <f t="shared" si="5"/>
        <v>99.990554506249154</v>
      </c>
      <c r="Q29" s="6">
        <f t="shared" si="0"/>
        <v>48.576101793558294</v>
      </c>
      <c r="R29" s="6">
        <f t="shared" si="1"/>
        <v>5.8708484457978685</v>
      </c>
      <c r="S29" s="5">
        <f t="shared" si="2"/>
        <v>0</v>
      </c>
      <c r="T29" s="6">
        <f t="shared" si="6"/>
        <v>45.543604266892991</v>
      </c>
      <c r="U29" s="1">
        <f t="shared" si="6"/>
        <v>45.543604266892991</v>
      </c>
      <c r="V29" s="1">
        <f t="shared" si="6"/>
        <v>45.543604266892991</v>
      </c>
      <c r="X29" s="5"/>
      <c r="Y29" s="5"/>
      <c r="Z29" s="5"/>
      <c r="AA29" s="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>
      <c r="B30" s="7">
        <v>1015.5</v>
      </c>
      <c r="C30" s="8">
        <v>4.4098999999999999E-11</v>
      </c>
      <c r="D30" s="8">
        <v>4.4098999999999999E-11</v>
      </c>
      <c r="E30" s="8">
        <v>4.4098999999999999E-11</v>
      </c>
      <c r="F30" s="1">
        <v>1.0721E-12</v>
      </c>
      <c r="G30" s="1">
        <v>3.0864999999999997E-17</v>
      </c>
      <c r="H30" s="1">
        <v>7.2802999999999997E-11</v>
      </c>
      <c r="I30" s="1">
        <v>9.0760000000000005E-12</v>
      </c>
      <c r="J30" s="8"/>
      <c r="K30" s="1"/>
      <c r="L30" s="1"/>
      <c r="M30" s="1"/>
      <c r="N30" s="7"/>
      <c r="O30">
        <f t="shared" si="4"/>
        <v>16.925000000000001</v>
      </c>
      <c r="P30" s="6">
        <f t="shared" si="5"/>
        <v>99.758993192981848</v>
      </c>
      <c r="Q30" s="6">
        <f t="shared" si="0"/>
        <v>58.006281047138017</v>
      </c>
      <c r="R30" s="6">
        <f t="shared" si="1"/>
        <v>7.126444460280787</v>
      </c>
      <c r="S30" s="5">
        <f t="shared" si="2"/>
        <v>0</v>
      </c>
      <c r="T30" s="6">
        <f t="shared" si="6"/>
        <v>34.626267685563057</v>
      </c>
      <c r="U30" s="1">
        <f t="shared" si="6"/>
        <v>34.626267685563057</v>
      </c>
      <c r="V30" s="1">
        <f t="shared" si="6"/>
        <v>34.626267685563057</v>
      </c>
      <c r="X30" s="5"/>
      <c r="Y30" s="5"/>
      <c r="Z30" s="5"/>
      <c r="AA30" s="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>
      <c r="B31" s="7">
        <v>1244.5999999999999</v>
      </c>
      <c r="C31" s="8">
        <v>3.4679999999999997E-11</v>
      </c>
      <c r="D31" s="8">
        <v>3.4679999999999997E-11</v>
      </c>
      <c r="E31" s="8">
        <v>3.4679999999999997E-11</v>
      </c>
      <c r="F31" s="1">
        <v>8.4312000000000005E-13</v>
      </c>
      <c r="G31" s="1">
        <v>2.3521E-17</v>
      </c>
      <c r="H31" s="1">
        <v>8.1131000000000004E-11</v>
      </c>
      <c r="I31" s="1">
        <v>1.0154000000000001E-11</v>
      </c>
      <c r="J31" s="8"/>
      <c r="K31" s="1"/>
      <c r="L31" s="1"/>
      <c r="M31" s="1"/>
      <c r="N31" s="7"/>
      <c r="O31">
        <f t="shared" si="4"/>
        <v>20.743333333333332</v>
      </c>
      <c r="P31" s="6">
        <f t="shared" si="5"/>
        <v>99.568986196227698</v>
      </c>
      <c r="Q31" s="6">
        <f t="shared" si="0"/>
        <v>64.365582494126144</v>
      </c>
      <c r="R31" s="6">
        <f t="shared" si="1"/>
        <v>7.9728777642043935</v>
      </c>
      <c r="S31" s="5">
        <f t="shared" si="2"/>
        <v>0</v>
      </c>
      <c r="T31" s="6">
        <f t="shared" si="6"/>
        <v>27.230525937897156</v>
      </c>
      <c r="U31" s="1">
        <f t="shared" si="6"/>
        <v>27.230525937897156</v>
      </c>
      <c r="V31" s="1">
        <f t="shared" si="6"/>
        <v>27.230525937897156</v>
      </c>
      <c r="X31" s="5"/>
      <c r="Y31" s="5"/>
      <c r="Z31" s="5"/>
      <c r="AA31" s="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>
      <c r="B32" s="7">
        <v>1473.8</v>
      </c>
      <c r="C32" s="8">
        <v>2.7267E-11</v>
      </c>
      <c r="D32" s="8">
        <v>2.7267E-11</v>
      </c>
      <c r="E32" s="8">
        <v>2.7267E-11</v>
      </c>
      <c r="F32" s="1">
        <v>6.6290000000000003E-13</v>
      </c>
      <c r="G32" s="1">
        <v>1.8583999999999999E-17</v>
      </c>
      <c r="H32" s="1">
        <v>8.7680000000000001E-11</v>
      </c>
      <c r="I32" s="1">
        <v>1.1000000000000001E-11</v>
      </c>
      <c r="J32" s="8"/>
      <c r="K32" s="1"/>
      <c r="L32" s="1"/>
      <c r="M32" s="1"/>
      <c r="N32" s="7"/>
      <c r="O32">
        <f t="shared" si="4"/>
        <v>24.563333333333333</v>
      </c>
      <c r="P32" s="6">
        <f t="shared" si="5"/>
        <v>99.413341176374274</v>
      </c>
      <c r="Q32" s="6">
        <f t="shared" si="0"/>
        <v>69.366309973444487</v>
      </c>
      <c r="R32" s="6">
        <f t="shared" si="1"/>
        <v>8.6371479633495625</v>
      </c>
      <c r="S32" s="5">
        <f t="shared" si="2"/>
        <v>0</v>
      </c>
      <c r="T32" s="6">
        <f t="shared" si="6"/>
        <v>21.409883239580214</v>
      </c>
      <c r="U32" s="1">
        <f t="shared" si="6"/>
        <v>21.409883239580214</v>
      </c>
      <c r="V32" s="1">
        <f t="shared" si="6"/>
        <v>21.409883239580214</v>
      </c>
      <c r="X32" s="5"/>
      <c r="Y32" s="5"/>
      <c r="Z32" s="5"/>
      <c r="AA32" s="5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>
      <c r="B33" s="7">
        <v>1680</v>
      </c>
      <c r="C33" s="8">
        <v>2.1972999999999999E-11</v>
      </c>
      <c r="D33" s="8">
        <v>2.1972999999999999E-11</v>
      </c>
      <c r="E33" s="8">
        <v>2.1972999999999999E-11</v>
      </c>
      <c r="F33" s="1">
        <v>5.3418999999999997E-13</v>
      </c>
      <c r="G33" s="1">
        <v>1.5407000000000001E-17</v>
      </c>
      <c r="H33" s="1">
        <v>9.2364999999999996E-11</v>
      </c>
      <c r="I33" s="1">
        <v>1.1606999999999999E-11</v>
      </c>
      <c r="J33" s="8"/>
      <c r="K33" s="1"/>
      <c r="L33" s="1"/>
      <c r="M33" s="1"/>
      <c r="N33" s="7"/>
      <c r="O33">
        <f t="shared" si="4"/>
        <v>28</v>
      </c>
      <c r="P33" s="6">
        <f t="shared" si="5"/>
        <v>99.310705981543705</v>
      </c>
      <c r="Q33" s="6">
        <f t="shared" si="0"/>
        <v>72.943881283294004</v>
      </c>
      <c r="R33" s="6">
        <f t="shared" si="1"/>
        <v>9.1137581920958901</v>
      </c>
      <c r="S33" s="5">
        <f t="shared" si="2"/>
        <v>0</v>
      </c>
      <c r="T33" s="6">
        <f t="shared" si="6"/>
        <v>17.253066506153814</v>
      </c>
      <c r="U33" s="1">
        <f t="shared" si="6"/>
        <v>17.253066506153814</v>
      </c>
      <c r="V33" s="1">
        <f t="shared" si="6"/>
        <v>17.253066506153814</v>
      </c>
      <c r="X33" s="5"/>
      <c r="Y33" s="5"/>
      <c r="Z33" s="5"/>
      <c r="AA33" s="5"/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>
      <c r="B34" s="7">
        <v>1886.2</v>
      </c>
      <c r="C34" s="8">
        <v>1.7709999999999999E-11</v>
      </c>
      <c r="D34" s="8">
        <v>1.7709999999999999E-11</v>
      </c>
      <c r="E34" s="8">
        <v>1.7709999999999999E-11</v>
      </c>
      <c r="F34" s="1">
        <v>4.3055000000000002E-13</v>
      </c>
      <c r="G34" s="1">
        <v>1.2377E-17</v>
      </c>
      <c r="H34" s="1">
        <v>9.6140999999999999E-11</v>
      </c>
      <c r="I34" s="1">
        <v>1.2096E-11</v>
      </c>
      <c r="J34" s="8"/>
      <c r="K34" s="1"/>
      <c r="L34" s="1"/>
      <c r="M34" s="1"/>
      <c r="N34" s="7"/>
      <c r="O34">
        <f t="shared" si="4"/>
        <v>31.436666666666667</v>
      </c>
      <c r="P34" s="6">
        <f t="shared" si="5"/>
        <v>99.230896490055216</v>
      </c>
      <c r="Q34" s="6">
        <f t="shared" si="0"/>
        <v>75.827396111243729</v>
      </c>
      <c r="R34" s="6">
        <f t="shared" si="1"/>
        <v>9.4977156510099068</v>
      </c>
      <c r="S34" s="5">
        <f t="shared" si="2"/>
        <v>0</v>
      </c>
      <c r="T34" s="6">
        <f t="shared" si="6"/>
        <v>13.905784727801576</v>
      </c>
      <c r="U34" s="1">
        <f t="shared" si="6"/>
        <v>13.905784727801576</v>
      </c>
      <c r="V34" s="1">
        <f t="shared" si="6"/>
        <v>13.905784727801576</v>
      </c>
      <c r="X34" s="5"/>
      <c r="Y34" s="5"/>
      <c r="Z34" s="5"/>
      <c r="AA34" s="5"/>
      <c r="AB34" s="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>
      <c r="B35" s="7">
        <v>2092.5</v>
      </c>
      <c r="C35" s="8">
        <v>1.4275E-11</v>
      </c>
      <c r="D35" s="8">
        <v>1.4275E-11</v>
      </c>
      <c r="E35" s="8">
        <v>1.4275E-11</v>
      </c>
      <c r="F35" s="1">
        <v>3.4704E-13</v>
      </c>
      <c r="G35" s="1">
        <v>9.8385999999999994E-18</v>
      </c>
      <c r="H35" s="1">
        <v>9.9183999999999996E-11</v>
      </c>
      <c r="I35" s="1">
        <v>1.249E-11</v>
      </c>
      <c r="J35" s="8"/>
      <c r="K35" s="1"/>
      <c r="L35" s="1"/>
      <c r="M35" s="1"/>
      <c r="N35" s="7"/>
      <c r="O35">
        <f t="shared" si="4"/>
        <v>34.875</v>
      </c>
      <c r="P35" s="6">
        <f t="shared" si="5"/>
        <v>99.166893338637536</v>
      </c>
      <c r="Q35" s="6">
        <f t="shared" si="0"/>
        <v>78.151169733156848</v>
      </c>
      <c r="R35" s="6">
        <f t="shared" si="1"/>
        <v>9.8070800713549033</v>
      </c>
      <c r="S35" s="5">
        <f t="shared" si="2"/>
        <v>0</v>
      </c>
      <c r="T35" s="6">
        <f t="shared" si="6"/>
        <v>11.208643534125777</v>
      </c>
      <c r="U35" s="1">
        <f t="shared" si="6"/>
        <v>11.208643534125777</v>
      </c>
      <c r="V35" s="1">
        <f t="shared" si="6"/>
        <v>11.208643534125777</v>
      </c>
      <c r="X35" s="5"/>
      <c r="Y35" s="5"/>
      <c r="Z35" s="5"/>
      <c r="AA35" s="5"/>
      <c r="AB35" s="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>
      <c r="B36" s="7">
        <v>2298.6999999999998</v>
      </c>
      <c r="C36" s="8">
        <v>1.1506E-11</v>
      </c>
      <c r="D36" s="8">
        <v>1.1506E-11</v>
      </c>
      <c r="E36" s="8">
        <v>1.1506E-11</v>
      </c>
      <c r="F36" s="1">
        <v>2.7973000000000001E-13</v>
      </c>
      <c r="G36" s="1">
        <v>7.9250999999999995E-18</v>
      </c>
      <c r="H36" s="1">
        <v>1.0164E-10</v>
      </c>
      <c r="I36" s="1">
        <v>1.2807000000000001E-11</v>
      </c>
      <c r="J36" s="8"/>
      <c r="K36" s="1"/>
      <c r="L36" s="1"/>
      <c r="M36" s="1"/>
      <c r="N36" s="7"/>
      <c r="O36">
        <f t="shared" si="4"/>
        <v>38.31166666666666</v>
      </c>
      <c r="P36" s="6">
        <f t="shared" si="5"/>
        <v>99.117181207647349</v>
      </c>
      <c r="Q36" s="6">
        <f t="shared" si="0"/>
        <v>80.026754652493509</v>
      </c>
      <c r="R36" s="6">
        <f t="shared" si="1"/>
        <v>10.055985048768456</v>
      </c>
      <c r="S36" s="5">
        <f t="shared" si="2"/>
        <v>0</v>
      </c>
      <c r="T36" s="6">
        <f t="shared" si="6"/>
        <v>9.034441506385372</v>
      </c>
      <c r="U36" s="1">
        <f t="shared" si="6"/>
        <v>9.034441506385372</v>
      </c>
      <c r="V36" s="1">
        <f t="shared" si="6"/>
        <v>9.034441506385372</v>
      </c>
      <c r="X36" s="5"/>
      <c r="Y36" s="5"/>
      <c r="Z36" s="5"/>
      <c r="AA36" s="5"/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>
      <c r="B37" s="7">
        <v>2504.9</v>
      </c>
      <c r="C37" s="8">
        <v>9.2745000000000005E-12</v>
      </c>
      <c r="D37" s="8">
        <v>9.2745000000000005E-12</v>
      </c>
      <c r="E37" s="8">
        <v>9.2745000000000005E-12</v>
      </c>
      <c r="F37" s="1">
        <v>2.2547999999999999E-13</v>
      </c>
      <c r="G37" s="1">
        <v>6.4533999999999999E-18</v>
      </c>
      <c r="H37" s="1">
        <v>1.0361E-10</v>
      </c>
      <c r="I37" s="1">
        <v>1.3063E-11</v>
      </c>
      <c r="J37" s="8"/>
      <c r="K37" s="1"/>
      <c r="L37" s="1"/>
      <c r="M37" s="1"/>
      <c r="N37" s="7"/>
      <c r="O37">
        <f t="shared" si="4"/>
        <v>41.748333333333335</v>
      </c>
      <c r="P37" s="6">
        <f t="shared" si="5"/>
        <v>99.070264713992373</v>
      </c>
      <c r="Q37" s="6">
        <f t="shared" si="0"/>
        <v>81.530989948500633</v>
      </c>
      <c r="R37" s="6">
        <f t="shared" si="1"/>
        <v>10.25699354256709</v>
      </c>
      <c r="S37" s="5">
        <f t="shared" si="2"/>
        <v>0</v>
      </c>
      <c r="T37" s="6">
        <f t="shared" si="6"/>
        <v>7.2822812229246612</v>
      </c>
      <c r="U37" s="1">
        <f t="shared" si="6"/>
        <v>7.2822812229246612</v>
      </c>
      <c r="V37" s="1">
        <f t="shared" si="6"/>
        <v>7.2822812229246612</v>
      </c>
      <c r="X37" s="5"/>
      <c r="Y37" s="5"/>
      <c r="Z37" s="5"/>
      <c r="AA37" s="5"/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>
      <c r="B38" s="7">
        <v>2711.2</v>
      </c>
      <c r="C38" s="8">
        <v>7.4758000000000001E-12</v>
      </c>
      <c r="D38" s="8">
        <v>7.4758000000000001E-12</v>
      </c>
      <c r="E38" s="8">
        <v>7.4758000000000001E-12</v>
      </c>
      <c r="F38" s="1">
        <v>1.8175000000000001E-13</v>
      </c>
      <c r="G38" s="1">
        <v>5.1889999999999999E-18</v>
      </c>
      <c r="H38" s="1">
        <v>1.0521E-10</v>
      </c>
      <c r="I38" s="1">
        <v>1.3268999999999999E-11</v>
      </c>
      <c r="J38" s="8"/>
      <c r="K38" s="1"/>
      <c r="L38" s="1"/>
      <c r="M38" s="1"/>
      <c r="N38" s="7"/>
      <c r="O38">
        <f t="shared" si="4"/>
        <v>45.18666666666666</v>
      </c>
      <c r="P38" s="6">
        <f t="shared" si="5"/>
        <v>99.041659105855274</v>
      </c>
      <c r="Q38" s="6">
        <f t="shared" si="0"/>
        <v>82.752963725933469</v>
      </c>
      <c r="R38" s="6">
        <f t="shared" si="1"/>
        <v>10.418742501994132</v>
      </c>
      <c r="S38" s="5">
        <f t="shared" si="2"/>
        <v>0</v>
      </c>
      <c r="T38" s="6">
        <f t="shared" si="6"/>
        <v>5.8699528779276697</v>
      </c>
      <c r="U38" s="1">
        <f t="shared" si="6"/>
        <v>5.8699528779276697</v>
      </c>
      <c r="V38" s="1">
        <f t="shared" si="6"/>
        <v>5.8699528779276697</v>
      </c>
      <c r="X38" s="5"/>
      <c r="Y38" s="5"/>
      <c r="Z38" s="5"/>
      <c r="AA38" s="5"/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>
      <c r="B39" s="7">
        <v>2917.4</v>
      </c>
      <c r="C39" s="8">
        <v>6.0260000000000004E-12</v>
      </c>
      <c r="D39" s="8">
        <v>6.0260000000000004E-12</v>
      </c>
      <c r="E39" s="8">
        <v>6.0260000000000004E-12</v>
      </c>
      <c r="F39" s="1">
        <v>1.4650000000000001E-13</v>
      </c>
      <c r="G39" s="1">
        <v>4.1554000000000002E-18</v>
      </c>
      <c r="H39" s="1">
        <v>1.0649E-10</v>
      </c>
      <c r="I39" s="1">
        <v>1.3435E-11</v>
      </c>
      <c r="J39" s="8"/>
      <c r="K39" s="1"/>
      <c r="L39" s="1"/>
      <c r="M39" s="1"/>
      <c r="N39" s="7"/>
      <c r="O39">
        <f t="shared" si="4"/>
        <v>48.623333333333335</v>
      </c>
      <c r="P39" s="6">
        <f t="shared" si="5"/>
        <v>99.010996470810682</v>
      </c>
      <c r="Q39" s="6">
        <f t="shared" si="0"/>
        <v>83.730333886290964</v>
      </c>
      <c r="R39" s="6">
        <f t="shared" si="1"/>
        <v>10.549083884930099</v>
      </c>
      <c r="S39" s="5">
        <f t="shared" si="2"/>
        <v>0</v>
      </c>
      <c r="T39" s="6">
        <f t="shared" si="6"/>
        <v>4.7315786995896278</v>
      </c>
      <c r="U39" s="1">
        <f t="shared" si="6"/>
        <v>4.7315786995896278</v>
      </c>
      <c r="V39" s="1">
        <f t="shared" si="6"/>
        <v>4.7315786995896278</v>
      </c>
      <c r="X39" s="5"/>
      <c r="Y39" s="5"/>
      <c r="Z39" s="5"/>
      <c r="AA39" s="5"/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>
      <c r="B40" s="7">
        <v>3123.6</v>
      </c>
      <c r="C40" s="8">
        <v>4.8573000000000003E-12</v>
      </c>
      <c r="D40" s="8">
        <v>4.8573000000000003E-12</v>
      </c>
      <c r="E40" s="8">
        <v>4.8573000000000003E-12</v>
      </c>
      <c r="F40" s="1">
        <v>1.1809E-13</v>
      </c>
      <c r="G40" s="1">
        <v>3.3551E-18</v>
      </c>
      <c r="H40" s="1">
        <v>1.0753E-10</v>
      </c>
      <c r="I40" s="1">
        <v>1.357E-11</v>
      </c>
      <c r="J40" s="8"/>
      <c r="K40" s="1"/>
      <c r="L40" s="1"/>
      <c r="M40" s="1"/>
      <c r="N40" s="7"/>
      <c r="O40">
        <f t="shared" si="4"/>
        <v>52.059999999999995</v>
      </c>
      <c r="P40" s="6">
        <f t="shared" si="5"/>
        <v>98.993635204343647</v>
      </c>
      <c r="Q40" s="6">
        <f t="shared" si="0"/>
        <v>84.524628226934482</v>
      </c>
      <c r="R40" s="6">
        <f t="shared" si="1"/>
        <v>10.655084438823588</v>
      </c>
      <c r="S40" s="5">
        <f t="shared" si="2"/>
        <v>0</v>
      </c>
      <c r="T40" s="6">
        <f t="shared" si="6"/>
        <v>3.8139225385855791</v>
      </c>
      <c r="U40" s="1">
        <f t="shared" si="6"/>
        <v>3.8139225385855791</v>
      </c>
      <c r="V40" s="1">
        <f t="shared" si="6"/>
        <v>3.8139225385855791</v>
      </c>
      <c r="X40" s="5"/>
      <c r="Y40" s="5"/>
      <c r="Z40" s="5"/>
      <c r="AA40" s="5"/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>
      <c r="B41" s="7">
        <v>3329.9</v>
      </c>
      <c r="C41" s="8">
        <v>3.9152999999999997E-12</v>
      </c>
      <c r="D41" s="8">
        <v>3.9152999999999997E-12</v>
      </c>
      <c r="E41" s="8">
        <v>3.9152999999999997E-12</v>
      </c>
      <c r="F41" s="1">
        <v>9.5185999999999997E-14</v>
      </c>
      <c r="G41" s="1">
        <v>2.7169000000000002E-18</v>
      </c>
      <c r="H41" s="1">
        <v>1.0836E-10</v>
      </c>
      <c r="I41" s="1">
        <v>1.3678E-11</v>
      </c>
      <c r="J41" s="8"/>
      <c r="K41" s="1"/>
      <c r="L41" s="1"/>
      <c r="M41" s="1"/>
      <c r="N41" s="7"/>
      <c r="O41">
        <f t="shared" si="4"/>
        <v>55.498333333333335</v>
      </c>
      <c r="P41" s="6">
        <f t="shared" si="5"/>
        <v>98.972509845394541</v>
      </c>
      <c r="Q41" s="6">
        <f t="shared" si="0"/>
        <v>85.158355117429679</v>
      </c>
      <c r="R41" s="6">
        <f t="shared" si="1"/>
        <v>10.739884883540176</v>
      </c>
      <c r="S41" s="5">
        <f t="shared" si="2"/>
        <v>0</v>
      </c>
      <c r="T41" s="6">
        <f t="shared" si="6"/>
        <v>3.0742698444247041</v>
      </c>
      <c r="U41" s="1">
        <f t="shared" si="6"/>
        <v>3.0742698444247041</v>
      </c>
      <c r="V41" s="1">
        <f t="shared" si="6"/>
        <v>3.0742698444247041</v>
      </c>
      <c r="X41" s="5"/>
      <c r="Y41" s="5"/>
      <c r="Z41" s="5"/>
      <c r="AA41" s="5"/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>
      <c r="B42" s="7">
        <v>3536.1</v>
      </c>
      <c r="C42" s="8">
        <v>3.1559999999999999E-12</v>
      </c>
      <c r="D42" s="8">
        <v>3.1559999999999999E-12</v>
      </c>
      <c r="E42" s="8">
        <v>3.1559999999999999E-12</v>
      </c>
      <c r="F42" s="1">
        <v>7.6726000000000005E-14</v>
      </c>
      <c r="G42" s="1">
        <v>2.1852000000000001E-18</v>
      </c>
      <c r="H42" s="1">
        <v>1.0904000000000001E-10</v>
      </c>
      <c r="I42" s="1">
        <v>1.3765E-11</v>
      </c>
      <c r="J42" s="8"/>
      <c r="K42" s="1"/>
      <c r="L42" s="1"/>
      <c r="M42" s="1"/>
      <c r="N42" s="7"/>
      <c r="O42">
        <f t="shared" si="4"/>
        <v>58.934999999999995</v>
      </c>
      <c r="P42" s="6">
        <f t="shared" si="5"/>
        <v>98.964060741081923</v>
      </c>
      <c r="Q42" s="6">
        <f t="shared" si="0"/>
        <v>85.677792318379971</v>
      </c>
      <c r="R42" s="6">
        <f t="shared" si="1"/>
        <v>10.808196339080153</v>
      </c>
      <c r="S42" s="5">
        <f t="shared" si="2"/>
        <v>0</v>
      </c>
      <c r="T42" s="6">
        <f t="shared" si="6"/>
        <v>2.4780720836217829</v>
      </c>
      <c r="U42" s="1">
        <f t="shared" si="6"/>
        <v>2.4780720836217829</v>
      </c>
      <c r="V42" s="1">
        <f t="shared" si="6"/>
        <v>2.4780720836217829</v>
      </c>
      <c r="X42" s="5"/>
      <c r="Y42" s="5"/>
      <c r="Z42" s="5"/>
      <c r="AA42" s="5"/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>
      <c r="B43" s="7">
        <v>3742.3</v>
      </c>
      <c r="C43" s="8">
        <v>2.5439000000000001E-12</v>
      </c>
      <c r="D43" s="8">
        <v>2.5439000000000001E-12</v>
      </c>
      <c r="E43" s="8">
        <v>2.5439000000000001E-12</v>
      </c>
      <c r="F43" s="1">
        <v>6.1845999999999997E-14</v>
      </c>
      <c r="G43" s="1">
        <v>1.7582E-18</v>
      </c>
      <c r="H43" s="1">
        <v>1.0958E-10</v>
      </c>
      <c r="I43" s="1">
        <v>1.3835E-11</v>
      </c>
      <c r="J43" s="8"/>
      <c r="K43" s="1"/>
      <c r="L43" s="1"/>
      <c r="M43" s="1"/>
      <c r="N43" s="7"/>
      <c r="O43">
        <f t="shared" si="4"/>
        <v>62.37166666666667</v>
      </c>
      <c r="P43" s="6">
        <f t="shared" si="5"/>
        <v>98.950727812654577</v>
      </c>
      <c r="Q43" s="6">
        <f t="shared" si="0"/>
        <v>86.090113361647241</v>
      </c>
      <c r="R43" s="6">
        <f t="shared" si="1"/>
        <v>10.863159579801556</v>
      </c>
      <c r="S43" s="5">
        <f t="shared" si="2"/>
        <v>0</v>
      </c>
      <c r="T43" s="6">
        <f t="shared" si="6"/>
        <v>1.9974548712057838</v>
      </c>
      <c r="U43" s="1">
        <f t="shared" si="6"/>
        <v>1.9974548712057838</v>
      </c>
      <c r="V43" s="1">
        <f t="shared" si="6"/>
        <v>1.9974548712057838</v>
      </c>
      <c r="X43" s="5"/>
      <c r="Y43" s="5"/>
      <c r="Z43" s="5"/>
      <c r="AA43" s="5"/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>
      <c r="B44" s="7">
        <v>3948.6</v>
      </c>
      <c r="C44" s="8">
        <v>2.0506000000000002E-12</v>
      </c>
      <c r="D44" s="8">
        <v>2.0506000000000002E-12</v>
      </c>
      <c r="E44" s="8">
        <v>2.0506000000000002E-12</v>
      </c>
      <c r="F44" s="1">
        <v>4.9852000000000003E-14</v>
      </c>
      <c r="G44" s="1">
        <v>1.4237E-18</v>
      </c>
      <c r="H44" s="1">
        <v>1.1002E-10</v>
      </c>
      <c r="I44" s="1">
        <v>1.3891E-11</v>
      </c>
      <c r="J44" s="8"/>
      <c r="K44" s="1"/>
      <c r="L44" s="1"/>
      <c r="M44" s="1"/>
      <c r="N44" s="7"/>
      <c r="O44">
        <f t="shared" si="4"/>
        <v>65.81</v>
      </c>
      <c r="P44" s="6">
        <f t="shared" si="5"/>
        <v>98.943429957502389</v>
      </c>
      <c r="Q44" s="6">
        <f t="shared" si="0"/>
        <v>86.42618108034894</v>
      </c>
      <c r="R44" s="6">
        <f t="shared" si="1"/>
        <v>10.907130177953553</v>
      </c>
      <c r="S44" s="5">
        <f t="shared" si="2"/>
        <v>0</v>
      </c>
      <c r="T44" s="6">
        <f t="shared" si="6"/>
        <v>1.6101186991998824</v>
      </c>
      <c r="U44" s="1">
        <f t="shared" si="6"/>
        <v>1.6101186991998824</v>
      </c>
      <c r="V44" s="1">
        <f t="shared" si="6"/>
        <v>1.6101186991998824</v>
      </c>
      <c r="X44" s="5"/>
      <c r="Y44" s="5"/>
      <c r="Z44" s="5"/>
      <c r="AA44" s="5"/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>
      <c r="B45" s="7">
        <v>4154.8</v>
      </c>
      <c r="C45" s="8">
        <v>1.6529E-12</v>
      </c>
      <c r="D45" s="8">
        <v>1.6529E-12</v>
      </c>
      <c r="E45" s="8">
        <v>1.6529E-12</v>
      </c>
      <c r="F45" s="1">
        <v>4.0183999999999998E-14</v>
      </c>
      <c r="G45" s="1">
        <v>1.1485000000000001E-18</v>
      </c>
      <c r="H45" s="1">
        <v>1.1037E-10</v>
      </c>
      <c r="I45" s="1">
        <v>1.3936999999999999E-11</v>
      </c>
      <c r="J45" s="8"/>
      <c r="K45" s="1"/>
      <c r="L45" s="1"/>
      <c r="M45" s="1"/>
      <c r="N45" s="7"/>
      <c r="O45">
        <f t="shared" si="4"/>
        <v>69.24666666666667</v>
      </c>
      <c r="P45" s="6">
        <f t="shared" si="5"/>
        <v>98.93450365667475</v>
      </c>
      <c r="Q45" s="6">
        <f t="shared" si="0"/>
        <v>86.693407705305589</v>
      </c>
      <c r="R45" s="6">
        <f t="shared" si="1"/>
        <v>10.943248883239093</v>
      </c>
      <c r="S45" s="5">
        <f t="shared" si="2"/>
        <v>0</v>
      </c>
      <c r="T45" s="6">
        <f t="shared" si="6"/>
        <v>1.2978470681300525</v>
      </c>
      <c r="U45" s="1">
        <f t="shared" si="6"/>
        <v>1.2978470681300525</v>
      </c>
      <c r="V45" s="1">
        <f t="shared" si="6"/>
        <v>1.2978470681300525</v>
      </c>
      <c r="X45" s="5"/>
      <c r="Y45" s="5"/>
      <c r="Z45" s="5"/>
      <c r="AA45" s="5"/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>
      <c r="B46" s="7">
        <v>4320</v>
      </c>
      <c r="C46" s="8">
        <v>1.3899999999999999E-12</v>
      </c>
      <c r="D46" s="8">
        <v>1.3899999999999999E-12</v>
      </c>
      <c r="E46" s="8">
        <v>1.3899999999999999E-12</v>
      </c>
      <c r="F46" s="1">
        <v>3.3792E-14</v>
      </c>
      <c r="G46" s="1">
        <v>9.6626000000000009E-19</v>
      </c>
      <c r="H46" s="1">
        <v>1.106E-10</v>
      </c>
      <c r="I46" s="1">
        <v>1.3967E-11</v>
      </c>
      <c r="J46" s="8"/>
      <c r="K46" s="1"/>
      <c r="L46" s="1"/>
      <c r="M46" s="1"/>
      <c r="N46" s="7"/>
      <c r="O46">
        <f t="shared" si="4"/>
        <v>72</v>
      </c>
      <c r="P46" s="6">
        <f t="shared" si="5"/>
        <v>98.927207491464074</v>
      </c>
      <c r="Q46" s="6">
        <f t="shared" si="0"/>
        <v>86.868983352477485</v>
      </c>
      <c r="R46" s="6">
        <f t="shared" si="1"/>
        <v>10.966804558430725</v>
      </c>
      <c r="S46" s="5">
        <f t="shared" si="2"/>
        <v>0</v>
      </c>
      <c r="T46" s="6">
        <f t="shared" si="6"/>
        <v>1.0914195805558551</v>
      </c>
      <c r="U46" s="1">
        <f t="shared" si="6"/>
        <v>1.0914195805558551</v>
      </c>
      <c r="V46" s="1">
        <f t="shared" si="6"/>
        <v>1.0914195805558551</v>
      </c>
      <c r="X46" s="5"/>
      <c r="Y46" s="5"/>
      <c r="Z46" s="5"/>
      <c r="AA46" s="5"/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>
      <c r="B47" s="7">
        <v>3193.1</v>
      </c>
      <c r="C47" s="8">
        <v>3.9977999999999999E-13</v>
      </c>
      <c r="D47" s="8">
        <v>3.9977999999999999E-13</v>
      </c>
      <c r="E47" s="8">
        <v>3.9977999999999999E-13</v>
      </c>
      <c r="F47" s="1"/>
      <c r="G47" s="1"/>
      <c r="H47" s="1"/>
      <c r="I47" s="1"/>
      <c r="J47" s="8"/>
      <c r="K47" s="1"/>
      <c r="L47" s="1"/>
      <c r="M47" s="1"/>
      <c r="N47" s="7"/>
      <c r="P47" s="6"/>
      <c r="Q47" s="6"/>
      <c r="R47" s="6"/>
      <c r="S47" s="5"/>
      <c r="T47" s="6"/>
      <c r="U47" s="1"/>
      <c r="V47" s="1"/>
      <c r="X47" s="5"/>
      <c r="Y47" s="5"/>
      <c r="Z47" s="5"/>
      <c r="AA47" s="5"/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>
      <c r="B48" s="7">
        <v>3311.2</v>
      </c>
      <c r="C48" s="8">
        <v>3.2302999999999999E-13</v>
      </c>
      <c r="D48" s="8">
        <v>3.2302999999999999E-13</v>
      </c>
      <c r="E48" s="8">
        <v>3.2302999999999999E-13</v>
      </c>
      <c r="F48" s="1"/>
      <c r="G48" s="1"/>
      <c r="H48" s="1"/>
      <c r="I48" s="1"/>
      <c r="J48" s="8"/>
      <c r="K48" s="1"/>
      <c r="L48" s="1"/>
      <c r="M48" s="1"/>
      <c r="N48" s="7"/>
      <c r="P48" s="6"/>
      <c r="Q48" s="6"/>
      <c r="R48" s="6"/>
      <c r="S48" s="5"/>
      <c r="T48" s="6"/>
      <c r="U48" s="1"/>
      <c r="V48" s="1"/>
      <c r="X48" s="5"/>
      <c r="Y48" s="5"/>
      <c r="Z48" s="5"/>
      <c r="AA48" s="5"/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>
      <c r="B49" s="7">
        <v>3429.3</v>
      </c>
      <c r="C49" s="8">
        <v>2.6101000000000002E-13</v>
      </c>
      <c r="D49" s="8">
        <v>2.6101000000000002E-13</v>
      </c>
      <c r="E49" s="8">
        <v>2.6101000000000002E-13</v>
      </c>
      <c r="F49" s="1"/>
      <c r="G49" s="1"/>
      <c r="H49" s="1"/>
      <c r="I49" s="1"/>
      <c r="J49" s="8"/>
      <c r="K49" s="1"/>
      <c r="L49" s="1"/>
      <c r="M49" s="1"/>
      <c r="N49" s="7"/>
      <c r="P49" s="6"/>
      <c r="Q49" s="6"/>
      <c r="R49" s="6"/>
      <c r="S49" s="5"/>
      <c r="T49" s="6"/>
      <c r="U49" s="1"/>
      <c r="V49" s="1"/>
      <c r="X49" s="5"/>
      <c r="Y49" s="5"/>
      <c r="Z49" s="5"/>
      <c r="AA49" s="5"/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>
      <c r="B50" s="7">
        <v>3547.3</v>
      </c>
      <c r="C50" s="8">
        <v>2.1089999999999999E-13</v>
      </c>
      <c r="D50" s="8">
        <v>2.1089999999999999E-13</v>
      </c>
      <c r="E50" s="8">
        <v>2.1089999999999999E-13</v>
      </c>
      <c r="F50" s="1"/>
      <c r="G50" s="1"/>
      <c r="H50" s="1"/>
      <c r="I50" s="1"/>
      <c r="J50" s="8"/>
      <c r="K50" s="1"/>
      <c r="L50" s="1"/>
      <c r="M50" s="1"/>
      <c r="N50" s="7"/>
      <c r="P50" s="6"/>
      <c r="Q50" s="6"/>
      <c r="R50" s="6"/>
      <c r="S50" s="5"/>
      <c r="T50" s="6"/>
      <c r="U50" s="1"/>
      <c r="V50" s="1"/>
      <c r="X50" s="5"/>
      <c r="Y50" s="5"/>
      <c r="Z50" s="5"/>
      <c r="AA50" s="5"/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>
      <c r="B51" s="7">
        <v>3665.4</v>
      </c>
      <c r="C51" s="8">
        <v>1.7041E-13</v>
      </c>
      <c r="D51" s="8">
        <v>1.7041E-13</v>
      </c>
      <c r="E51" s="8">
        <v>1.7041E-13</v>
      </c>
      <c r="F51" s="1"/>
      <c r="G51" s="1"/>
      <c r="H51" s="1"/>
      <c r="I51" s="1"/>
      <c r="J51" s="8"/>
      <c r="K51" s="1"/>
      <c r="L51" s="1"/>
      <c r="M51" s="1"/>
      <c r="N51" s="7"/>
      <c r="P51" s="6"/>
      <c r="Q51" s="6"/>
      <c r="R51" s="6"/>
      <c r="S51" s="5"/>
      <c r="T51" s="6"/>
      <c r="U51" s="1"/>
      <c r="V51" s="1"/>
      <c r="X51" s="5"/>
      <c r="Y51" s="5"/>
      <c r="Z51" s="5"/>
      <c r="AA51" s="5"/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>
      <c r="B52" s="7">
        <v>3783.5</v>
      </c>
      <c r="C52" s="8">
        <v>1.3770000000000001E-13</v>
      </c>
      <c r="D52" s="8">
        <v>1.3770000000000001E-13</v>
      </c>
      <c r="E52" s="8">
        <v>1.3770000000000001E-13</v>
      </c>
      <c r="F52" s="1"/>
      <c r="G52" s="1"/>
      <c r="H52" s="1"/>
      <c r="I52" s="1"/>
      <c r="J52" s="8"/>
      <c r="K52" s="1"/>
      <c r="L52" s="1"/>
      <c r="M52" s="1"/>
      <c r="N52" s="7"/>
      <c r="P52" s="6"/>
      <c r="Q52" s="6"/>
      <c r="R52" s="6"/>
      <c r="S52" s="5"/>
      <c r="T52" s="6"/>
      <c r="U52" s="1"/>
      <c r="V52" s="1"/>
      <c r="X52" s="5"/>
      <c r="Y52" s="5"/>
      <c r="Z52" s="5"/>
      <c r="AA52" s="5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>
      <c r="B53" s="7">
        <v>3901.6</v>
      </c>
      <c r="C53" s="8">
        <v>1.1126E-13</v>
      </c>
      <c r="D53" s="8">
        <v>1.1126E-13</v>
      </c>
      <c r="E53" s="8">
        <v>1.1126E-13</v>
      </c>
      <c r="F53" s="1"/>
      <c r="G53" s="1"/>
      <c r="H53" s="1"/>
      <c r="I53" s="1"/>
      <c r="J53" s="8"/>
      <c r="K53" s="1"/>
      <c r="L53" s="1"/>
      <c r="M53" s="1"/>
      <c r="N53" s="7"/>
      <c r="P53" s="6"/>
      <c r="Q53" s="6"/>
      <c r="R53" s="6"/>
      <c r="S53" s="5"/>
      <c r="T53" s="6"/>
      <c r="U53" s="1"/>
      <c r="V53" s="1"/>
      <c r="X53" s="5"/>
      <c r="Y53" s="5"/>
      <c r="Z53" s="5"/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>
      <c r="B54" s="7">
        <v>4019.6</v>
      </c>
      <c r="C54" s="8">
        <v>8.9900999999999997E-14</v>
      </c>
      <c r="D54" s="8">
        <v>8.9900999999999997E-14</v>
      </c>
      <c r="E54" s="8">
        <v>8.9900999999999997E-14</v>
      </c>
      <c r="F54" s="1"/>
      <c r="G54" s="1"/>
      <c r="H54" s="1"/>
      <c r="I54" s="1"/>
      <c r="J54" s="8"/>
      <c r="K54" s="1"/>
      <c r="L54" s="1"/>
      <c r="M54" s="1"/>
      <c r="N54" s="7"/>
      <c r="P54" s="6"/>
      <c r="Q54" s="6"/>
      <c r="R54" s="6"/>
      <c r="S54" s="5"/>
      <c r="T54" s="6"/>
      <c r="U54" s="1"/>
      <c r="V54" s="1"/>
      <c r="X54" s="5"/>
      <c r="Y54" s="5"/>
      <c r="Z54" s="5"/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>
      <c r="B55" s="7">
        <v>4137.7</v>
      </c>
      <c r="C55" s="8">
        <v>7.2641000000000003E-14</v>
      </c>
      <c r="D55" s="8">
        <v>7.2641000000000003E-14</v>
      </c>
      <c r="E55" s="8">
        <v>7.2641000000000003E-14</v>
      </c>
      <c r="F55" s="1"/>
      <c r="G55" s="1"/>
      <c r="H55" s="1"/>
      <c r="I55" s="1"/>
      <c r="J55" s="8"/>
      <c r="K55" s="1"/>
      <c r="L55" s="1"/>
      <c r="M55" s="1"/>
      <c r="N55" s="7"/>
      <c r="P55" s="6"/>
      <c r="Q55" s="6"/>
      <c r="R55" s="6"/>
      <c r="S55" s="5"/>
      <c r="T55" s="6"/>
      <c r="U55" s="1"/>
      <c r="V55" s="1"/>
      <c r="X55" s="5"/>
      <c r="Y55" s="5"/>
      <c r="Z55" s="5"/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>
      <c r="B56" s="7">
        <v>4255.8</v>
      </c>
      <c r="C56" s="8">
        <v>5.8694999999999996E-14</v>
      </c>
      <c r="D56" s="8">
        <v>5.8694999999999996E-14</v>
      </c>
      <c r="E56" s="8">
        <v>5.8694999999999996E-14</v>
      </c>
      <c r="F56" s="1"/>
      <c r="G56" s="1"/>
      <c r="H56" s="1"/>
      <c r="I56" s="1"/>
      <c r="J56" s="8"/>
      <c r="K56" s="1"/>
      <c r="L56" s="1"/>
      <c r="M56" s="1"/>
      <c r="N56" s="7"/>
      <c r="P56" s="6"/>
      <c r="Q56" s="6"/>
      <c r="R56" s="6"/>
      <c r="S56" s="5"/>
      <c r="T56" s="6"/>
      <c r="U56" s="1"/>
      <c r="V56" s="1"/>
      <c r="X56" s="5"/>
      <c r="Y56" s="5"/>
      <c r="Z56" s="5"/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>
      <c r="B57" s="7">
        <v>4320</v>
      </c>
      <c r="C57" s="8">
        <v>5.2236000000000001E-14</v>
      </c>
      <c r="D57" s="8">
        <v>5.2236000000000001E-14</v>
      </c>
      <c r="E57" s="8">
        <v>5.2236000000000001E-14</v>
      </c>
      <c r="F57" s="1"/>
      <c r="G57" s="1"/>
      <c r="H57" s="1"/>
      <c r="I57" s="1"/>
      <c r="J57" s="8"/>
      <c r="K57" s="1"/>
      <c r="L57" s="1"/>
      <c r="M57" s="1"/>
      <c r="N57" s="7"/>
      <c r="P57" s="6"/>
      <c r="Q57" s="6"/>
      <c r="R57" s="6"/>
      <c r="S57" s="5"/>
      <c r="T57" s="6"/>
      <c r="U57" s="1"/>
      <c r="V57" s="1"/>
      <c r="X57" s="5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>
      <c r="B58" s="7">
        <v>190</v>
      </c>
      <c r="C58" s="8">
        <v>1.133E-10</v>
      </c>
      <c r="D58" s="8">
        <v>1.133E-10</v>
      </c>
      <c r="E58" s="8">
        <v>1.133E-10</v>
      </c>
      <c r="J58" s="8"/>
      <c r="K58" s="1"/>
      <c r="L58" s="1"/>
      <c r="N58" s="7"/>
      <c r="P58" s="6"/>
      <c r="Q58" s="6"/>
      <c r="R58" s="6"/>
      <c r="S58" s="5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>
      <c r="B59" s="7">
        <v>195</v>
      </c>
      <c r="C59" s="8">
        <v>1.13E-10</v>
      </c>
      <c r="D59" s="8">
        <v>1.13E-10</v>
      </c>
      <c r="E59" s="8">
        <v>1.13E-10</v>
      </c>
      <c r="J59" s="8"/>
      <c r="K59" s="1"/>
      <c r="L59" s="1"/>
      <c r="N59" s="7"/>
      <c r="P59" s="6"/>
      <c r="Q59" s="6"/>
      <c r="R59" s="6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>
      <c r="B60" s="7">
        <v>200</v>
      </c>
      <c r="C60" s="8">
        <v>1.127E-10</v>
      </c>
      <c r="D60" s="8">
        <v>1.127E-10</v>
      </c>
      <c r="E60" s="8">
        <v>1.127E-10</v>
      </c>
      <c r="J60" s="8"/>
      <c r="K60" s="1"/>
      <c r="L60" s="1"/>
      <c r="N60" s="7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>
      <c r="B61" s="7">
        <v>205</v>
      </c>
      <c r="C61" s="8">
        <v>1.1241E-10</v>
      </c>
      <c r="D61" s="8">
        <v>1.1241E-10</v>
      </c>
      <c r="E61" s="8">
        <v>1.1241E-10</v>
      </c>
      <c r="J61" s="8"/>
      <c r="K61" s="1"/>
      <c r="L61" s="1"/>
      <c r="N61" s="7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>
      <c r="B62" s="7">
        <v>210</v>
      </c>
      <c r="C62" s="8">
        <v>1.1211E-10</v>
      </c>
      <c r="D62" s="8">
        <v>1.1211E-10</v>
      </c>
      <c r="E62" s="8">
        <v>1.1211E-10</v>
      </c>
      <c r="J62" s="8"/>
      <c r="K62" s="1"/>
      <c r="L62" s="1"/>
      <c r="N62" s="7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>
      <c r="B63" s="7">
        <v>215</v>
      </c>
      <c r="C63" s="8">
        <v>1.1181E-10</v>
      </c>
      <c r="D63" s="8">
        <v>1.1181E-10</v>
      </c>
      <c r="E63" s="8">
        <v>1.1181E-10</v>
      </c>
      <c r="J63" s="8"/>
      <c r="K63" s="1"/>
      <c r="L63" s="1"/>
      <c r="N63" s="7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>
      <c r="B64" s="7">
        <v>220</v>
      </c>
      <c r="C64" s="8">
        <v>1.1152000000000001E-10</v>
      </c>
      <c r="D64" s="8">
        <v>1.1152000000000001E-10</v>
      </c>
      <c r="E64" s="8">
        <v>1.1152000000000001E-10</v>
      </c>
      <c r="J64" s="8"/>
      <c r="K64" s="1"/>
      <c r="L64" s="1"/>
      <c r="N64" s="7"/>
      <c r="P64" s="6"/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2:65">
      <c r="B65" s="7">
        <v>225</v>
      </c>
      <c r="C65" s="8">
        <v>1.1122E-10</v>
      </c>
      <c r="D65" s="8">
        <v>1.1122E-10</v>
      </c>
      <c r="E65" s="8">
        <v>1.1122E-10</v>
      </c>
      <c r="J65" s="8"/>
      <c r="K65" s="1"/>
      <c r="L65" s="1"/>
      <c r="N65" s="7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2:65">
      <c r="B66" s="7">
        <v>230</v>
      </c>
      <c r="C66" s="8">
        <v>1.1093E-10</v>
      </c>
      <c r="D66" s="8">
        <v>1.1093E-10</v>
      </c>
      <c r="E66" s="8">
        <v>1.1093E-10</v>
      </c>
      <c r="J66" s="8"/>
      <c r="K66" s="1"/>
      <c r="L66" s="1"/>
      <c r="N66" s="7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2:65">
      <c r="B67" s="7">
        <v>235</v>
      </c>
      <c r="C67" s="8">
        <v>1.1063E-10</v>
      </c>
      <c r="D67" s="8">
        <v>1.1063E-10</v>
      </c>
      <c r="E67" s="8">
        <v>1.1063E-10</v>
      </c>
      <c r="J67" s="8"/>
      <c r="K67" s="1"/>
      <c r="L67" s="1"/>
      <c r="N67" s="7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2:65">
      <c r="B68" s="7">
        <v>240</v>
      </c>
      <c r="C68" s="8">
        <v>1.1034E-10</v>
      </c>
      <c r="D68" s="8">
        <v>1.1034E-10</v>
      </c>
      <c r="E68" s="8">
        <v>1.1034E-10</v>
      </c>
      <c r="J68" s="8"/>
      <c r="K68" s="1"/>
      <c r="L68" s="1"/>
      <c r="N68" s="7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2:65">
      <c r="B69" s="7">
        <v>245</v>
      </c>
      <c r="C69" s="8">
        <v>1.1005E-10</v>
      </c>
      <c r="D69" s="8">
        <v>1.1005E-10</v>
      </c>
      <c r="E69" s="8">
        <v>1.1005E-10</v>
      </c>
      <c r="J69" s="8"/>
      <c r="K69" s="1"/>
      <c r="L69" s="1"/>
      <c r="N69" s="7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2:65">
      <c r="B70" s="7">
        <v>250</v>
      </c>
      <c r="C70" s="8">
        <v>1.0976E-10</v>
      </c>
      <c r="D70" s="8">
        <v>1.0976E-10</v>
      </c>
      <c r="E70" s="8">
        <v>1.0976E-10</v>
      </c>
      <c r="J70" s="8"/>
      <c r="K70" s="1"/>
      <c r="L70" s="1"/>
      <c r="N70" s="7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2:65">
      <c r="B71" s="7">
        <v>255</v>
      </c>
      <c r="C71" s="8">
        <v>1.0947E-10</v>
      </c>
      <c r="D71" s="8">
        <v>1.0947E-10</v>
      </c>
      <c r="E71" s="8">
        <v>1.0947E-10</v>
      </c>
      <c r="J71" s="8"/>
      <c r="K71" s="1"/>
      <c r="L71" s="1"/>
      <c r="N71" s="7"/>
      <c r="P71" s="6"/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2:65">
      <c r="B72" s="7">
        <v>260</v>
      </c>
      <c r="C72" s="8">
        <v>1.0918E-10</v>
      </c>
      <c r="D72" s="8">
        <v>1.0918E-10</v>
      </c>
      <c r="E72" s="8">
        <v>1.0918E-10</v>
      </c>
      <c r="J72" s="8"/>
      <c r="K72" s="1"/>
      <c r="L72" s="1"/>
      <c r="N72" s="7"/>
      <c r="P72" s="6"/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2:65">
      <c r="B73" s="7">
        <v>265</v>
      </c>
      <c r="C73" s="8">
        <v>1.0889E-10</v>
      </c>
      <c r="D73" s="8">
        <v>1.0889E-10</v>
      </c>
      <c r="E73" s="8">
        <v>1.0889E-10</v>
      </c>
      <c r="J73" s="8"/>
      <c r="K73" s="1"/>
      <c r="L73" s="1"/>
      <c r="N73" s="7"/>
      <c r="P73" s="6"/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2:65">
      <c r="B74" s="7">
        <v>270</v>
      </c>
      <c r="C74" s="8">
        <v>1.086E-10</v>
      </c>
      <c r="D74" s="8">
        <v>1.086E-10</v>
      </c>
      <c r="E74" s="8">
        <v>1.086E-10</v>
      </c>
      <c r="J74" s="8"/>
      <c r="K74" s="1"/>
      <c r="L74" s="1"/>
      <c r="N74" s="7"/>
      <c r="P74" s="6"/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2:65">
      <c r="B75" s="7">
        <v>275</v>
      </c>
      <c r="C75" s="8">
        <v>1.0831E-10</v>
      </c>
      <c r="D75" s="8">
        <v>1.0831E-10</v>
      </c>
      <c r="E75" s="8">
        <v>1.0831E-10</v>
      </c>
      <c r="J75" s="8"/>
      <c r="K75" s="1"/>
      <c r="L75" s="1"/>
      <c r="N75" s="7"/>
      <c r="P75" s="6"/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2:65">
      <c r="B76" s="7">
        <v>280</v>
      </c>
      <c r="C76" s="8">
        <v>1.0802000000000001E-10</v>
      </c>
      <c r="D76" s="8">
        <v>1.0802000000000001E-10</v>
      </c>
      <c r="E76" s="8">
        <v>1.0802000000000001E-10</v>
      </c>
      <c r="J76" s="8"/>
      <c r="K76" s="1"/>
      <c r="L76" s="1"/>
      <c r="N76" s="7"/>
      <c r="P76" s="6"/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2:65">
      <c r="B77" s="7">
        <v>285</v>
      </c>
      <c r="C77" s="8">
        <v>1.0773E-10</v>
      </c>
      <c r="D77" s="8">
        <v>1.0773E-10</v>
      </c>
      <c r="E77" s="8">
        <v>1.0773E-10</v>
      </c>
      <c r="J77" s="8"/>
      <c r="K77" s="1"/>
      <c r="L77" s="1"/>
      <c r="N77" s="7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2:65">
      <c r="B78" s="7">
        <v>290</v>
      </c>
      <c r="C78" s="8">
        <v>1.0745E-10</v>
      </c>
      <c r="D78" s="8">
        <v>1.0745E-10</v>
      </c>
      <c r="E78" s="8">
        <v>1.0745E-10</v>
      </c>
      <c r="J78" s="8"/>
      <c r="K78" s="1"/>
      <c r="L78" s="1"/>
      <c r="N78" s="7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2:65">
      <c r="B79" s="7">
        <v>295</v>
      </c>
      <c r="C79" s="8">
        <v>1.0715999999999999E-10</v>
      </c>
      <c r="D79" s="8">
        <v>1.0715999999999999E-10</v>
      </c>
      <c r="E79" s="8">
        <v>1.0715999999999999E-10</v>
      </c>
      <c r="J79" s="8"/>
      <c r="K79" s="1"/>
      <c r="L79" s="1"/>
      <c r="N79" s="7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2:65">
      <c r="B80" s="7">
        <v>300</v>
      </c>
      <c r="C80" s="8">
        <v>1.0688E-10</v>
      </c>
      <c r="D80" s="8">
        <v>1.0688E-10</v>
      </c>
      <c r="E80" s="8">
        <v>1.0688E-10</v>
      </c>
      <c r="J80" s="8"/>
      <c r="K80" s="1"/>
      <c r="L80" s="1"/>
      <c r="N80" s="7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2:65">
      <c r="B81" s="7">
        <v>310</v>
      </c>
      <c r="C81" s="8">
        <v>1.0631000000000001E-10</v>
      </c>
      <c r="D81" s="8">
        <v>1.0631000000000001E-10</v>
      </c>
      <c r="E81" s="8">
        <v>1.0631000000000001E-10</v>
      </c>
      <c r="J81" s="8"/>
      <c r="K81" s="1"/>
      <c r="L81" s="1"/>
      <c r="N81" s="7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2:65">
      <c r="B82" s="7">
        <v>320</v>
      </c>
      <c r="C82" s="8">
        <v>1.0575E-10</v>
      </c>
      <c r="D82" s="8">
        <v>1.0575E-10</v>
      </c>
      <c r="E82" s="8">
        <v>1.0575E-10</v>
      </c>
      <c r="J82" s="8"/>
      <c r="K82" s="1"/>
      <c r="L82" s="1"/>
      <c r="N82" s="7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2:65">
      <c r="B83" s="7">
        <v>330</v>
      </c>
      <c r="C83" s="8">
        <v>1.0518000000000001E-10</v>
      </c>
      <c r="D83" s="8">
        <v>1.0518000000000001E-10</v>
      </c>
      <c r="E83" s="8">
        <v>1.0518000000000001E-10</v>
      </c>
      <c r="J83" s="8"/>
      <c r="K83" s="1"/>
      <c r="L83" s="1"/>
      <c r="N83" s="7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2:65">
      <c r="B84" s="7">
        <v>340</v>
      </c>
      <c r="C84" s="8">
        <v>1.0463E-10</v>
      </c>
      <c r="D84" s="8">
        <v>1.0463E-10</v>
      </c>
      <c r="E84" s="8">
        <v>1.0463E-10</v>
      </c>
      <c r="J84" s="8"/>
      <c r="K84" s="1"/>
      <c r="L84" s="1"/>
      <c r="N84" s="7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2:65">
      <c r="B85" s="7">
        <v>350</v>
      </c>
      <c r="C85" s="8">
        <v>1.0407E-10</v>
      </c>
      <c r="D85" s="8">
        <v>1.0407E-10</v>
      </c>
      <c r="E85" s="8">
        <v>1.0407E-10</v>
      </c>
      <c r="J85" s="8"/>
      <c r="K85" s="1"/>
      <c r="L85" s="1"/>
      <c r="N85" s="7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2:65">
      <c r="B86" s="7">
        <v>360</v>
      </c>
      <c r="C86" s="8">
        <v>1.0352E-10</v>
      </c>
      <c r="D86" s="8">
        <v>1.0352E-10</v>
      </c>
      <c r="E86" s="8">
        <v>1.0352E-10</v>
      </c>
      <c r="J86" s="8"/>
      <c r="K86" s="1"/>
      <c r="L86" s="1"/>
      <c r="N86" s="7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2:65">
      <c r="B87" s="7">
        <v>370</v>
      </c>
      <c r="C87" s="8">
        <v>1.0296999999999999E-10</v>
      </c>
      <c r="D87" s="8">
        <v>1.0296999999999999E-10</v>
      </c>
      <c r="E87" s="8">
        <v>1.0296999999999999E-10</v>
      </c>
      <c r="J87" s="8"/>
      <c r="K87" s="1"/>
      <c r="L87" s="1"/>
      <c r="N87" s="7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2:65">
      <c r="B88" s="7">
        <v>380</v>
      </c>
      <c r="C88" s="8">
        <v>1.0241999999999999E-10</v>
      </c>
      <c r="D88" s="8">
        <v>1.0241999999999999E-10</v>
      </c>
      <c r="E88" s="8">
        <v>1.0241999999999999E-10</v>
      </c>
      <c r="J88" s="8"/>
      <c r="K88" s="1"/>
      <c r="L88" s="1"/>
      <c r="N88" s="7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2:65">
      <c r="B89" s="7">
        <v>390</v>
      </c>
      <c r="C89" s="8">
        <v>1.0188E-10</v>
      </c>
      <c r="D89" s="8">
        <v>1.0188E-10</v>
      </c>
      <c r="E89" s="8">
        <v>1.0188E-10</v>
      </c>
      <c r="J89" s="8"/>
      <c r="K89" s="1"/>
      <c r="L89" s="1"/>
      <c r="N89" s="7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2:65">
      <c r="B90" s="7">
        <v>400</v>
      </c>
      <c r="C90" s="8">
        <v>1.0133E-10</v>
      </c>
      <c r="D90" s="8">
        <v>1.0133E-10</v>
      </c>
      <c r="E90" s="8">
        <v>1.0133E-10</v>
      </c>
      <c r="J90" s="8"/>
      <c r="K90" s="1"/>
      <c r="L90" s="1"/>
      <c r="N90" s="7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2:65">
      <c r="B91" s="7">
        <v>410</v>
      </c>
      <c r="C91" s="8">
        <v>1.008E-10</v>
      </c>
      <c r="D91" s="8">
        <v>1.008E-10</v>
      </c>
      <c r="E91" s="8">
        <v>1.008E-10</v>
      </c>
      <c r="J91" s="8"/>
      <c r="K91" s="1"/>
      <c r="L91" s="1"/>
      <c r="N91" s="7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2:65">
      <c r="B92" s="7">
        <v>420</v>
      </c>
      <c r="C92" s="8">
        <v>1.0026E-10</v>
      </c>
      <c r="D92" s="8">
        <v>1.0026E-10</v>
      </c>
      <c r="E92" s="8">
        <v>1.0026E-10</v>
      </c>
      <c r="J92" s="8"/>
      <c r="K92" s="1"/>
      <c r="L92" s="1"/>
      <c r="N92" s="7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2:65">
      <c r="B93" s="7">
        <v>430</v>
      </c>
      <c r="C93" s="8">
        <v>9.9727999999999997E-11</v>
      </c>
      <c r="D93" s="8">
        <v>9.9727999999999997E-11</v>
      </c>
      <c r="E93" s="8">
        <v>9.9727999999999997E-11</v>
      </c>
      <c r="J93" s="8"/>
      <c r="K93" s="1"/>
      <c r="L93" s="1"/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2:65">
      <c r="B94" s="7">
        <v>440</v>
      </c>
      <c r="C94" s="8">
        <v>9.9198E-11</v>
      </c>
      <c r="D94" s="8">
        <v>9.9198E-11</v>
      </c>
      <c r="E94" s="8">
        <v>9.9198E-11</v>
      </c>
      <c r="J94" s="8"/>
      <c r="K94" s="1"/>
      <c r="L94" s="1"/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2:65">
      <c r="B95" s="7">
        <v>450</v>
      </c>
      <c r="C95" s="8">
        <v>9.8671000000000002E-11</v>
      </c>
      <c r="D95" s="8">
        <v>9.8671000000000002E-11</v>
      </c>
      <c r="E95" s="8">
        <v>9.8671000000000002E-11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2:65">
      <c r="B96" s="7">
        <v>460</v>
      </c>
      <c r="C96" s="8">
        <v>9.8147000000000005E-11</v>
      </c>
      <c r="D96" s="8">
        <v>9.8147000000000005E-11</v>
      </c>
      <c r="E96" s="8">
        <v>9.8147000000000005E-11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>
      <c r="B97" s="7">
        <v>470</v>
      </c>
      <c r="C97" s="8">
        <v>9.7625999999999995E-11</v>
      </c>
      <c r="D97" s="8">
        <v>9.7625999999999995E-11</v>
      </c>
      <c r="E97" s="8">
        <v>9.7625999999999995E-11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>
      <c r="B98" s="7">
        <v>480</v>
      </c>
      <c r="C98" s="8">
        <v>9.7107000000000001E-11</v>
      </c>
      <c r="D98" s="8">
        <v>9.7107000000000001E-11</v>
      </c>
      <c r="E98" s="8">
        <v>9.7107000000000001E-11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>
      <c r="B99" s="7">
        <v>490</v>
      </c>
      <c r="C99" s="8">
        <v>9.6590999999999995E-11</v>
      </c>
      <c r="D99" s="8">
        <v>9.6590999999999995E-11</v>
      </c>
      <c r="E99" s="8">
        <v>9.6590999999999995E-11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>
      <c r="B100" s="7">
        <v>500</v>
      </c>
      <c r="C100" s="8">
        <v>9.6078000000000002E-11</v>
      </c>
      <c r="D100" s="8">
        <v>9.6078000000000002E-11</v>
      </c>
      <c r="E100" s="8">
        <v>9.6078000000000002E-11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>
      <c r="B101" s="7">
        <v>510</v>
      </c>
      <c r="C101" s="8">
        <v>9.5567999999999995E-11</v>
      </c>
      <c r="D101" s="8">
        <v>9.5567999999999995E-11</v>
      </c>
      <c r="E101" s="8">
        <v>9.5567999999999995E-11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>
      <c r="B102" s="7">
        <v>520</v>
      </c>
      <c r="C102" s="8">
        <v>9.5060000000000006E-11</v>
      </c>
      <c r="D102" s="8">
        <v>9.5060000000000006E-11</v>
      </c>
      <c r="E102" s="8">
        <v>9.5060000000000006E-11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>
      <c r="B103" s="7">
        <v>530</v>
      </c>
      <c r="C103" s="8">
        <v>9.4555999999999999E-11</v>
      </c>
      <c r="D103" s="8">
        <v>9.4555999999999999E-11</v>
      </c>
      <c r="E103" s="8">
        <v>9.4555999999999999E-11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>
      <c r="B104" s="7">
        <v>540</v>
      </c>
      <c r="C104" s="8">
        <v>9.4053000000000001E-11</v>
      </c>
      <c r="D104" s="8">
        <v>9.4053000000000001E-11</v>
      </c>
      <c r="E104" s="8">
        <v>9.4053000000000001E-11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>
      <c r="B105" s="7">
        <v>550</v>
      </c>
      <c r="C105" s="8">
        <v>9.3553999999999998E-11</v>
      </c>
      <c r="D105" s="8">
        <v>9.3553999999999998E-11</v>
      </c>
      <c r="E105" s="8">
        <v>9.3553999999999998E-11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>
      <c r="B106" s="7">
        <v>560</v>
      </c>
      <c r="C106" s="8">
        <v>9.3057E-11</v>
      </c>
      <c r="D106" s="8">
        <v>9.3057E-11</v>
      </c>
      <c r="E106" s="8">
        <v>9.3057E-11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>
      <c r="B107" s="7">
        <v>570</v>
      </c>
      <c r="C107" s="8">
        <v>9.2563000000000001E-11</v>
      </c>
      <c r="D107" s="8">
        <v>9.2563000000000001E-11</v>
      </c>
      <c r="E107" s="8">
        <v>9.2563000000000001E-11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>
      <c r="B108" s="7">
        <v>580</v>
      </c>
      <c r="C108" s="8">
        <v>9.2072000000000003E-11</v>
      </c>
      <c r="D108" s="8">
        <v>9.2072000000000003E-11</v>
      </c>
      <c r="E108" s="8">
        <v>9.2072000000000003E-11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>
      <c r="B109" s="7">
        <v>590</v>
      </c>
      <c r="C109" s="8">
        <v>9.1582999999999995E-11</v>
      </c>
      <c r="D109" s="8">
        <v>9.1582999999999995E-11</v>
      </c>
      <c r="E109" s="8">
        <v>9.1582999999999995E-11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>
      <c r="B110" s="7">
        <v>600</v>
      </c>
      <c r="C110" s="8">
        <v>9.1097000000000001E-11</v>
      </c>
      <c r="D110" s="8">
        <v>9.1097000000000001E-11</v>
      </c>
      <c r="E110" s="8">
        <v>9.1097000000000001E-11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>
      <c r="B111" s="7">
        <v>610</v>
      </c>
      <c r="C111" s="8">
        <v>9.0612999999999998E-11</v>
      </c>
      <c r="D111" s="8">
        <v>9.0612999999999998E-11</v>
      </c>
      <c r="E111" s="8">
        <v>9.0612999999999998E-11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>
      <c r="B112" s="7">
        <v>620</v>
      </c>
      <c r="C112" s="8">
        <v>9.0131999999999994E-11</v>
      </c>
      <c r="D112" s="8">
        <v>9.0131999999999994E-11</v>
      </c>
      <c r="E112" s="8">
        <v>9.0131999999999994E-11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>
      <c r="B113" s="7">
        <v>630</v>
      </c>
      <c r="C113" s="8">
        <v>8.9654000000000004E-11</v>
      </c>
      <c r="D113" s="8">
        <v>8.9654000000000004E-11</v>
      </c>
      <c r="E113" s="8">
        <v>8.9654000000000004E-11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>
      <c r="B114" s="7">
        <v>640</v>
      </c>
      <c r="C114" s="8">
        <v>8.9178000000000005E-11</v>
      </c>
      <c r="D114" s="8">
        <v>8.9178000000000005E-11</v>
      </c>
      <c r="E114" s="8">
        <v>8.9178000000000005E-11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>
      <c r="B115" s="7">
        <v>650</v>
      </c>
      <c r="C115" s="8">
        <v>8.8705000000000005E-11</v>
      </c>
      <c r="D115" s="8">
        <v>8.8705000000000005E-11</v>
      </c>
      <c r="E115" s="8">
        <v>8.8705000000000005E-11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>
      <c r="B116" s="7">
        <v>660</v>
      </c>
      <c r="C116" s="8">
        <v>8.8233999999999997E-11</v>
      </c>
      <c r="D116" s="8">
        <v>8.8233999999999997E-11</v>
      </c>
      <c r="E116" s="8">
        <v>8.8233999999999997E-11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>
      <c r="B117" s="7">
        <v>670</v>
      </c>
      <c r="C117" s="8">
        <v>8.7766000000000002E-11</v>
      </c>
      <c r="D117" s="8">
        <v>8.7766000000000002E-11</v>
      </c>
      <c r="E117" s="8">
        <v>8.7766000000000002E-11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>
      <c r="B118" s="7">
        <v>680</v>
      </c>
      <c r="C118" s="8">
        <v>8.7299999999999998E-11</v>
      </c>
      <c r="D118" s="8">
        <v>8.7299999999999998E-11</v>
      </c>
      <c r="E118" s="8">
        <v>8.7299999999999998E-11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>
      <c r="B119" s="7">
        <v>690</v>
      </c>
      <c r="C119" s="8">
        <v>8.6836999999999994E-11</v>
      </c>
      <c r="D119" s="8">
        <v>8.6836999999999994E-11</v>
      </c>
      <c r="E119" s="8">
        <v>8.6836999999999994E-11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>
      <c r="B120" s="7">
        <v>700</v>
      </c>
      <c r="C120" s="8">
        <v>8.6375999999999995E-11</v>
      </c>
      <c r="D120" s="8">
        <v>8.6375999999999995E-11</v>
      </c>
      <c r="E120" s="8">
        <v>8.6375999999999995E-11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>
      <c r="B121" s="7">
        <v>720</v>
      </c>
      <c r="C121" s="8">
        <v>8.5461000000000003E-11</v>
      </c>
      <c r="D121" s="8">
        <v>8.5461000000000003E-11</v>
      </c>
      <c r="E121" s="8">
        <v>8.5461000000000003E-11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>
      <c r="B122" s="7">
        <v>740</v>
      </c>
      <c r="C122" s="8">
        <v>8.4561999999999995E-11</v>
      </c>
      <c r="D122" s="8">
        <v>8.4561999999999995E-11</v>
      </c>
      <c r="E122" s="8">
        <v>8.4561999999999995E-11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>
      <c r="B123" s="7">
        <v>760</v>
      </c>
      <c r="C123" s="8">
        <v>8.3671000000000002E-11</v>
      </c>
      <c r="D123" s="8">
        <v>8.3671000000000002E-11</v>
      </c>
      <c r="E123" s="8">
        <v>8.3671000000000002E-11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>
      <c r="B124" s="7">
        <v>780</v>
      </c>
      <c r="C124" s="8">
        <v>8.2791000000000001E-11</v>
      </c>
      <c r="D124" s="8">
        <v>8.2791000000000001E-11</v>
      </c>
      <c r="E124" s="8">
        <v>8.2791000000000001E-11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>
      <c r="B125" s="7">
        <v>800</v>
      </c>
      <c r="C125" s="8">
        <v>8.1916000000000004E-11</v>
      </c>
      <c r="D125" s="8">
        <v>8.1916000000000004E-11</v>
      </c>
      <c r="E125" s="8">
        <v>8.1916000000000004E-11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>
      <c r="B126" s="7">
        <v>820</v>
      </c>
      <c r="C126" s="8">
        <v>8.1049999999999994E-11</v>
      </c>
      <c r="D126" s="8">
        <v>8.1049999999999994E-11</v>
      </c>
      <c r="E126" s="8">
        <v>8.1049999999999994E-11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>
      <c r="B127" s="7">
        <v>840</v>
      </c>
      <c r="C127" s="8">
        <v>8.0192000000000001E-11</v>
      </c>
      <c r="D127" s="8">
        <v>8.0192000000000001E-11</v>
      </c>
      <c r="E127" s="8">
        <v>8.0192000000000001E-11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>
      <c r="B128" s="7">
        <v>860</v>
      </c>
      <c r="C128" s="8">
        <v>7.9344000000000003E-11</v>
      </c>
      <c r="D128" s="8">
        <v>7.9344000000000003E-11</v>
      </c>
      <c r="E128" s="8">
        <v>7.9344000000000003E-11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>
      <c r="B129" s="7">
        <v>880</v>
      </c>
      <c r="C129" s="8">
        <v>7.8503999999999996E-11</v>
      </c>
      <c r="D129" s="8">
        <v>7.8503999999999996E-11</v>
      </c>
      <c r="E129" s="8">
        <v>7.8503999999999996E-11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>
      <c r="B130" s="7">
        <v>900</v>
      </c>
      <c r="C130" s="8">
        <v>7.7673999999999997E-11</v>
      </c>
      <c r="D130" s="8">
        <v>7.7673999999999997E-11</v>
      </c>
      <c r="E130" s="8">
        <v>7.7673999999999997E-11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>
      <c r="B131" s="7">
        <v>920</v>
      </c>
      <c r="C131" s="8">
        <v>7.6852000000000003E-11</v>
      </c>
      <c r="D131" s="8">
        <v>7.6852000000000003E-11</v>
      </c>
      <c r="E131" s="8">
        <v>7.6852000000000003E-11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>
      <c r="B132" s="7">
        <v>940</v>
      </c>
      <c r="C132" s="8">
        <v>7.6038999999999995E-11</v>
      </c>
      <c r="D132" s="8">
        <v>7.6038999999999995E-11</v>
      </c>
      <c r="E132" s="8">
        <v>7.6038999999999995E-11</v>
      </c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>
      <c r="B133" s="7">
        <v>960</v>
      </c>
      <c r="C133" s="8">
        <v>7.5234999999999999E-11</v>
      </c>
      <c r="D133" s="8">
        <v>7.5234999999999999E-11</v>
      </c>
      <c r="E133" s="8">
        <v>7.5234999999999999E-11</v>
      </c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>
      <c r="B134" s="7">
        <v>980</v>
      </c>
      <c r="C134" s="8">
        <v>7.4438999999999995E-11</v>
      </c>
      <c r="D134" s="8">
        <v>7.4438999999999995E-11</v>
      </c>
      <c r="E134" s="8">
        <v>7.4438999999999995E-11</v>
      </c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>
      <c r="B135" s="7">
        <v>1000</v>
      </c>
      <c r="C135" s="8">
        <v>7.3650999999999995E-11</v>
      </c>
      <c r="D135" s="8">
        <v>7.3650999999999995E-11</v>
      </c>
      <c r="E135" s="8">
        <v>7.3650999999999995E-11</v>
      </c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>
      <c r="B136" s="7">
        <v>1020</v>
      </c>
      <c r="C136" s="8">
        <v>7.2871999999999994E-11</v>
      </c>
      <c r="D136" s="8">
        <v>7.2871999999999994E-11</v>
      </c>
      <c r="E136" s="8">
        <v>7.2871999999999994E-11</v>
      </c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>
      <c r="B137" s="7">
        <v>1040</v>
      </c>
      <c r="C137" s="8">
        <v>7.2102000000000006E-11</v>
      </c>
      <c r="D137" s="8">
        <v>7.2102000000000006E-11</v>
      </c>
      <c r="E137" s="8">
        <v>7.2102000000000006E-11</v>
      </c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>
      <c r="B138" s="7">
        <v>1060</v>
      </c>
      <c r="C138" s="8">
        <v>7.1339E-11</v>
      </c>
      <c r="D138" s="8">
        <v>7.1339E-11</v>
      </c>
      <c r="E138" s="8">
        <v>7.1339E-11</v>
      </c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>
      <c r="B139" s="7">
        <v>1080</v>
      </c>
      <c r="C139" s="8">
        <v>7.0583999999999999E-11</v>
      </c>
      <c r="D139" s="8">
        <v>7.0583999999999999E-11</v>
      </c>
      <c r="E139" s="8">
        <v>7.0583999999999999E-11</v>
      </c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>
      <c r="B140" s="7">
        <v>1100</v>
      </c>
      <c r="C140" s="8">
        <v>6.9837999999999997E-11</v>
      </c>
      <c r="D140" s="8">
        <v>6.9837999999999997E-11</v>
      </c>
      <c r="E140" s="8">
        <v>6.9837999999999997E-11</v>
      </c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>
      <c r="B141" s="7">
        <v>1120</v>
      </c>
      <c r="C141" s="8">
        <v>6.9099000000000004E-11</v>
      </c>
      <c r="D141" s="8">
        <v>6.9099000000000004E-11</v>
      </c>
      <c r="E141" s="8">
        <v>6.9099000000000004E-11</v>
      </c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>
      <c r="B142" s="7">
        <v>1140</v>
      </c>
      <c r="C142" s="8">
        <v>6.8368000000000001E-11</v>
      </c>
      <c r="D142" s="8">
        <v>6.8368000000000001E-11</v>
      </c>
      <c r="E142" s="8">
        <v>6.8368000000000001E-11</v>
      </c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>
      <c r="B143" s="7">
        <v>1160</v>
      </c>
      <c r="C143" s="8">
        <v>6.7645000000000003E-11</v>
      </c>
      <c r="D143" s="8">
        <v>6.7645000000000003E-11</v>
      </c>
      <c r="E143" s="8">
        <v>6.7645000000000003E-11</v>
      </c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>
      <c r="B144" s="7">
        <v>1180</v>
      </c>
      <c r="C144" s="8">
        <v>6.6929999999999995E-11</v>
      </c>
      <c r="D144" s="8">
        <v>6.6929999999999995E-11</v>
      </c>
      <c r="E144" s="8">
        <v>6.6929999999999995E-11</v>
      </c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>
      <c r="B145" s="7">
        <v>1200</v>
      </c>
      <c r="C145" s="8">
        <v>6.6221999999999996E-11</v>
      </c>
      <c r="D145" s="8">
        <v>6.6221999999999996E-11</v>
      </c>
      <c r="E145" s="8">
        <v>6.6221999999999996E-11</v>
      </c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>
      <c r="B146" s="7">
        <v>1220</v>
      </c>
      <c r="C146" s="8">
        <v>6.5522000000000001E-11</v>
      </c>
      <c r="D146" s="8">
        <v>6.5522000000000001E-11</v>
      </c>
      <c r="E146" s="8">
        <v>6.5522000000000001E-11</v>
      </c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>
      <c r="B147" s="7">
        <v>1240</v>
      </c>
      <c r="C147" s="8">
        <v>6.4829000000000002E-11</v>
      </c>
      <c r="D147" s="8">
        <v>6.4829000000000002E-11</v>
      </c>
      <c r="E147" s="8">
        <v>6.4829000000000002E-11</v>
      </c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>
      <c r="B148" s="7">
        <v>1260</v>
      </c>
      <c r="C148" s="8">
        <v>6.4142999999999998E-11</v>
      </c>
      <c r="D148" s="8">
        <v>6.4142999999999998E-11</v>
      </c>
      <c r="E148" s="8">
        <v>6.4142999999999998E-11</v>
      </c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>
      <c r="B149" s="7">
        <v>1280</v>
      </c>
      <c r="C149" s="8">
        <v>6.3464999999999997E-11</v>
      </c>
      <c r="D149" s="8">
        <v>6.3464999999999997E-11</v>
      </c>
      <c r="E149" s="8">
        <v>6.3464999999999997E-11</v>
      </c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>
      <c r="B150" s="7">
        <v>1300</v>
      </c>
      <c r="C150" s="8">
        <v>6.2794000000000006E-11</v>
      </c>
      <c r="D150" s="8">
        <v>6.2794000000000006E-11</v>
      </c>
      <c r="E150" s="8">
        <v>6.2794000000000006E-11</v>
      </c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>
      <c r="B151" s="7">
        <v>1320</v>
      </c>
      <c r="C151" s="8">
        <v>6.2129999999999996E-11</v>
      </c>
      <c r="D151" s="8">
        <v>6.2129999999999996E-11</v>
      </c>
      <c r="E151" s="8">
        <v>6.2129999999999996E-11</v>
      </c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>
      <c r="B152" s="7">
        <v>1340</v>
      </c>
      <c r="C152" s="8">
        <v>6.1472E-11</v>
      </c>
      <c r="D152" s="8">
        <v>6.1472E-11</v>
      </c>
      <c r="E152" s="8">
        <v>6.1472E-11</v>
      </c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>
      <c r="B153" s="7">
        <v>1360</v>
      </c>
      <c r="C153" s="8">
        <v>6.0821999999999994E-11</v>
      </c>
      <c r="D153" s="8">
        <v>6.0821999999999994E-11</v>
      </c>
      <c r="E153" s="8">
        <v>6.0821999999999994E-11</v>
      </c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>
      <c r="B154" s="7">
        <v>1380</v>
      </c>
      <c r="C154" s="8">
        <v>6.0178999999999997E-11</v>
      </c>
      <c r="D154" s="8">
        <v>6.0178999999999997E-11</v>
      </c>
      <c r="E154" s="8">
        <v>6.0178999999999997E-11</v>
      </c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>
      <c r="B155" s="7">
        <v>1400</v>
      </c>
      <c r="C155" s="8">
        <v>5.9542999999999995E-11</v>
      </c>
      <c r="D155" s="8">
        <v>5.9542999999999995E-11</v>
      </c>
      <c r="E155" s="8">
        <v>5.9542999999999995E-11</v>
      </c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>
      <c r="B156" s="7">
        <v>1420</v>
      </c>
      <c r="C156" s="8">
        <v>5.8913000000000006E-11</v>
      </c>
      <c r="D156" s="8">
        <v>5.8913000000000006E-11</v>
      </c>
      <c r="E156" s="8">
        <v>5.8913000000000006E-11</v>
      </c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>
      <c r="B157" s="7">
        <v>1440</v>
      </c>
      <c r="C157" s="8">
        <v>5.829E-11</v>
      </c>
      <c r="D157" s="8">
        <v>5.829E-11</v>
      </c>
      <c r="E157" s="8">
        <v>5.829E-11</v>
      </c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>
      <c r="B158" s="7">
        <v>1460</v>
      </c>
      <c r="C158" s="8">
        <v>5.7674000000000002E-11</v>
      </c>
      <c r="D158" s="8">
        <v>5.7674000000000002E-11</v>
      </c>
      <c r="E158" s="8">
        <v>5.7674000000000002E-11</v>
      </c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>
      <c r="B159" s="7">
        <v>1480</v>
      </c>
      <c r="C159" s="8">
        <v>5.7064000000000003E-11</v>
      </c>
      <c r="D159" s="8">
        <v>5.7064000000000003E-11</v>
      </c>
      <c r="E159" s="8">
        <v>5.7064000000000003E-11</v>
      </c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>
      <c r="B160" s="7">
        <v>1500</v>
      </c>
      <c r="C160" s="8">
        <v>5.6459999999999998E-11</v>
      </c>
      <c r="D160" s="8">
        <v>5.6459999999999998E-11</v>
      </c>
      <c r="E160" s="8">
        <v>5.6459999999999998E-11</v>
      </c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>
      <c r="B161" s="7">
        <v>1520</v>
      </c>
      <c r="C161" s="8">
        <v>5.5863000000000001E-11</v>
      </c>
      <c r="D161" s="8">
        <v>5.5863000000000001E-11</v>
      </c>
      <c r="E161" s="8">
        <v>5.5863000000000001E-11</v>
      </c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>
      <c r="B162" s="7">
        <v>1560</v>
      </c>
      <c r="C162" s="8">
        <v>5.4688000000000003E-11</v>
      </c>
      <c r="D162" s="8">
        <v>5.4688000000000003E-11</v>
      </c>
      <c r="E162" s="8">
        <v>5.4688000000000003E-11</v>
      </c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>
      <c r="B163" s="7">
        <v>1600</v>
      </c>
      <c r="C163" s="8">
        <v>5.3536999999999997E-11</v>
      </c>
      <c r="D163" s="8">
        <v>5.3536999999999997E-11</v>
      </c>
      <c r="E163" s="8">
        <v>5.3536999999999997E-11</v>
      </c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>
      <c r="B164" s="7">
        <v>1640</v>
      </c>
      <c r="C164" s="8">
        <v>5.2410999999999999E-11</v>
      </c>
      <c r="D164" s="8">
        <v>5.2410999999999999E-11</v>
      </c>
      <c r="E164" s="8">
        <v>5.2410999999999999E-11</v>
      </c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>
      <c r="B165" s="7">
        <v>1680</v>
      </c>
      <c r="C165" s="8">
        <v>5.1307999999999997E-11</v>
      </c>
      <c r="D165" s="8">
        <v>5.1307999999999997E-11</v>
      </c>
      <c r="E165" s="8">
        <v>5.1307999999999997E-11</v>
      </c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>
      <c r="B166" s="7">
        <v>1720</v>
      </c>
      <c r="C166" s="8">
        <v>5.0229000000000002E-11</v>
      </c>
      <c r="D166" s="8">
        <v>5.0229000000000002E-11</v>
      </c>
      <c r="E166" s="8">
        <v>5.0229000000000002E-11</v>
      </c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>
      <c r="B167" s="7">
        <v>1760</v>
      </c>
      <c r="C167" s="8">
        <v>4.9172000000000001E-11</v>
      </c>
      <c r="D167" s="8">
        <v>4.9172000000000001E-11</v>
      </c>
      <c r="E167" s="8">
        <v>4.9172000000000001E-11</v>
      </c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>
      <c r="B168" s="7">
        <v>1800</v>
      </c>
      <c r="C168" s="8">
        <v>4.8137999999999997E-11</v>
      </c>
      <c r="D168" s="8">
        <v>4.8137999999999997E-11</v>
      </c>
      <c r="E168" s="8">
        <v>4.8137999999999997E-11</v>
      </c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>
      <c r="B169" s="7">
        <v>1840</v>
      </c>
      <c r="C169" s="8">
        <v>4.7124999999999999E-11</v>
      </c>
      <c r="D169" s="8">
        <v>4.7124999999999999E-11</v>
      </c>
      <c r="E169" s="8">
        <v>4.7124999999999999E-11</v>
      </c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>
      <c r="B170" s="7">
        <v>1880</v>
      </c>
      <c r="C170" s="8">
        <v>4.6133E-11</v>
      </c>
      <c r="D170" s="8">
        <v>4.6133E-11</v>
      </c>
      <c r="E170" s="8">
        <v>4.6133E-11</v>
      </c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>
      <c r="B171" s="7">
        <v>1920</v>
      </c>
      <c r="C171" s="8">
        <v>4.5163000000000002E-11</v>
      </c>
      <c r="D171" s="8">
        <v>4.5163000000000002E-11</v>
      </c>
      <c r="E171" s="8">
        <v>4.5163000000000002E-11</v>
      </c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>
      <c r="B172" s="7">
        <v>1960</v>
      </c>
      <c r="C172" s="8">
        <v>4.4213000000000002E-11</v>
      </c>
      <c r="D172" s="8">
        <v>4.4213000000000002E-11</v>
      </c>
      <c r="E172" s="8">
        <v>4.4213000000000002E-11</v>
      </c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>
      <c r="B173" s="7">
        <v>2000</v>
      </c>
      <c r="C173" s="8">
        <v>4.3282000000000002E-11</v>
      </c>
      <c r="D173" s="8">
        <v>4.3282000000000002E-11</v>
      </c>
      <c r="E173" s="8">
        <v>4.3282000000000002E-11</v>
      </c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>
      <c r="B174" s="7">
        <v>2040</v>
      </c>
      <c r="C174" s="8">
        <v>4.2372000000000002E-11</v>
      </c>
      <c r="D174" s="8">
        <v>4.2372000000000002E-11</v>
      </c>
      <c r="E174" s="8">
        <v>4.2372000000000002E-11</v>
      </c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>
      <c r="B175" s="7">
        <v>2080</v>
      </c>
      <c r="C175" s="8">
        <v>4.1480000000000002E-11</v>
      </c>
      <c r="D175" s="8">
        <v>4.1480000000000002E-11</v>
      </c>
      <c r="E175" s="8">
        <v>4.1480000000000002E-11</v>
      </c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>
      <c r="B176" s="7">
        <v>2120</v>
      </c>
      <c r="C176" s="8">
        <v>4.0607999999999998E-11</v>
      </c>
      <c r="D176" s="8">
        <v>4.0607999999999998E-11</v>
      </c>
      <c r="E176" s="8">
        <v>4.0607999999999998E-11</v>
      </c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>
      <c r="B177" s="7">
        <v>2160</v>
      </c>
      <c r="C177" s="8">
        <v>3.9752999999999998E-11</v>
      </c>
      <c r="D177" s="8">
        <v>3.9752999999999998E-11</v>
      </c>
      <c r="E177" s="8">
        <v>3.9752999999999998E-11</v>
      </c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>
      <c r="B178" s="7">
        <v>2200</v>
      </c>
      <c r="C178" s="8">
        <v>3.8917E-11</v>
      </c>
      <c r="D178" s="8">
        <v>3.8917E-11</v>
      </c>
      <c r="E178" s="8">
        <v>3.8917E-11</v>
      </c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>
      <c r="B179" s="7">
        <v>2240</v>
      </c>
      <c r="C179" s="8">
        <v>3.8097999999999999E-11</v>
      </c>
      <c r="D179" s="8">
        <v>3.8097999999999999E-11</v>
      </c>
      <c r="E179" s="8">
        <v>3.8097999999999999E-11</v>
      </c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>
      <c r="B180" s="7">
        <v>2280</v>
      </c>
      <c r="C180" s="8">
        <v>3.7297000000000003E-11</v>
      </c>
      <c r="D180" s="8">
        <v>3.7297000000000003E-11</v>
      </c>
      <c r="E180" s="8">
        <v>3.7297000000000003E-11</v>
      </c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>
      <c r="B181" s="7">
        <v>2320</v>
      </c>
      <c r="C181" s="8">
        <v>3.6512000000000003E-11</v>
      </c>
      <c r="D181" s="8">
        <v>3.6512000000000003E-11</v>
      </c>
      <c r="E181" s="8">
        <v>3.6512000000000003E-11</v>
      </c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>
      <c r="B182" s="7">
        <v>2360</v>
      </c>
      <c r="C182" s="8">
        <v>3.5744E-11</v>
      </c>
      <c r="D182" s="8">
        <v>3.5744E-11</v>
      </c>
      <c r="E182" s="8">
        <v>3.5744E-11</v>
      </c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>
      <c r="B183" s="7">
        <v>2400</v>
      </c>
      <c r="C183" s="8">
        <v>3.4991999999999998E-11</v>
      </c>
      <c r="D183" s="8">
        <v>3.4991999999999998E-11</v>
      </c>
      <c r="E183" s="8">
        <v>3.4991999999999998E-11</v>
      </c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>
      <c r="B184" s="7">
        <v>2440</v>
      </c>
      <c r="C184" s="8">
        <v>3.4255999999999998E-11</v>
      </c>
      <c r="D184" s="8">
        <v>3.4255999999999998E-11</v>
      </c>
      <c r="E184" s="8">
        <v>3.4255999999999998E-11</v>
      </c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>
      <c r="B185" s="7">
        <v>2480</v>
      </c>
      <c r="C185" s="8">
        <v>3.3534999999999997E-11</v>
      </c>
      <c r="D185" s="8">
        <v>3.3534999999999997E-11</v>
      </c>
      <c r="E185" s="8">
        <v>3.3534999999999997E-11</v>
      </c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>
      <c r="B186" s="7">
        <v>2520</v>
      </c>
      <c r="C186" s="8">
        <v>3.2829999999999998E-11</v>
      </c>
      <c r="D186" s="8">
        <v>3.2829999999999998E-11</v>
      </c>
      <c r="E186" s="8">
        <v>3.2829999999999998E-11</v>
      </c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>
      <c r="B187" s="7">
        <v>2560</v>
      </c>
      <c r="C187" s="8">
        <v>3.2139000000000003E-11</v>
      </c>
      <c r="D187" s="8">
        <v>3.2139000000000003E-11</v>
      </c>
      <c r="E187" s="8">
        <v>3.2139000000000003E-11</v>
      </c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>
      <c r="B188" s="7">
        <v>2600</v>
      </c>
      <c r="C188" s="8">
        <v>3.1463E-11</v>
      </c>
      <c r="D188" s="8">
        <v>3.1463E-11</v>
      </c>
      <c r="E188" s="8">
        <v>3.1463E-11</v>
      </c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>
      <c r="B189" s="7">
        <v>2640</v>
      </c>
      <c r="C189" s="8">
        <v>3.0801000000000002E-11</v>
      </c>
      <c r="D189" s="8">
        <v>3.0801000000000002E-11</v>
      </c>
      <c r="E189" s="8">
        <v>3.0801000000000002E-11</v>
      </c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>
      <c r="B190" s="7">
        <v>2680</v>
      </c>
      <c r="C190" s="8">
        <v>3.0153E-11</v>
      </c>
      <c r="D190" s="8">
        <v>3.0153E-11</v>
      </c>
      <c r="E190" s="8">
        <v>3.0153E-11</v>
      </c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>
      <c r="B191" s="7">
        <v>2720</v>
      </c>
      <c r="C191" s="8">
        <v>2.9518000000000001E-11</v>
      </c>
      <c r="D191" s="8">
        <v>2.9518000000000001E-11</v>
      </c>
      <c r="E191" s="8">
        <v>2.9518000000000001E-11</v>
      </c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>
      <c r="B192" s="7">
        <v>2760</v>
      </c>
      <c r="C192" s="8">
        <v>2.8896999999999999E-11</v>
      </c>
      <c r="D192" s="8">
        <v>2.8896999999999999E-11</v>
      </c>
      <c r="E192" s="8">
        <v>2.8896999999999999E-11</v>
      </c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>
      <c r="B193" s="7">
        <v>2800</v>
      </c>
      <c r="C193" s="8">
        <v>2.8289000000000001E-11</v>
      </c>
      <c r="D193" s="8">
        <v>2.8289000000000001E-11</v>
      </c>
      <c r="E193" s="8">
        <v>2.8289000000000001E-11</v>
      </c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>
      <c r="B194" s="7">
        <v>2840</v>
      </c>
      <c r="C194" s="8">
        <v>2.7693999999999999E-11</v>
      </c>
      <c r="D194" s="8">
        <v>2.7693999999999999E-11</v>
      </c>
      <c r="E194" s="8">
        <v>2.7693999999999999E-11</v>
      </c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>
      <c r="B195" s="7">
        <v>2880</v>
      </c>
      <c r="C195" s="8">
        <v>2.7112000000000002E-11</v>
      </c>
      <c r="D195" s="8">
        <v>2.7112000000000002E-11</v>
      </c>
      <c r="E195" s="8">
        <v>2.7112000000000002E-11</v>
      </c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>
      <c r="B196" s="7">
        <v>2920</v>
      </c>
      <c r="C196" s="8">
        <v>2.6540999999999998E-11</v>
      </c>
      <c r="D196" s="8">
        <v>2.6540999999999998E-11</v>
      </c>
      <c r="E196" s="8">
        <v>2.6540999999999998E-11</v>
      </c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>
      <c r="B197" s="7">
        <v>2960</v>
      </c>
      <c r="C197" s="8">
        <v>2.5983E-11</v>
      </c>
      <c r="D197" s="8">
        <v>2.5983E-11</v>
      </c>
      <c r="E197" s="8">
        <v>2.5983E-11</v>
      </c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>
      <c r="B198" s="7">
        <v>3000</v>
      </c>
      <c r="C198" s="8">
        <v>2.5435999999999999E-11</v>
      </c>
      <c r="D198" s="8">
        <v>2.5435999999999999E-11</v>
      </c>
      <c r="E198" s="8">
        <v>2.5435999999999999E-11</v>
      </c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>
      <c r="B199" s="7">
        <v>3040</v>
      </c>
      <c r="C199" s="8">
        <v>2.4901000000000001E-11</v>
      </c>
      <c r="D199" s="8">
        <v>2.4901000000000001E-11</v>
      </c>
      <c r="E199" s="8">
        <v>2.4901000000000001E-11</v>
      </c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>
      <c r="B200" s="7">
        <v>3080</v>
      </c>
      <c r="C200" s="8">
        <v>2.4377000000000001E-11</v>
      </c>
      <c r="D200" s="8">
        <v>2.4377000000000001E-11</v>
      </c>
      <c r="E200" s="8">
        <v>2.4377000000000001E-11</v>
      </c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>
      <c r="B201" s="7">
        <v>3120</v>
      </c>
      <c r="C201" s="8">
        <v>2.3864000000000001E-11</v>
      </c>
      <c r="D201" s="8">
        <v>2.3864000000000001E-11</v>
      </c>
      <c r="E201" s="8">
        <v>2.3864000000000001E-11</v>
      </c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>
      <c r="B202" s="7">
        <v>3160</v>
      </c>
      <c r="C202" s="8">
        <v>2.3361999999999998E-11</v>
      </c>
      <c r="D202" s="8">
        <v>2.3361999999999998E-11</v>
      </c>
      <c r="E202" s="8">
        <v>2.3361999999999998E-11</v>
      </c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>
      <c r="B203" s="7">
        <v>3200</v>
      </c>
      <c r="C203" s="8">
        <v>2.2871E-11</v>
      </c>
      <c r="D203" s="8">
        <v>2.2871E-11</v>
      </c>
      <c r="E203" s="8">
        <v>2.2871E-11</v>
      </c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>
      <c r="B204" s="7">
        <v>3240</v>
      </c>
      <c r="C204" s="8">
        <v>2.239E-11</v>
      </c>
      <c r="D204" s="8">
        <v>2.239E-11</v>
      </c>
      <c r="E204" s="8">
        <v>2.239E-11</v>
      </c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>
      <c r="B205" s="7">
        <v>3280</v>
      </c>
      <c r="C205" s="8">
        <v>2.1919000000000001E-11</v>
      </c>
      <c r="D205" s="8">
        <v>2.1919000000000001E-11</v>
      </c>
      <c r="E205" s="8">
        <v>2.1919000000000001E-11</v>
      </c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>
      <c r="B206" s="7">
        <v>3320</v>
      </c>
      <c r="C206" s="8">
        <v>2.1457E-11</v>
      </c>
      <c r="D206" s="8">
        <v>2.1457E-11</v>
      </c>
      <c r="E206" s="8">
        <v>2.1457E-11</v>
      </c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>
      <c r="B207" s="7">
        <v>3360</v>
      </c>
      <c r="C207" s="8">
        <v>2.1006000000000002E-11</v>
      </c>
      <c r="D207" s="8">
        <v>2.1006000000000002E-11</v>
      </c>
      <c r="E207" s="8">
        <v>2.1006000000000002E-11</v>
      </c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>
      <c r="B208" s="7">
        <v>3400</v>
      </c>
      <c r="C208" s="8">
        <v>2.0564E-11</v>
      </c>
      <c r="D208" s="8">
        <v>2.0564E-11</v>
      </c>
      <c r="E208" s="8">
        <v>2.0564E-11</v>
      </c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>
      <c r="B209" s="7">
        <v>3440</v>
      </c>
      <c r="C209" s="8">
        <v>2.0131000000000001E-11</v>
      </c>
      <c r="D209" s="8">
        <v>2.0131000000000001E-11</v>
      </c>
      <c r="E209" s="8">
        <v>2.0131000000000001E-11</v>
      </c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>
      <c r="B210" s="7">
        <v>3480</v>
      </c>
      <c r="C210" s="8">
        <v>1.9708000000000001E-11</v>
      </c>
      <c r="D210" s="8">
        <v>1.9708000000000001E-11</v>
      </c>
      <c r="E210" s="8">
        <v>1.9708000000000001E-11</v>
      </c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>
      <c r="B211" s="7">
        <v>3520</v>
      </c>
      <c r="C211" s="8">
        <v>1.9292999999999999E-11</v>
      </c>
      <c r="D211" s="8">
        <v>1.9292999999999999E-11</v>
      </c>
      <c r="E211" s="8">
        <v>1.9292999999999999E-11</v>
      </c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>
      <c r="B212" s="7">
        <v>3560</v>
      </c>
      <c r="C212" s="8">
        <v>1.8886999999999999E-11</v>
      </c>
      <c r="D212" s="8">
        <v>1.8886999999999999E-11</v>
      </c>
      <c r="E212" s="8">
        <v>1.8886999999999999E-11</v>
      </c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>
      <c r="B213" s="7">
        <v>3600</v>
      </c>
      <c r="C213" s="8">
        <v>1.8489999999999999E-11</v>
      </c>
      <c r="D213" s="8">
        <v>1.8489999999999999E-11</v>
      </c>
      <c r="E213" s="8">
        <v>1.8489999999999999E-11</v>
      </c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>
      <c r="B214" s="7">
        <v>3640</v>
      </c>
      <c r="C214" s="8">
        <v>1.8101E-11</v>
      </c>
      <c r="D214" s="8">
        <v>1.8101E-11</v>
      </c>
      <c r="E214" s="8">
        <v>1.8101E-11</v>
      </c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>
      <c r="B215" s="7">
        <v>3680</v>
      </c>
      <c r="C215" s="8">
        <v>1.7720000000000001E-11</v>
      </c>
      <c r="D215" s="8">
        <v>1.7720000000000001E-11</v>
      </c>
      <c r="E215" s="8">
        <v>1.7720000000000001E-11</v>
      </c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>
      <c r="B216" s="7">
        <v>3720</v>
      </c>
      <c r="C216" s="8">
        <v>1.7347E-11</v>
      </c>
      <c r="D216" s="8">
        <v>1.7347E-11</v>
      </c>
      <c r="E216" s="8">
        <v>1.7347E-11</v>
      </c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>
      <c r="B217" s="7">
        <v>3760</v>
      </c>
      <c r="C217" s="8">
        <v>1.6982E-11</v>
      </c>
      <c r="D217" s="8">
        <v>1.6982E-11</v>
      </c>
      <c r="E217" s="8">
        <v>1.6982E-11</v>
      </c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>
      <c r="B218" s="7">
        <v>3800</v>
      </c>
      <c r="C218" s="8">
        <v>1.6625000000000001E-11</v>
      </c>
      <c r="D218" s="8">
        <v>1.6625000000000001E-11</v>
      </c>
      <c r="E218" s="8">
        <v>1.6625000000000001E-11</v>
      </c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>
      <c r="B219" s="7">
        <v>3840</v>
      </c>
      <c r="C219" s="8">
        <v>1.6275E-11</v>
      </c>
      <c r="D219" s="8">
        <v>1.6275E-11</v>
      </c>
      <c r="E219" s="8">
        <v>1.6275E-11</v>
      </c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>
      <c r="B220" s="7">
        <v>3880</v>
      </c>
      <c r="C220" s="8">
        <v>1.5933E-11</v>
      </c>
      <c r="D220" s="8">
        <v>1.5933E-11</v>
      </c>
      <c r="E220" s="8">
        <v>1.5933E-11</v>
      </c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>
      <c r="B221" s="7">
        <v>3920</v>
      </c>
      <c r="C221" s="8">
        <v>1.5597999999999999E-11</v>
      </c>
      <c r="D221" s="8">
        <v>1.5597999999999999E-11</v>
      </c>
      <c r="E221" s="8">
        <v>1.5597999999999999E-11</v>
      </c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>
      <c r="B222" s="7">
        <v>3960</v>
      </c>
      <c r="C222" s="8">
        <v>1.5269999999999999E-11</v>
      </c>
      <c r="D222" s="8">
        <v>1.5269999999999999E-11</v>
      </c>
      <c r="E222" s="8">
        <v>1.5269999999999999E-11</v>
      </c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>
      <c r="B223" s="7">
        <v>4000</v>
      </c>
      <c r="C223" s="8">
        <v>1.4948E-11</v>
      </c>
      <c r="D223" s="8">
        <v>1.4948E-11</v>
      </c>
      <c r="E223" s="8">
        <v>1.4948E-11</v>
      </c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>
      <c r="B224" s="7">
        <v>4040</v>
      </c>
      <c r="C224" s="8">
        <v>1.4634000000000001E-11</v>
      </c>
      <c r="D224" s="8">
        <v>1.4634000000000001E-11</v>
      </c>
      <c r="E224" s="8">
        <v>1.4634000000000001E-11</v>
      </c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>
      <c r="B225" s="7">
        <v>4080</v>
      </c>
      <c r="C225" s="8">
        <v>1.4326E-11</v>
      </c>
      <c r="D225" s="8">
        <v>1.4326E-11</v>
      </c>
      <c r="E225" s="8">
        <v>1.4326E-11</v>
      </c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>
      <c r="B226" s="7">
        <v>4120</v>
      </c>
      <c r="C226" s="8">
        <v>1.4025E-11</v>
      </c>
      <c r="D226" s="8">
        <v>1.4025E-11</v>
      </c>
      <c r="E226" s="8">
        <v>1.4025E-11</v>
      </c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>
      <c r="B227" s="7">
        <v>4160</v>
      </c>
      <c r="C227" s="8">
        <v>1.3730000000000001E-11</v>
      </c>
      <c r="D227" s="8">
        <v>1.3730000000000001E-11</v>
      </c>
      <c r="E227" s="8">
        <v>1.3730000000000001E-11</v>
      </c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>
      <c r="B228" s="7">
        <v>4200</v>
      </c>
      <c r="C228" s="8">
        <v>1.3441E-11</v>
      </c>
      <c r="D228" s="8">
        <v>1.3441E-11</v>
      </c>
      <c r="E228" s="8">
        <v>1.3441E-11</v>
      </c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>
      <c r="B229" s="7">
        <v>4240</v>
      </c>
      <c r="C229" s="8">
        <v>1.3158E-11</v>
      </c>
      <c r="D229" s="8">
        <v>1.3158E-11</v>
      </c>
      <c r="E229" s="8">
        <v>1.3158E-11</v>
      </c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>
      <c r="B230" s="7">
        <v>4280</v>
      </c>
      <c r="C230" s="8">
        <v>1.2881000000000001E-11</v>
      </c>
      <c r="D230" s="8">
        <v>1.2881000000000001E-11</v>
      </c>
      <c r="E230" s="8">
        <v>1.2881000000000001E-11</v>
      </c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>
      <c r="B231" s="7">
        <v>4320</v>
      </c>
      <c r="C231" s="8">
        <v>1.2610000000000001E-11</v>
      </c>
      <c r="D231" s="8">
        <v>1.2610000000000001E-11</v>
      </c>
      <c r="E231" s="8">
        <v>1.2610000000000001E-11</v>
      </c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10.Document" shapeId="16388" r:id="rId4">
          <objectPr defaultSize="0" r:id="rId5">
            <anchor moveWithCells="1">
              <from>
                <xdr:col>23</xdr:col>
                <xdr:colOff>0</xdr:colOff>
                <xdr:row>18</xdr:row>
                <xdr:rowOff>0</xdr:rowOff>
              </from>
              <to>
                <xdr:col>28</xdr:col>
                <xdr:colOff>660400</xdr:colOff>
                <xdr:row>32</xdr:row>
                <xdr:rowOff>25400</xdr:rowOff>
              </to>
            </anchor>
          </objectPr>
        </oleObject>
      </mc:Choice>
      <mc:Fallback>
        <oleObject progId="Prism10.Document" shapeId="16388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9CCF-C834-45CF-9C3A-F2F324590DBB}">
  <dimension ref="A1:BM602"/>
  <sheetViews>
    <sheetView topLeftCell="E1" zoomScale="85" zoomScaleNormal="85" workbookViewId="0">
      <selection activeCell="O39" sqref="O39:V231"/>
    </sheetView>
  </sheetViews>
  <sheetFormatPr baseColWidth="10" defaultColWidth="8.83203125" defaultRowHeight="17"/>
  <cols>
    <col min="6" max="9" width="13.1640625" bestFit="1" customWidth="1"/>
    <col min="11" max="11" width="9.1640625" bestFit="1" customWidth="1"/>
    <col min="13" max="13" width="13.1640625" bestFit="1" customWidth="1"/>
    <col min="16" max="16" width="13.5" customWidth="1"/>
    <col min="17" max="17" width="9.83203125" bestFit="1" customWidth="1"/>
    <col min="18" max="18" width="9.5" bestFit="1" customWidth="1"/>
    <col min="20" max="20" width="11" bestFit="1" customWidth="1"/>
    <col min="21" max="21" width="9.5" bestFit="1" customWidth="1"/>
    <col min="22" max="22" width="13.33203125" bestFit="1" customWidth="1"/>
    <col min="29" max="29" width="9.5" bestFit="1" customWidth="1"/>
    <col min="33" max="34" width="9.1640625" bestFit="1" customWidth="1"/>
    <col min="35" max="35" width="9.1640625" customWidth="1"/>
    <col min="46" max="46" width="7.5" customWidth="1"/>
    <col min="47" max="47" width="15" customWidth="1"/>
    <col min="48" max="48" width="11" bestFit="1" customWidth="1"/>
    <col min="49" max="49" width="9.1640625" bestFit="1" customWidth="1"/>
    <col min="51" max="56" width="9.1640625" bestFit="1" customWidth="1"/>
  </cols>
  <sheetData>
    <row r="1" spans="1:65">
      <c r="A1" s="1">
        <f>K2</f>
        <v>1.2735707007310401E-10</v>
      </c>
      <c r="B1" s="7" t="s">
        <v>0</v>
      </c>
      <c r="C1" s="7" t="s">
        <v>108</v>
      </c>
      <c r="D1" s="7" t="s">
        <v>108</v>
      </c>
      <c r="E1" s="7" t="s">
        <v>108</v>
      </c>
      <c r="F1" t="s">
        <v>108</v>
      </c>
      <c r="G1" t="s">
        <v>108</v>
      </c>
      <c r="H1" t="s">
        <v>109</v>
      </c>
      <c r="I1" t="s">
        <v>110</v>
      </c>
      <c r="J1" s="7"/>
      <c r="N1" s="7"/>
      <c r="O1" t="s">
        <v>35</v>
      </c>
      <c r="P1" t="s">
        <v>5</v>
      </c>
      <c r="Q1" t="s">
        <v>30</v>
      </c>
      <c r="R1" t="s">
        <v>38</v>
      </c>
      <c r="S1" s="3" t="s">
        <v>11</v>
      </c>
      <c r="T1" t="s">
        <v>32</v>
      </c>
      <c r="U1" t="s">
        <v>3</v>
      </c>
      <c r="V1" s="4" t="s">
        <v>4</v>
      </c>
      <c r="X1" s="3"/>
      <c r="Y1" s="3" t="s">
        <v>12</v>
      </c>
      <c r="Z1" s="3" t="s">
        <v>36</v>
      </c>
      <c r="AA1" s="3" t="s">
        <v>37</v>
      </c>
      <c r="AB1" s="3" t="s">
        <v>39</v>
      </c>
      <c r="AC1" s="3" t="s">
        <v>13</v>
      </c>
      <c r="AF1" s="35" t="s">
        <v>85</v>
      </c>
      <c r="AJ1" s="7"/>
      <c r="AK1" s="7"/>
    </row>
    <row r="2" spans="1:65">
      <c r="B2" s="7">
        <v>0</v>
      </c>
      <c r="C2" s="8">
        <v>1.2710000000000001E-10</v>
      </c>
      <c r="D2" s="8">
        <v>1.2710000000000001E-10</v>
      </c>
      <c r="E2" s="8">
        <v>1.2710000000000001E-10</v>
      </c>
      <c r="F2" s="1">
        <v>2.5706999999999998E-13</v>
      </c>
      <c r="G2" s="1">
        <v>7.3104000000000005E-20</v>
      </c>
      <c r="H2" s="1">
        <v>0</v>
      </c>
      <c r="I2" s="1">
        <v>0</v>
      </c>
      <c r="J2" s="8"/>
      <c r="K2" s="1">
        <f>SUM(C2,F2,G2)</f>
        <v>1.2735707007310401E-10</v>
      </c>
      <c r="M2" s="1"/>
      <c r="N2" s="7"/>
      <c r="O2">
        <f>B2/60</f>
        <v>0</v>
      </c>
      <c r="P2" s="6">
        <f>(SUM(F2:J2)+C2)/$A$1*100</f>
        <v>100</v>
      </c>
      <c r="Q2" s="6">
        <f t="shared" ref="Q2:Q65" si="0">(H2+F2)/$A$1*100</f>
        <v>0.20184980688739124</v>
      </c>
      <c r="R2" s="6">
        <f t="shared" ref="R2:R65" si="1">(G2+I2)/$A$1*100</f>
        <v>5.7400817997805464E-8</v>
      </c>
      <c r="S2" s="5">
        <f t="shared" ref="S2:S65" si="2">J2/$A$1*100</f>
        <v>0</v>
      </c>
      <c r="T2" s="6">
        <f t="shared" ref="T2:V17" si="3">C2/$A$1*100</f>
        <v>99.798150135711779</v>
      </c>
      <c r="U2" s="1">
        <f t="shared" si="3"/>
        <v>99.798150135711779</v>
      </c>
      <c r="V2" s="1">
        <f t="shared" si="3"/>
        <v>99.798150135711779</v>
      </c>
      <c r="X2" s="9" t="s">
        <v>26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" t="s">
        <v>84</v>
      </c>
      <c r="AG2" t="s">
        <v>81</v>
      </c>
      <c r="AH2" s="7" t="s">
        <v>82</v>
      </c>
      <c r="AI2" s="7" t="s">
        <v>83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>
      <c r="B3" s="7">
        <v>2</v>
      </c>
      <c r="C3" s="8">
        <v>1.2496E-10</v>
      </c>
      <c r="D3" s="8">
        <v>1.2496E-10</v>
      </c>
      <c r="E3" s="8">
        <v>1.2496E-10</v>
      </c>
      <c r="F3" s="1">
        <v>2.3500999999999999E-12</v>
      </c>
      <c r="G3" s="1">
        <v>9.7997000000000003E-18</v>
      </c>
      <c r="H3" s="1">
        <v>2.8930999999999999E-14</v>
      </c>
      <c r="I3" s="1">
        <v>1.4903E-15</v>
      </c>
      <c r="J3" s="8"/>
      <c r="K3" s="1"/>
      <c r="L3" s="1"/>
      <c r="M3" s="1"/>
      <c r="N3" s="7"/>
      <c r="O3">
        <f t="shared" ref="O3:O66" si="4">B3/60</f>
        <v>3.3333333333333333E-2</v>
      </c>
      <c r="P3" s="6">
        <f t="shared" ref="P3:P66" si="5">(SUM(F3:J3)+C3)/$A$1*100</f>
        <v>99.987013698262288</v>
      </c>
      <c r="Q3" s="6">
        <f t="shared" si="0"/>
        <v>1.8680007310425846</v>
      </c>
      <c r="R3" s="6">
        <f t="shared" si="1"/>
        <v>1.1778691981049268E-3</v>
      </c>
      <c r="S3" s="5">
        <f t="shared" si="2"/>
        <v>0</v>
      </c>
      <c r="T3" s="6">
        <f t="shared" si="3"/>
        <v>98.117835098021587</v>
      </c>
      <c r="U3" s="1">
        <f t="shared" si="3"/>
        <v>98.117835098021587</v>
      </c>
      <c r="V3" s="1">
        <f t="shared" si="3"/>
        <v>98.117835098021587</v>
      </c>
      <c r="X3" s="9"/>
      <c r="Y3" s="2"/>
      <c r="Z3" s="2"/>
      <c r="AA3" s="2"/>
      <c r="AB3" s="2"/>
      <c r="AC3" s="2"/>
      <c r="AD3" s="1"/>
      <c r="AE3" s="1"/>
      <c r="AF3" t="s">
        <v>40</v>
      </c>
      <c r="AG3" t="s">
        <v>41</v>
      </c>
      <c r="AH3" s="7" t="s">
        <v>42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B4" s="7">
        <v>4.8159999999999998</v>
      </c>
      <c r="C4" s="8">
        <v>1.2437999999999999E-10</v>
      </c>
      <c r="D4" s="8">
        <v>1.2437999999999999E-10</v>
      </c>
      <c r="E4" s="8">
        <v>1.2437999999999999E-10</v>
      </c>
      <c r="F4" s="1">
        <v>2.8281E-12</v>
      </c>
      <c r="G4" s="1">
        <v>1.3726999999999999E-17</v>
      </c>
      <c r="H4" s="1">
        <v>1.2116000000000001E-13</v>
      </c>
      <c r="I4" s="1">
        <v>6.5467999999999998E-15</v>
      </c>
      <c r="J4" s="8"/>
      <c r="K4" s="1"/>
      <c r="L4" s="1"/>
      <c r="M4" s="1"/>
      <c r="N4" s="7"/>
      <c r="O4">
        <f t="shared" si="4"/>
        <v>8.0266666666666667E-2</v>
      </c>
      <c r="P4" s="6">
        <f t="shared" si="5"/>
        <v>99.983314985110894</v>
      </c>
      <c r="Q4" s="6">
        <f t="shared" si="0"/>
        <v>2.3157410878776501</v>
      </c>
      <c r="R4" s="6">
        <f t="shared" si="1"/>
        <v>5.1512860622768743E-3</v>
      </c>
      <c r="S4" s="5">
        <f t="shared" si="2"/>
        <v>0</v>
      </c>
      <c r="T4" s="6">
        <f t="shared" si="3"/>
        <v>97.662422611170967</v>
      </c>
      <c r="U4" s="1">
        <f t="shared" si="3"/>
        <v>97.662422611170967</v>
      </c>
      <c r="V4" s="1">
        <f t="shared" si="3"/>
        <v>97.662422611170967</v>
      </c>
      <c r="X4" s="9" t="s">
        <v>27</v>
      </c>
      <c r="Y4" s="2">
        <v>7238</v>
      </c>
      <c r="Z4" s="2">
        <v>2756</v>
      </c>
      <c r="AA4" s="2">
        <v>1672</v>
      </c>
      <c r="AB4" s="2">
        <v>0</v>
      </c>
      <c r="AC4" s="2">
        <v>2811</v>
      </c>
      <c r="AD4" s="1"/>
      <c r="AE4" s="1"/>
      <c r="AF4" s="36" t="s">
        <v>43</v>
      </c>
      <c r="AG4" s="38" t="s">
        <v>89</v>
      </c>
      <c r="AH4" s="38" t="s">
        <v>89</v>
      </c>
      <c r="AI4" s="39" t="s">
        <v>46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B5" s="7">
        <v>6.8639999999999999</v>
      </c>
      <c r="C5" s="8">
        <v>1.2419000000000001E-10</v>
      </c>
      <c r="D5" s="8">
        <v>1.2419000000000001E-10</v>
      </c>
      <c r="E5" s="8">
        <v>1.2419000000000001E-10</v>
      </c>
      <c r="F5" s="1">
        <v>2.9388999999999999E-12</v>
      </c>
      <c r="G5" s="1">
        <v>1.8096999999999999E-17</v>
      </c>
      <c r="H5" s="1">
        <v>1.9826000000000001E-13</v>
      </c>
      <c r="I5" s="1">
        <v>1.1525E-14</v>
      </c>
      <c r="J5" s="8"/>
      <c r="K5" s="1"/>
      <c r="L5" s="1"/>
      <c r="M5" s="1"/>
      <c r="N5" s="7"/>
      <c r="O5">
        <f t="shared" si="4"/>
        <v>0.1144</v>
      </c>
      <c r="P5" s="6">
        <f t="shared" si="5"/>
        <v>99.985578361614742</v>
      </c>
      <c r="Q5" s="6">
        <f t="shared" si="0"/>
        <v>2.4632790297383913</v>
      </c>
      <c r="R5" s="6">
        <f t="shared" si="1"/>
        <v>9.0635698460824875E-3</v>
      </c>
      <c r="S5" s="5">
        <f t="shared" si="2"/>
        <v>0</v>
      </c>
      <c r="T5" s="6">
        <f t="shared" si="3"/>
        <v>97.513235762030277</v>
      </c>
      <c r="U5" s="1">
        <f t="shared" si="3"/>
        <v>97.513235762030277</v>
      </c>
      <c r="V5" s="1">
        <f t="shared" si="3"/>
        <v>97.513235762030277</v>
      </c>
      <c r="X5" s="9" t="s">
        <v>28</v>
      </c>
      <c r="Y5" s="2">
        <v>7238</v>
      </c>
      <c r="Z5" s="2">
        <v>2756</v>
      </c>
      <c r="AA5" s="2">
        <v>1672</v>
      </c>
      <c r="AB5" s="2">
        <v>0</v>
      </c>
      <c r="AC5" s="2">
        <v>2811</v>
      </c>
      <c r="AD5" s="1"/>
      <c r="AE5" s="1"/>
      <c r="AF5" s="1" t="s">
        <v>60</v>
      </c>
      <c r="AG5" s="1" t="s">
        <v>61</v>
      </c>
      <c r="AH5" s="1" t="s">
        <v>62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B6" s="7">
        <v>9.9359999999999999</v>
      </c>
      <c r="C6" s="8">
        <v>1.2400000000000001E-10</v>
      </c>
      <c r="D6" s="8">
        <v>1.2400000000000001E-10</v>
      </c>
      <c r="E6" s="8">
        <v>1.2400000000000001E-10</v>
      </c>
      <c r="F6" s="1">
        <v>2.9966E-12</v>
      </c>
      <c r="G6" s="1">
        <v>2.6164E-17</v>
      </c>
      <c r="H6" s="1">
        <v>3.1874999999999998E-13</v>
      </c>
      <c r="I6" s="1">
        <v>2.2006E-14</v>
      </c>
      <c r="J6" s="8"/>
      <c r="K6" s="1"/>
      <c r="L6" s="1"/>
      <c r="M6" s="1"/>
      <c r="N6" s="7"/>
      <c r="O6">
        <f t="shared" si="4"/>
        <v>0.1656</v>
      </c>
      <c r="P6" s="6">
        <f t="shared" si="5"/>
        <v>99.984541173024226</v>
      </c>
      <c r="Q6" s="6">
        <f t="shared" si="0"/>
        <v>2.6031927384140996</v>
      </c>
      <c r="R6" s="6">
        <f t="shared" si="1"/>
        <v>1.729952172058713E-2</v>
      </c>
      <c r="S6" s="5">
        <f t="shared" si="2"/>
        <v>0</v>
      </c>
      <c r="T6" s="6">
        <f t="shared" si="3"/>
        <v>97.364048912889544</v>
      </c>
      <c r="U6" s="1">
        <f t="shared" si="3"/>
        <v>97.364048912889544</v>
      </c>
      <c r="V6" s="1">
        <f t="shared" si="3"/>
        <v>97.364048912889544</v>
      </c>
      <c r="X6" s="9" t="s">
        <v>29</v>
      </c>
      <c r="Y6" s="2">
        <v>1</v>
      </c>
      <c r="Z6" s="2">
        <v>1</v>
      </c>
      <c r="AA6" s="2">
        <v>1</v>
      </c>
      <c r="AB6" s="2">
        <v>19</v>
      </c>
      <c r="AC6" s="2">
        <v>1</v>
      </c>
      <c r="AD6" s="1"/>
      <c r="AE6" s="1"/>
      <c r="AF6" t="s">
        <v>18</v>
      </c>
      <c r="AG6">
        <v>0.5</v>
      </c>
      <c r="AH6" s="1">
        <v>0.5</v>
      </c>
      <c r="AI6" s="1" t="s">
        <v>47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B7" s="7">
        <v>11.984</v>
      </c>
      <c r="C7" s="8">
        <v>1.2389E-10</v>
      </c>
      <c r="D7" s="8">
        <v>1.2389E-10</v>
      </c>
      <c r="E7" s="8">
        <v>1.2389E-10</v>
      </c>
      <c r="F7" s="1">
        <v>3.0079000000000001E-12</v>
      </c>
      <c r="G7" s="1">
        <v>3.3572999999999998E-17</v>
      </c>
      <c r="H7" s="1">
        <v>4.0054999999999999E-13</v>
      </c>
      <c r="I7" s="1">
        <v>3.1478999999999999E-14</v>
      </c>
      <c r="J7" s="8"/>
      <c r="K7" s="1"/>
      <c r="L7" s="1"/>
      <c r="M7" s="1"/>
      <c r="N7" s="7"/>
      <c r="O7">
        <f t="shared" si="4"/>
        <v>0.19973333333333335</v>
      </c>
      <c r="P7" s="6">
        <f t="shared" si="5"/>
        <v>99.978715355112641</v>
      </c>
      <c r="Q7" s="6">
        <f t="shared" si="0"/>
        <v>2.6762942944930512</v>
      </c>
      <c r="R7" s="6">
        <f t="shared" si="1"/>
        <v>2.474348144308873E-2</v>
      </c>
      <c r="S7" s="5">
        <f t="shared" si="2"/>
        <v>0</v>
      </c>
      <c r="T7" s="6">
        <f t="shared" si="3"/>
        <v>97.277677579176498</v>
      </c>
      <c r="U7" s="1">
        <f t="shared" si="3"/>
        <v>97.277677579176498</v>
      </c>
      <c r="V7" s="1">
        <f t="shared" si="3"/>
        <v>97.277677579176498</v>
      </c>
      <c r="X7" s="9"/>
      <c r="Y7" s="2"/>
      <c r="Z7" s="2"/>
      <c r="AA7" s="2"/>
      <c r="AB7" s="2"/>
      <c r="AC7" s="2"/>
      <c r="AD7" s="1"/>
      <c r="AE7" s="1"/>
      <c r="AF7" t="s">
        <v>48</v>
      </c>
      <c r="AG7" t="s">
        <v>94</v>
      </c>
      <c r="AH7" s="1" t="s">
        <v>95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B8" s="7">
        <v>14.032</v>
      </c>
      <c r="C8" s="8">
        <v>1.238E-10</v>
      </c>
      <c r="D8" s="8">
        <v>1.238E-10</v>
      </c>
      <c r="E8" s="8">
        <v>1.238E-10</v>
      </c>
      <c r="F8" s="1">
        <v>3.0100999999999999E-12</v>
      </c>
      <c r="G8" s="1">
        <v>4.2210999999999998E-17</v>
      </c>
      <c r="H8" s="1">
        <v>4.8276999999999997E-13</v>
      </c>
      <c r="I8" s="1">
        <v>4.342E-14</v>
      </c>
      <c r="J8" s="8"/>
      <c r="K8" s="1"/>
      <c r="L8" s="1"/>
      <c r="M8" s="1"/>
      <c r="N8" s="7"/>
      <c r="O8">
        <f t="shared" si="4"/>
        <v>0.23386666666666667</v>
      </c>
      <c r="P8" s="6">
        <f t="shared" si="5"/>
        <v>99.983716756288359</v>
      </c>
      <c r="Q8" s="6">
        <f t="shared" si="0"/>
        <v>2.7425803671481006</v>
      </c>
      <c r="R8" s="6">
        <f t="shared" si="1"/>
        <v>3.4126264819889722E-2</v>
      </c>
      <c r="S8" s="5">
        <f t="shared" si="2"/>
        <v>0</v>
      </c>
      <c r="T8" s="6">
        <f t="shared" si="3"/>
        <v>97.207010124320377</v>
      </c>
      <c r="U8" s="1">
        <f t="shared" si="3"/>
        <v>97.207010124320377</v>
      </c>
      <c r="V8" s="1">
        <f t="shared" si="3"/>
        <v>97.207010124320377</v>
      </c>
      <c r="X8" s="9"/>
      <c r="Y8" s="2">
        <f>Y4/$Y$4*100</f>
        <v>100</v>
      </c>
      <c r="Z8" s="10">
        <f>Z4/$Y$4*100</f>
        <v>38.07681680022106</v>
      </c>
      <c r="AA8" s="10">
        <f>AA4/$Y$4*100</f>
        <v>23.100303951367781</v>
      </c>
      <c r="AB8" s="10">
        <f>AB4/$Y$4*100</f>
        <v>0</v>
      </c>
      <c r="AC8" s="10">
        <f>AC4/$Y$4*100</f>
        <v>38.836695219673942</v>
      </c>
      <c r="AD8" s="1"/>
      <c r="AE8" s="1"/>
      <c r="AF8" s="1" t="s">
        <v>20</v>
      </c>
      <c r="AG8" s="1">
        <v>0</v>
      </c>
      <c r="AH8" s="1">
        <v>0</v>
      </c>
      <c r="AI8" s="1" t="s">
        <v>49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>
      <c r="B9" s="7">
        <v>16.079999999999998</v>
      </c>
      <c r="C9" s="8">
        <v>1.237E-10</v>
      </c>
      <c r="D9" s="8">
        <v>1.237E-10</v>
      </c>
      <c r="E9" s="8">
        <v>1.237E-10</v>
      </c>
      <c r="F9" s="1">
        <v>3.0086999999999999E-12</v>
      </c>
      <c r="G9" s="1">
        <v>5.1227E-17</v>
      </c>
      <c r="H9" s="1">
        <v>5.6517E-13</v>
      </c>
      <c r="I9" s="1">
        <v>5.8066E-14</v>
      </c>
      <c r="J9" s="8"/>
      <c r="K9" s="1"/>
      <c r="L9" s="1"/>
      <c r="M9" s="1"/>
      <c r="N9" s="7"/>
      <c r="O9">
        <f t="shared" si="4"/>
        <v>0.26799999999999996</v>
      </c>
      <c r="P9" s="6">
        <f t="shared" si="5"/>
        <v>99.98030510116979</v>
      </c>
      <c r="Q9" s="6">
        <f t="shared" si="0"/>
        <v>2.8061810765186173</v>
      </c>
      <c r="R9" s="6">
        <f t="shared" si="1"/>
        <v>4.5633294615399229E-2</v>
      </c>
      <c r="S9" s="5">
        <f t="shared" si="2"/>
        <v>0</v>
      </c>
      <c r="T9" s="6">
        <f t="shared" si="3"/>
        <v>97.128490730035779</v>
      </c>
      <c r="U9" s="1">
        <f t="shared" si="3"/>
        <v>97.128490730035779</v>
      </c>
      <c r="V9" s="1">
        <f t="shared" si="3"/>
        <v>97.128490730035779</v>
      </c>
      <c r="X9" s="9"/>
      <c r="Y9" s="2"/>
      <c r="Z9" s="2"/>
      <c r="AA9" s="2"/>
      <c r="AB9" s="2"/>
      <c r="AC9" s="2"/>
      <c r="AD9" s="1"/>
      <c r="AE9" s="1"/>
      <c r="AF9" s="1" t="s">
        <v>22</v>
      </c>
      <c r="AG9" s="1">
        <v>0</v>
      </c>
      <c r="AH9" s="1">
        <v>0</v>
      </c>
      <c r="AI9" s="1" t="s">
        <v>50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8" thickBot="1">
      <c r="B10" s="7">
        <v>18.128</v>
      </c>
      <c r="C10" s="8">
        <v>1.2359999999999999E-10</v>
      </c>
      <c r="D10" s="8">
        <v>1.2359999999999999E-10</v>
      </c>
      <c r="E10" s="8">
        <v>1.2359999999999999E-10</v>
      </c>
      <c r="F10" s="1">
        <v>3.0058E-12</v>
      </c>
      <c r="G10" s="1">
        <v>6.0331999999999996E-17</v>
      </c>
      <c r="H10" s="1">
        <v>6.4763000000000004E-13</v>
      </c>
      <c r="I10" s="1">
        <v>7.5523000000000005E-14</v>
      </c>
      <c r="J10" s="8"/>
      <c r="K10" s="1"/>
      <c r="L10" s="1"/>
      <c r="M10" s="1"/>
      <c r="N10" s="7"/>
      <c r="O10">
        <f t="shared" si="4"/>
        <v>0.30213333333333331</v>
      </c>
      <c r="P10" s="6">
        <f t="shared" si="5"/>
        <v>99.977970016829119</v>
      </c>
      <c r="Q10" s="6">
        <f t="shared" si="0"/>
        <v>2.868651106611436</v>
      </c>
      <c r="R10" s="6">
        <f t="shared" si="1"/>
        <v>5.9347574466509435E-2</v>
      </c>
      <c r="S10" s="5">
        <f t="shared" si="2"/>
        <v>0</v>
      </c>
      <c r="T10" s="6">
        <f t="shared" si="3"/>
        <v>97.049971335751181</v>
      </c>
      <c r="U10" s="1">
        <f t="shared" si="3"/>
        <v>97.049971335751181</v>
      </c>
      <c r="V10" s="1">
        <f t="shared" si="3"/>
        <v>97.049971335751181</v>
      </c>
      <c r="X10" s="9"/>
      <c r="Y10" s="2"/>
      <c r="Z10" s="2"/>
      <c r="AA10" s="2"/>
      <c r="AB10" s="2"/>
      <c r="AC10" s="2"/>
      <c r="AD10" s="1"/>
      <c r="AE10" s="1"/>
      <c r="AF10" s="1" t="s">
        <v>24</v>
      </c>
      <c r="AG10" s="1">
        <v>0</v>
      </c>
      <c r="AH10" s="1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>
      <c r="B11" s="7">
        <v>22.224</v>
      </c>
      <c r="C11" s="8">
        <v>1.2340000000000001E-10</v>
      </c>
      <c r="D11" s="8">
        <v>1.2340000000000001E-10</v>
      </c>
      <c r="E11" s="8">
        <v>1.2340000000000001E-10</v>
      </c>
      <c r="F11" s="1">
        <v>2.9993999999999999E-12</v>
      </c>
      <c r="G11" s="1">
        <v>7.6087000000000005E-17</v>
      </c>
      <c r="H11" s="1">
        <v>8.1259999999999999E-13</v>
      </c>
      <c r="I11" s="1">
        <v>1.1863E-13</v>
      </c>
      <c r="J11" s="8"/>
      <c r="K11" s="1"/>
      <c r="L11" s="1"/>
      <c r="M11" s="1"/>
      <c r="N11" s="7"/>
      <c r="O11">
        <f t="shared" si="4"/>
        <v>0.37040000000000001</v>
      </c>
      <c r="P11" s="6">
        <f t="shared" si="5"/>
        <v>99.979299157801861</v>
      </c>
      <c r="Q11" s="6">
        <f t="shared" si="0"/>
        <v>2.9931593101285077</v>
      </c>
      <c r="R11" s="6">
        <f t="shared" si="1"/>
        <v>9.3207300491336451E-2</v>
      </c>
      <c r="S11" s="5">
        <f t="shared" si="2"/>
        <v>0</v>
      </c>
      <c r="T11" s="6">
        <f t="shared" si="3"/>
        <v>96.892932547182014</v>
      </c>
      <c r="U11" s="1">
        <f t="shared" si="3"/>
        <v>96.892932547182014</v>
      </c>
      <c r="V11" s="1">
        <f t="shared" si="3"/>
        <v>96.892932547182014</v>
      </c>
      <c r="X11" s="9"/>
      <c r="Y11" s="2"/>
      <c r="Z11" s="2"/>
      <c r="AA11" s="16"/>
      <c r="AB11" s="11" t="s">
        <v>33</v>
      </c>
      <c r="AC11" s="2"/>
      <c r="AD11" s="1"/>
      <c r="AE11" s="1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B12" s="7">
        <v>26.32</v>
      </c>
      <c r="C12" s="8">
        <v>1.2318999999999999E-10</v>
      </c>
      <c r="D12" s="8">
        <v>1.2318999999999999E-10</v>
      </c>
      <c r="E12" s="8">
        <v>1.2318999999999999E-10</v>
      </c>
      <c r="F12" s="1">
        <v>2.9925E-12</v>
      </c>
      <c r="G12" s="1">
        <v>9.1146999999999997E-17</v>
      </c>
      <c r="H12" s="1">
        <v>9.7752000000000006E-13</v>
      </c>
      <c r="I12" s="1">
        <v>1.7184999999999999E-13</v>
      </c>
      <c r="J12" s="8"/>
      <c r="K12" s="1"/>
      <c r="L12" s="1"/>
      <c r="M12" s="1"/>
      <c r="N12" s="7"/>
      <c r="O12">
        <f t="shared" si="4"/>
        <v>0.43866666666666665</v>
      </c>
      <c r="P12" s="6">
        <f t="shared" si="5"/>
        <v>99.980284623311761</v>
      </c>
      <c r="Q12" s="6">
        <f t="shared" si="0"/>
        <v>3.1172356569770141</v>
      </c>
      <c r="R12" s="6">
        <f t="shared" si="1"/>
        <v>0.13500714715037365</v>
      </c>
      <c r="S12" s="5">
        <f t="shared" si="2"/>
        <v>0</v>
      </c>
      <c r="T12" s="6">
        <f t="shared" si="3"/>
        <v>96.728041819184369</v>
      </c>
      <c r="U12" s="1">
        <f t="shared" si="3"/>
        <v>96.728041819184369</v>
      </c>
      <c r="V12" s="1">
        <f t="shared" si="3"/>
        <v>96.728041819184369</v>
      </c>
      <c r="X12" s="9"/>
      <c r="Y12" s="2"/>
      <c r="Z12" s="2"/>
      <c r="AA12" s="12" t="s">
        <v>32</v>
      </c>
      <c r="AB12" s="17">
        <f>AC8</f>
        <v>38.836695219673942</v>
      </c>
      <c r="AC12" s="2"/>
      <c r="AD12" s="1"/>
      <c r="AE12" s="1"/>
      <c r="AF12" s="1" t="s">
        <v>51</v>
      </c>
      <c r="AG12" s="1" t="s">
        <v>52</v>
      </c>
      <c r="AH12" s="1" t="s">
        <v>53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>
      <c r="B13" s="7">
        <v>30.416</v>
      </c>
      <c r="C13" s="8">
        <v>1.2296999999999999E-10</v>
      </c>
      <c r="D13" s="8">
        <v>1.2296999999999999E-10</v>
      </c>
      <c r="E13" s="8">
        <v>1.2296999999999999E-10</v>
      </c>
      <c r="F13" s="1">
        <v>2.9855000000000002E-12</v>
      </c>
      <c r="G13" s="1">
        <v>1.0458E-16</v>
      </c>
      <c r="H13" s="1">
        <v>1.1423000000000001E-12</v>
      </c>
      <c r="I13" s="1">
        <v>2.3391999999999998E-13</v>
      </c>
      <c r="J13" s="8"/>
      <c r="K13" s="1"/>
      <c r="L13" s="1"/>
      <c r="M13" s="1"/>
      <c r="N13" s="7"/>
      <c r="O13">
        <f t="shared" si="4"/>
        <v>0.50693333333333335</v>
      </c>
      <c r="P13" s="6">
        <f t="shared" si="5"/>
        <v>99.980177391730578</v>
      </c>
      <c r="Q13" s="6">
        <f t="shared" si="0"/>
        <v>3.2411235572792378</v>
      </c>
      <c r="R13" s="6">
        <f t="shared" si="1"/>
        <v>0.18375468269305181</v>
      </c>
      <c r="S13" s="5">
        <f t="shared" si="2"/>
        <v>0</v>
      </c>
      <c r="T13" s="6">
        <f t="shared" si="3"/>
        <v>96.555299151758277</v>
      </c>
      <c r="U13" s="1">
        <f t="shared" si="3"/>
        <v>96.555299151758277</v>
      </c>
      <c r="V13" s="1">
        <f t="shared" si="3"/>
        <v>96.555299151758277</v>
      </c>
      <c r="X13" s="9"/>
      <c r="Y13" s="2"/>
      <c r="Z13" s="2"/>
      <c r="AA13" s="13" t="s">
        <v>31</v>
      </c>
      <c r="AB13" s="18">
        <f>AA8</f>
        <v>23.100303951367781</v>
      </c>
      <c r="AC13" s="2"/>
      <c r="AD13" s="1"/>
      <c r="AE13" s="1"/>
      <c r="AF13" s="1" t="s">
        <v>54</v>
      </c>
      <c r="AG13" s="1" t="s">
        <v>55</v>
      </c>
      <c r="AH13" s="1" t="s">
        <v>56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>
      <c r="B14" s="7">
        <v>38.607999999999997</v>
      </c>
      <c r="C14" s="8">
        <v>1.2251E-10</v>
      </c>
      <c r="D14" s="8">
        <v>1.2251E-10</v>
      </c>
      <c r="E14" s="8">
        <v>1.2251E-10</v>
      </c>
      <c r="F14" s="1">
        <v>2.9718999999999999E-12</v>
      </c>
      <c r="G14" s="1">
        <v>1.2269E-16</v>
      </c>
      <c r="H14" s="1">
        <v>1.4713E-12</v>
      </c>
      <c r="I14" s="1">
        <v>3.7882E-13</v>
      </c>
      <c r="J14" s="8"/>
      <c r="K14" s="1"/>
      <c r="L14" s="1"/>
      <c r="M14" s="1"/>
      <c r="N14" s="7"/>
      <c r="O14">
        <f t="shared" si="4"/>
        <v>0.64346666666666663</v>
      </c>
      <c r="P14" s="6">
        <f t="shared" si="5"/>
        <v>99.980427169775723</v>
      </c>
      <c r="Q14" s="6">
        <f t="shared" si="0"/>
        <v>3.4887737268528292</v>
      </c>
      <c r="R14" s="6">
        <f t="shared" si="1"/>
        <v>0.29754350487372533</v>
      </c>
      <c r="S14" s="5">
        <f t="shared" si="2"/>
        <v>0</v>
      </c>
      <c r="T14" s="6">
        <f t="shared" si="3"/>
        <v>96.194109938049181</v>
      </c>
      <c r="U14" s="1">
        <f t="shared" si="3"/>
        <v>96.194109938049181</v>
      </c>
      <c r="V14" s="1">
        <f t="shared" si="3"/>
        <v>96.194109938049181</v>
      </c>
      <c r="X14" s="9"/>
      <c r="Y14" s="2"/>
      <c r="Z14" s="2"/>
      <c r="AA14" s="14" t="s">
        <v>30</v>
      </c>
      <c r="AB14" s="19">
        <f>Z8</f>
        <v>38.07681680022106</v>
      </c>
      <c r="AC14" s="2"/>
      <c r="AD14" s="1"/>
      <c r="AE14" s="1"/>
      <c r="AF14" s="1" t="s">
        <v>57</v>
      </c>
      <c r="AG14" s="1" t="s">
        <v>58</v>
      </c>
      <c r="AH14" s="1" t="s">
        <v>59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8" thickBot="1">
      <c r="B15" s="7">
        <v>46.8</v>
      </c>
      <c r="C15" s="8">
        <v>1.2202999999999999E-10</v>
      </c>
      <c r="D15" s="8">
        <v>1.2202999999999999E-10</v>
      </c>
      <c r="E15" s="8">
        <v>1.2202999999999999E-10</v>
      </c>
      <c r="F15" s="1">
        <v>2.9585999999999999E-12</v>
      </c>
      <c r="G15" s="1">
        <v>1.3554E-16</v>
      </c>
      <c r="H15" s="1">
        <v>1.7995E-12</v>
      </c>
      <c r="I15" s="1">
        <v>5.4474999999999998E-13</v>
      </c>
      <c r="J15" s="8"/>
      <c r="K15" s="1"/>
      <c r="L15" s="1"/>
      <c r="M15" s="1"/>
      <c r="N15" s="7"/>
      <c r="O15">
        <f t="shared" si="4"/>
        <v>0.77999999999999992</v>
      </c>
      <c r="P15" s="6">
        <f t="shared" si="5"/>
        <v>99.981088970490447</v>
      </c>
      <c r="Q15" s="6">
        <f t="shared" si="0"/>
        <v>3.7360312994549978</v>
      </c>
      <c r="R15" s="6">
        <f t="shared" si="1"/>
        <v>0.42784082555230829</v>
      </c>
      <c r="S15" s="5">
        <f t="shared" si="2"/>
        <v>0</v>
      </c>
      <c r="T15" s="6">
        <f t="shared" si="3"/>
        <v>95.817216845483145</v>
      </c>
      <c r="U15" s="1">
        <f t="shared" si="3"/>
        <v>95.817216845483145</v>
      </c>
      <c r="V15" s="1">
        <f t="shared" si="3"/>
        <v>95.817216845483145</v>
      </c>
      <c r="X15" s="1"/>
      <c r="Y15" s="5"/>
      <c r="Z15" s="1"/>
      <c r="AA15" s="15" t="s">
        <v>11</v>
      </c>
      <c r="AB15" s="20">
        <f>AB8</f>
        <v>0</v>
      </c>
      <c r="AC15" s="1"/>
      <c r="AD15" s="1"/>
      <c r="AE15" s="1"/>
      <c r="AF15" s="1" t="s">
        <v>19</v>
      </c>
      <c r="AG15" s="1">
        <v>0.1</v>
      </c>
      <c r="AH15" s="1">
        <v>0.1</v>
      </c>
      <c r="AI15" s="1" t="s">
        <v>47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>
      <c r="B16" s="7">
        <v>54.991999999999997</v>
      </c>
      <c r="C16" s="8">
        <v>1.2154E-10</v>
      </c>
      <c r="D16" s="8">
        <v>1.2154E-10</v>
      </c>
      <c r="E16" s="8">
        <v>1.2154E-10</v>
      </c>
      <c r="F16" s="1">
        <v>2.9454999999999999E-12</v>
      </c>
      <c r="G16" s="1">
        <v>1.4526999999999999E-16</v>
      </c>
      <c r="H16" s="1">
        <v>2.1265999999999998E-12</v>
      </c>
      <c r="I16" s="1">
        <v>7.2470000000000003E-13</v>
      </c>
      <c r="J16" s="8"/>
      <c r="K16" s="1"/>
      <c r="L16" s="1"/>
      <c r="M16" s="1"/>
      <c r="N16" s="7"/>
      <c r="O16">
        <f t="shared" si="4"/>
        <v>0.91653333333333331</v>
      </c>
      <c r="P16" s="6">
        <f t="shared" si="5"/>
        <v>99.984198126501767</v>
      </c>
      <c r="Q16" s="6">
        <f t="shared" si="0"/>
        <v>3.9825821975086049</v>
      </c>
      <c r="R16" s="6">
        <f t="shared" si="1"/>
        <v>0.56914411550448896</v>
      </c>
      <c r="S16" s="5">
        <f t="shared" si="2"/>
        <v>0</v>
      </c>
      <c r="T16" s="6">
        <f t="shared" si="3"/>
        <v>95.432471813488675</v>
      </c>
      <c r="U16" s="1">
        <f t="shared" si="3"/>
        <v>95.432471813488675</v>
      </c>
      <c r="V16" s="1">
        <f t="shared" si="3"/>
        <v>95.432471813488675</v>
      </c>
      <c r="X16" s="1"/>
      <c r="AD16" s="1"/>
      <c r="AE16" s="1"/>
      <c r="AF16" s="1" t="s">
        <v>63</v>
      </c>
      <c r="AG16" s="1" t="s">
        <v>64</v>
      </c>
      <c r="AH16" s="1" t="s">
        <v>65</v>
      </c>
      <c r="AI16" s="1" t="s">
        <v>66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>
      <c r="B17" s="7">
        <v>63.183999999999997</v>
      </c>
      <c r="C17" s="8">
        <v>1.2102999999999999E-10</v>
      </c>
      <c r="D17" s="8">
        <v>1.2102999999999999E-10</v>
      </c>
      <c r="E17" s="8">
        <v>1.2102999999999999E-10</v>
      </c>
      <c r="F17" s="1">
        <v>2.9326999999999998E-12</v>
      </c>
      <c r="G17" s="1">
        <v>1.5159999999999999E-16</v>
      </c>
      <c r="H17" s="1">
        <v>2.4525999999999999E-12</v>
      </c>
      <c r="I17" s="1">
        <v>9.137399999999999E-13</v>
      </c>
      <c r="J17" s="8"/>
      <c r="K17" s="1"/>
      <c r="L17" s="1"/>
      <c r="M17" s="1"/>
      <c r="N17" s="7"/>
      <c r="O17">
        <f t="shared" si="4"/>
        <v>1.0530666666666666</v>
      </c>
      <c r="P17" s="6">
        <f t="shared" si="5"/>
        <v>99.978109991782944</v>
      </c>
      <c r="Q17" s="6">
        <f t="shared" si="0"/>
        <v>4.2285049404079356</v>
      </c>
      <c r="R17" s="6">
        <f t="shared" si="1"/>
        <v>0.71758214873773296</v>
      </c>
      <c r="S17" s="5">
        <f t="shared" si="2"/>
        <v>0</v>
      </c>
      <c r="T17" s="6">
        <f t="shared" si="3"/>
        <v>95.032022902637266</v>
      </c>
      <c r="U17" s="1">
        <f t="shared" si="3"/>
        <v>95.032022902637266</v>
      </c>
      <c r="V17" s="1">
        <f t="shared" si="3"/>
        <v>95.032022902637266</v>
      </c>
      <c r="X17" s="5"/>
      <c r="Y17" s="5"/>
      <c r="Z17" s="5"/>
      <c r="AA17" s="5"/>
      <c r="AB17" s="5"/>
      <c r="AC17" s="1"/>
      <c r="AD17" s="5"/>
      <c r="AE17" s="5"/>
      <c r="AF17" s="1" t="s">
        <v>67</v>
      </c>
      <c r="AG17" s="1">
        <v>0.7</v>
      </c>
      <c r="AH17" s="1">
        <v>0.7</v>
      </c>
      <c r="AI17" s="1" t="s">
        <v>68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>
      <c r="B18" s="7">
        <v>71.376000000000005</v>
      </c>
      <c r="C18" s="8">
        <v>1.2053E-10</v>
      </c>
      <c r="D18" s="8">
        <v>1.2053E-10</v>
      </c>
      <c r="E18" s="8">
        <v>1.2053E-10</v>
      </c>
      <c r="F18" s="1">
        <v>2.9200000000000001E-12</v>
      </c>
      <c r="G18" s="1">
        <v>1.5516999999999999E-16</v>
      </c>
      <c r="H18" s="1">
        <v>2.7774999999999998E-12</v>
      </c>
      <c r="I18" s="1">
        <v>1.1084E-12</v>
      </c>
      <c r="J18" s="8"/>
      <c r="K18" s="1"/>
      <c r="L18" s="1"/>
      <c r="M18" s="1"/>
      <c r="N18" s="7"/>
      <c r="O18">
        <f t="shared" si="4"/>
        <v>1.1896</v>
      </c>
      <c r="P18" s="6">
        <f t="shared" si="5"/>
        <v>99.983499225373222</v>
      </c>
      <c r="Q18" s="6">
        <f t="shared" si="0"/>
        <v>4.47364248936442</v>
      </c>
      <c r="R18" s="6">
        <f t="shared" si="1"/>
        <v>0.87043080479448864</v>
      </c>
      <c r="S18" s="5">
        <f t="shared" si="2"/>
        <v>0</v>
      </c>
      <c r="T18" s="6">
        <f t="shared" ref="T18:V81" si="6">C18/$A$1*100</f>
        <v>94.639425931214333</v>
      </c>
      <c r="U18" s="1">
        <f t="shared" si="6"/>
        <v>94.639425931214333</v>
      </c>
      <c r="V18" s="1">
        <f t="shared" si="6"/>
        <v>94.639425931214333</v>
      </c>
      <c r="X18" s="5"/>
      <c r="Y18" s="5"/>
      <c r="Z18" s="5"/>
      <c r="AA18" s="5"/>
      <c r="AB18" s="5"/>
      <c r="AC18" s="1"/>
      <c r="AD18" s="5"/>
      <c r="AE18" s="5"/>
      <c r="AF18" t="s">
        <v>69</v>
      </c>
      <c r="AG18" s="1" t="s">
        <v>70</v>
      </c>
      <c r="AH18" s="1" t="s">
        <v>71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>
      <c r="B19" s="7">
        <v>79.567999999999998</v>
      </c>
      <c r="C19" s="8">
        <v>1.2001999999999999E-10</v>
      </c>
      <c r="D19" s="8">
        <v>1.2001999999999999E-10</v>
      </c>
      <c r="E19" s="8">
        <v>1.2001999999999999E-10</v>
      </c>
      <c r="F19" s="1">
        <v>2.9073999999999999E-12</v>
      </c>
      <c r="G19" s="1">
        <v>1.5697999999999999E-16</v>
      </c>
      <c r="H19" s="1">
        <v>3.1011000000000002E-12</v>
      </c>
      <c r="I19" s="1">
        <v>1.3065999999999999E-12</v>
      </c>
      <c r="J19" s="8"/>
      <c r="K19" s="1"/>
      <c r="L19" s="1"/>
      <c r="M19" s="1"/>
      <c r="N19" s="7"/>
      <c r="O19">
        <f t="shared" si="4"/>
        <v>1.3261333333333334</v>
      </c>
      <c r="P19" s="6">
        <f t="shared" si="5"/>
        <v>99.982872491419982</v>
      </c>
      <c r="Q19" s="6">
        <f t="shared" si="0"/>
        <v>4.7178378055894905</v>
      </c>
      <c r="R19" s="6">
        <f t="shared" si="1"/>
        <v>1.026057665467579</v>
      </c>
      <c r="S19" s="5">
        <f t="shared" si="2"/>
        <v>0</v>
      </c>
      <c r="T19" s="6">
        <f t="shared" si="6"/>
        <v>94.23897702036291</v>
      </c>
      <c r="U19" s="1">
        <f t="shared" si="6"/>
        <v>94.23897702036291</v>
      </c>
      <c r="V19" s="1">
        <f t="shared" si="6"/>
        <v>94.23897702036291</v>
      </c>
      <c r="X19" s="5"/>
      <c r="Y19" s="5"/>
      <c r="Z19" s="5"/>
      <c r="AA19" s="5"/>
      <c r="AB19" s="5"/>
      <c r="AC19" s="1"/>
      <c r="AD19" s="5"/>
      <c r="AE19" s="5"/>
      <c r="AF19" t="s">
        <v>72</v>
      </c>
      <c r="AG19" s="1" t="s">
        <v>73</v>
      </c>
      <c r="AH19" s="1" t="s">
        <v>74</v>
      </c>
      <c r="AI19" s="1" t="s">
        <v>75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>
      <c r="B20" s="7">
        <v>95.951999999999998</v>
      </c>
      <c r="C20" s="8">
        <v>1.1901000000000001E-10</v>
      </c>
      <c r="D20" s="8">
        <v>1.1901000000000001E-10</v>
      </c>
      <c r="E20" s="8">
        <v>1.1901000000000001E-10</v>
      </c>
      <c r="F20" s="1">
        <v>2.8823999999999999E-12</v>
      </c>
      <c r="G20" s="1">
        <v>1.5502E-16</v>
      </c>
      <c r="H20" s="1">
        <v>3.7446E-12</v>
      </c>
      <c r="I20" s="1">
        <v>1.7075999999999999E-12</v>
      </c>
      <c r="J20" s="8"/>
      <c r="K20" s="1"/>
      <c r="L20" s="1"/>
      <c r="M20" s="1"/>
      <c r="N20" s="7"/>
      <c r="O20">
        <f t="shared" si="4"/>
        <v>1.5992</v>
      </c>
      <c r="P20" s="6">
        <f t="shared" si="5"/>
        <v>99.990330294896921</v>
      </c>
      <c r="Q20" s="6">
        <f t="shared" si="0"/>
        <v>5.2034802592396696</v>
      </c>
      <c r="R20" s="6">
        <f t="shared" si="1"/>
        <v>1.3409188975686503</v>
      </c>
      <c r="S20" s="5">
        <f t="shared" si="2"/>
        <v>0</v>
      </c>
      <c r="T20" s="6">
        <f t="shared" si="6"/>
        <v>93.445931138088582</v>
      </c>
      <c r="U20" s="1">
        <f t="shared" si="6"/>
        <v>93.445931138088582</v>
      </c>
      <c r="V20" s="1">
        <f t="shared" si="6"/>
        <v>93.445931138088582</v>
      </c>
      <c r="X20" s="5"/>
      <c r="Y20" s="5"/>
      <c r="Z20" s="5"/>
      <c r="AA20" s="5"/>
      <c r="AB20" s="5"/>
      <c r="AC20" s="1"/>
      <c r="AD20" s="5"/>
      <c r="AE20" s="5"/>
      <c r="AF20" t="s">
        <v>76</v>
      </c>
      <c r="AG20" s="1" t="s">
        <v>77</v>
      </c>
      <c r="AH20" s="1" t="s">
        <v>78</v>
      </c>
      <c r="AI20" s="1" t="s">
        <v>79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>
      <c r="B21" s="7">
        <v>112.34</v>
      </c>
      <c r="C21" s="8">
        <v>1.1799E-10</v>
      </c>
      <c r="D21" s="8">
        <v>1.1799E-10</v>
      </c>
      <c r="E21" s="8">
        <v>1.1799E-10</v>
      </c>
      <c r="F21" s="1">
        <v>2.8577999999999998E-12</v>
      </c>
      <c r="G21" s="1">
        <v>1.5428999999999999E-16</v>
      </c>
      <c r="H21" s="1">
        <v>4.3830000000000002E-12</v>
      </c>
      <c r="I21" s="1">
        <v>2.1106999999999999E-12</v>
      </c>
      <c r="J21" s="8"/>
      <c r="K21" s="1"/>
      <c r="L21" s="1"/>
      <c r="M21" s="1"/>
      <c r="N21" s="7"/>
      <c r="O21">
        <f t="shared" si="4"/>
        <v>1.8723333333333334</v>
      </c>
      <c r="P21" s="6">
        <f t="shared" si="5"/>
        <v>99.98789562048249</v>
      </c>
      <c r="Q21" s="6">
        <f t="shared" si="0"/>
        <v>5.6854323013584729</v>
      </c>
      <c r="R21" s="6">
        <f t="shared" si="1"/>
        <v>1.6574300027382478</v>
      </c>
      <c r="S21" s="5">
        <f t="shared" si="2"/>
        <v>0</v>
      </c>
      <c r="T21" s="6">
        <f t="shared" si="6"/>
        <v>92.645033316385778</v>
      </c>
      <c r="U21" s="1">
        <f t="shared" si="6"/>
        <v>92.645033316385778</v>
      </c>
      <c r="V21" s="1">
        <f t="shared" si="6"/>
        <v>92.645033316385778</v>
      </c>
      <c r="X21" s="5"/>
      <c r="Y21" s="5"/>
      <c r="Z21" s="5"/>
      <c r="AA21" s="5"/>
      <c r="AB21" s="5"/>
      <c r="AC21" s="1"/>
      <c r="AD21" s="5"/>
      <c r="AE21" s="5"/>
      <c r="AF21" t="s">
        <v>80</v>
      </c>
      <c r="AG21" s="1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49"/>
      <c r="AW21" s="49"/>
      <c r="AX21" s="49"/>
      <c r="AY21" s="49"/>
      <c r="AZ21" s="49"/>
      <c r="BA21" s="49"/>
      <c r="BB21" s="49"/>
      <c r="BC21" s="49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>
      <c r="B22" s="7">
        <v>128.72</v>
      </c>
      <c r="C22" s="8">
        <v>1.1697999999999999E-10</v>
      </c>
      <c r="D22" s="8">
        <v>1.1697999999999999E-10</v>
      </c>
      <c r="E22" s="8">
        <v>1.1697999999999999E-10</v>
      </c>
      <c r="F22" s="1">
        <v>2.8334E-12</v>
      </c>
      <c r="G22" s="1">
        <v>1.5685E-16</v>
      </c>
      <c r="H22" s="1">
        <v>5.0159999999999996E-12</v>
      </c>
      <c r="I22" s="1">
        <v>2.5126E-12</v>
      </c>
      <c r="J22" s="8"/>
      <c r="K22" s="1"/>
      <c r="L22" s="1"/>
      <c r="M22" s="1"/>
      <c r="N22" s="7"/>
      <c r="O22">
        <f t="shared" si="4"/>
        <v>2.1453333333333333</v>
      </c>
      <c r="P22" s="6">
        <f t="shared" si="5"/>
        <v>99.988290227550408</v>
      </c>
      <c r="Q22" s="6">
        <f t="shared" si="0"/>
        <v>6.1633013349744772</v>
      </c>
      <c r="R22" s="6">
        <f t="shared" si="1"/>
        <v>1.9730014584645021</v>
      </c>
      <c r="S22" s="5">
        <f t="shared" si="2"/>
        <v>0</v>
      </c>
      <c r="T22" s="6">
        <f t="shared" si="6"/>
        <v>91.851987434111436</v>
      </c>
      <c r="U22" s="1">
        <f t="shared" si="6"/>
        <v>91.851987434111436</v>
      </c>
      <c r="V22" s="1">
        <f t="shared" si="6"/>
        <v>91.851987434111436</v>
      </c>
      <c r="X22" s="5"/>
      <c r="Y22" s="5"/>
      <c r="Z22" s="5"/>
      <c r="AA22" s="5"/>
      <c r="AB22" s="5"/>
      <c r="AC22" s="1"/>
      <c r="AD22" s="5"/>
      <c r="AE22" s="5"/>
      <c r="AF22" s="1" t="s">
        <v>144</v>
      </c>
      <c r="AG22" s="1" t="s">
        <v>145</v>
      </c>
      <c r="AH22" s="1" t="s">
        <v>146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>
      <c r="B23" s="7">
        <v>145.1</v>
      </c>
      <c r="C23" s="8">
        <v>1.1598E-10</v>
      </c>
      <c r="D23" s="8">
        <v>1.1598E-10</v>
      </c>
      <c r="E23" s="8">
        <v>1.1598E-10</v>
      </c>
      <c r="F23" s="1">
        <v>2.8090999999999998E-12</v>
      </c>
      <c r="G23" s="1">
        <v>1.5598E-16</v>
      </c>
      <c r="H23" s="1">
        <v>5.6437999999999998E-12</v>
      </c>
      <c r="I23" s="1">
        <v>2.9122000000000001E-12</v>
      </c>
      <c r="J23" s="8"/>
      <c r="K23" s="1"/>
      <c r="L23" s="1"/>
      <c r="M23" s="1"/>
      <c r="N23" s="7"/>
      <c r="O23">
        <f t="shared" si="4"/>
        <v>2.4183333333333334</v>
      </c>
      <c r="P23" s="6">
        <f t="shared" si="5"/>
        <v>99.990723645654512</v>
      </c>
      <c r="Q23" s="6">
        <f t="shared" si="0"/>
        <v>6.6371658794819668</v>
      </c>
      <c r="R23" s="6">
        <f t="shared" si="1"/>
        <v>2.2867642749069867</v>
      </c>
      <c r="S23" s="5">
        <f t="shared" si="2"/>
        <v>0</v>
      </c>
      <c r="T23" s="6">
        <f t="shared" si="6"/>
        <v>91.066793491265557</v>
      </c>
      <c r="U23" s="1">
        <f t="shared" si="6"/>
        <v>91.066793491265557</v>
      </c>
      <c r="V23" s="1">
        <f t="shared" si="6"/>
        <v>91.066793491265557</v>
      </c>
      <c r="X23" s="5"/>
      <c r="Y23" s="5"/>
      <c r="Z23" s="5"/>
      <c r="AA23" s="5"/>
      <c r="AB23" s="5"/>
      <c r="AC23" s="1"/>
      <c r="AD23" s="5"/>
      <c r="AE23" s="5"/>
      <c r="AF23" s="1" t="s">
        <v>147</v>
      </c>
      <c r="AG23" s="1" t="s">
        <v>148</v>
      </c>
      <c r="AH23" s="1" t="s">
        <v>149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>
      <c r="B24" s="7">
        <v>177.87</v>
      </c>
      <c r="C24" s="8">
        <v>1.1401E-10</v>
      </c>
      <c r="D24" s="8">
        <v>1.1401E-10</v>
      </c>
      <c r="E24" s="8">
        <v>1.1401E-10</v>
      </c>
      <c r="F24" s="1">
        <v>2.7613E-12</v>
      </c>
      <c r="G24" s="1">
        <v>1.4873E-16</v>
      </c>
      <c r="H24" s="1">
        <v>6.8836000000000003E-12</v>
      </c>
      <c r="I24" s="1">
        <v>3.7011000000000001E-12</v>
      </c>
      <c r="J24" s="8"/>
      <c r="K24" s="1"/>
      <c r="L24" s="1"/>
      <c r="M24" s="1"/>
      <c r="N24" s="7"/>
      <c r="O24">
        <f t="shared" si="4"/>
        <v>2.9645000000000001</v>
      </c>
      <c r="P24" s="6">
        <f t="shared" si="5"/>
        <v>99.999276566975453</v>
      </c>
      <c r="Q24" s="6">
        <f t="shared" si="0"/>
        <v>7.57311705935426</v>
      </c>
      <c r="R24" s="6">
        <f t="shared" si="1"/>
        <v>2.9061980837620185</v>
      </c>
      <c r="S24" s="5">
        <f t="shared" si="2"/>
        <v>0</v>
      </c>
      <c r="T24" s="6">
        <f t="shared" si="6"/>
        <v>89.519961423859158</v>
      </c>
      <c r="U24" s="1">
        <f t="shared" si="6"/>
        <v>89.519961423859158</v>
      </c>
      <c r="V24" s="1">
        <f t="shared" si="6"/>
        <v>89.519961423859158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>
      <c r="B25" s="7">
        <v>243.41</v>
      </c>
      <c r="C25" s="8">
        <v>1.1022E-10</v>
      </c>
      <c r="D25" s="8">
        <v>1.1022E-10</v>
      </c>
      <c r="E25" s="8">
        <v>1.1022E-10</v>
      </c>
      <c r="F25" s="1">
        <v>2.6694999999999999E-12</v>
      </c>
      <c r="G25" s="1">
        <v>1.4446000000000001E-16</v>
      </c>
      <c r="H25" s="1">
        <v>9.3010999999999996E-12</v>
      </c>
      <c r="I25" s="1">
        <v>5.2391000000000002E-12</v>
      </c>
      <c r="J25" s="8"/>
      <c r="K25" s="1"/>
      <c r="L25" s="1"/>
      <c r="M25" s="1"/>
      <c r="N25" s="7"/>
      <c r="O25">
        <f t="shared" si="4"/>
        <v>4.0568333333333335</v>
      </c>
      <c r="P25" s="6">
        <f t="shared" si="5"/>
        <v>100.05714200778506</v>
      </c>
      <c r="Q25" s="6">
        <f t="shared" si="0"/>
        <v>9.39924261223093</v>
      </c>
      <c r="R25" s="6">
        <f t="shared" si="1"/>
        <v>4.1138230150808512</v>
      </c>
      <c r="S25" s="5">
        <f t="shared" si="2"/>
        <v>0</v>
      </c>
      <c r="T25" s="6">
        <f t="shared" si="6"/>
        <v>86.544076380473271</v>
      </c>
      <c r="U25" s="1">
        <f t="shared" si="6"/>
        <v>86.544076380473271</v>
      </c>
      <c r="V25" s="1">
        <f t="shared" si="6"/>
        <v>86.544076380473271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>
      <c r="B26" s="7">
        <v>374.48</v>
      </c>
      <c r="C26" s="8">
        <v>1.0312E-10</v>
      </c>
      <c r="D26" s="8">
        <v>1.0312E-10</v>
      </c>
      <c r="E26" s="8">
        <v>1.0312E-10</v>
      </c>
      <c r="F26" s="1">
        <v>2.4976000000000002E-12</v>
      </c>
      <c r="G26" s="1">
        <v>1.3891E-16</v>
      </c>
      <c r="H26" s="1">
        <v>1.3901000000000001E-11</v>
      </c>
      <c r="I26" s="1">
        <v>8.1665999999999996E-12</v>
      </c>
      <c r="J26" s="8"/>
      <c r="K26" s="1"/>
      <c r="L26" s="1"/>
      <c r="M26" s="1"/>
      <c r="N26" s="7"/>
      <c r="O26">
        <f t="shared" si="4"/>
        <v>6.2413333333333334</v>
      </c>
      <c r="P26" s="6">
        <f t="shared" si="5"/>
        <v>100.25775470235578</v>
      </c>
      <c r="Q26" s="6">
        <f t="shared" si="0"/>
        <v>12.876081391152505</v>
      </c>
      <c r="R26" s="6">
        <f t="shared" si="1"/>
        <v>6.4124739249357923</v>
      </c>
      <c r="S26" s="5">
        <f t="shared" si="2"/>
        <v>0</v>
      </c>
      <c r="T26" s="6">
        <f t="shared" si="6"/>
        <v>80.969199386267505</v>
      </c>
      <c r="U26" s="1">
        <f t="shared" si="6"/>
        <v>80.969199386267505</v>
      </c>
      <c r="V26" s="1">
        <f t="shared" si="6"/>
        <v>80.969199386267505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>
      <c r="B27" s="7">
        <v>505.55</v>
      </c>
      <c r="C27" s="8">
        <v>9.6482999999999999E-11</v>
      </c>
      <c r="D27" s="8">
        <v>9.6482999999999999E-11</v>
      </c>
      <c r="E27" s="8">
        <v>9.6482999999999999E-11</v>
      </c>
      <c r="F27" s="1">
        <v>2.3367999999999999E-12</v>
      </c>
      <c r="G27" s="1">
        <v>1.3048E-16</v>
      </c>
      <c r="H27" s="1">
        <v>1.8205999999999999E-11</v>
      </c>
      <c r="I27" s="1">
        <v>1.0906999999999999E-11</v>
      </c>
      <c r="J27" s="8"/>
      <c r="K27" s="1"/>
      <c r="L27" s="1"/>
      <c r="M27" s="1"/>
      <c r="N27" s="7"/>
      <c r="O27">
        <f t="shared" si="4"/>
        <v>8.4258333333333333</v>
      </c>
      <c r="P27" s="6">
        <f t="shared" si="5"/>
        <v>100.4521621034195</v>
      </c>
      <c r="Q27" s="6">
        <f t="shared" si="0"/>
        <v>16.130082129094411</v>
      </c>
      <c r="R27" s="6">
        <f t="shared" si="1"/>
        <v>8.5642127867257134</v>
      </c>
      <c r="S27" s="5">
        <f t="shared" si="2"/>
        <v>0</v>
      </c>
      <c r="T27" s="6">
        <f t="shared" si="6"/>
        <v>75.757867187599373</v>
      </c>
      <c r="U27" s="1">
        <f t="shared" si="6"/>
        <v>75.757867187599373</v>
      </c>
      <c r="V27" s="1">
        <f t="shared" si="6"/>
        <v>75.757867187599373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>
      <c r="B28" s="7">
        <v>636.62</v>
      </c>
      <c r="C28" s="8">
        <v>9.0272000000000006E-11</v>
      </c>
      <c r="D28" s="8">
        <v>9.0272000000000006E-11</v>
      </c>
      <c r="E28" s="8">
        <v>9.0272000000000006E-11</v>
      </c>
      <c r="F28" s="1">
        <v>2.1864000000000001E-12</v>
      </c>
      <c r="G28" s="1">
        <v>1.2285999999999999E-16</v>
      </c>
      <c r="H28" s="1">
        <v>2.2233E-11</v>
      </c>
      <c r="I28" s="1">
        <v>1.3471E-11</v>
      </c>
      <c r="J28" s="8"/>
      <c r="K28" s="1"/>
      <c r="L28" s="1"/>
      <c r="M28" s="1"/>
      <c r="N28" s="7"/>
      <c r="O28">
        <f t="shared" si="4"/>
        <v>10.610333333333333</v>
      </c>
      <c r="P28" s="6">
        <f t="shared" si="5"/>
        <v>100.63243664951906</v>
      </c>
      <c r="Q28" s="6">
        <f t="shared" si="0"/>
        <v>19.173964967930765</v>
      </c>
      <c r="R28" s="6">
        <f t="shared" si="1"/>
        <v>10.577444073004713</v>
      </c>
      <c r="S28" s="5">
        <f t="shared" si="2"/>
        <v>0</v>
      </c>
      <c r="T28" s="6">
        <f t="shared" si="6"/>
        <v>70.881027608583594</v>
      </c>
      <c r="U28" s="1">
        <f t="shared" si="6"/>
        <v>70.881027608583594</v>
      </c>
      <c r="V28" s="1">
        <f t="shared" si="6"/>
        <v>70.881027608583594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>
      <c r="B29" s="7">
        <v>898.77</v>
      </c>
      <c r="C29" s="8">
        <v>7.8770999999999999E-11</v>
      </c>
      <c r="D29" s="8">
        <v>7.8770999999999999E-11</v>
      </c>
      <c r="E29" s="8">
        <v>7.8770999999999999E-11</v>
      </c>
      <c r="F29" s="1">
        <v>1.9079E-12</v>
      </c>
      <c r="G29" s="1">
        <v>1.0473E-16</v>
      </c>
      <c r="H29" s="1">
        <v>2.9524000000000001E-11</v>
      </c>
      <c r="I29" s="1">
        <v>1.8112E-11</v>
      </c>
      <c r="J29" s="8"/>
      <c r="K29" s="1"/>
      <c r="L29" s="1"/>
      <c r="M29" s="1"/>
      <c r="N29" s="7"/>
      <c r="O29">
        <f t="shared" si="4"/>
        <v>14.9795</v>
      </c>
      <c r="P29" s="6">
        <f t="shared" si="5"/>
        <v>100.75216449023688</v>
      </c>
      <c r="Q29" s="6">
        <f t="shared" si="0"/>
        <v>24.680137492137522</v>
      </c>
      <c r="R29" s="6">
        <f t="shared" si="1"/>
        <v>14.221514926186277</v>
      </c>
      <c r="S29" s="5">
        <f t="shared" si="2"/>
        <v>0</v>
      </c>
      <c r="T29" s="6">
        <f t="shared" si="6"/>
        <v>61.85051207191308</v>
      </c>
      <c r="U29" s="1">
        <f t="shared" si="6"/>
        <v>61.85051207191308</v>
      </c>
      <c r="V29" s="1">
        <f t="shared" si="6"/>
        <v>61.85051207191308</v>
      </c>
      <c r="X29" s="5"/>
      <c r="Y29" s="5"/>
      <c r="Z29" s="5"/>
      <c r="AA29" s="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>
      <c r="B30" s="7">
        <v>1160.9000000000001</v>
      </c>
      <c r="C30" s="8">
        <v>6.8642999999999995E-11</v>
      </c>
      <c r="D30" s="8">
        <v>6.8642999999999995E-11</v>
      </c>
      <c r="E30" s="8">
        <v>6.8642999999999995E-11</v>
      </c>
      <c r="F30" s="1">
        <v>1.6626E-12</v>
      </c>
      <c r="G30" s="1">
        <v>8.9580999999999998E-17</v>
      </c>
      <c r="H30" s="1">
        <v>3.5880999999999999E-11</v>
      </c>
      <c r="I30" s="1">
        <v>2.2157000000000001E-11</v>
      </c>
      <c r="J30" s="8"/>
      <c r="K30" s="1"/>
      <c r="L30" s="1"/>
      <c r="M30" s="1"/>
      <c r="N30" s="7"/>
      <c r="O30">
        <f t="shared" si="4"/>
        <v>19.348333333333336</v>
      </c>
      <c r="P30" s="6">
        <f t="shared" si="5"/>
        <v>100.77468766149352</v>
      </c>
      <c r="Q30" s="6">
        <f t="shared" si="0"/>
        <v>29.479007312628706</v>
      </c>
      <c r="R30" s="6">
        <f t="shared" si="1"/>
        <v>17.397612530094833</v>
      </c>
      <c r="S30" s="5">
        <f t="shared" si="2"/>
        <v>0</v>
      </c>
      <c r="T30" s="6">
        <f t="shared" si="6"/>
        <v>53.898067818769967</v>
      </c>
      <c r="U30" s="1">
        <f t="shared" si="6"/>
        <v>53.898067818769967</v>
      </c>
      <c r="V30" s="1">
        <f t="shared" si="6"/>
        <v>53.898067818769967</v>
      </c>
      <c r="X30" s="5"/>
      <c r="Y30" s="5"/>
      <c r="Z30" s="5"/>
      <c r="AA30" s="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>
      <c r="B31" s="7">
        <v>1423.1</v>
      </c>
      <c r="C31" s="8">
        <v>5.9786999999999995E-11</v>
      </c>
      <c r="D31" s="8">
        <v>5.9786999999999995E-11</v>
      </c>
      <c r="E31" s="8">
        <v>5.9786999999999995E-11</v>
      </c>
      <c r="F31" s="1">
        <v>1.4481000000000001E-12</v>
      </c>
      <c r="G31" s="1">
        <v>7.9544000000000001E-17</v>
      </c>
      <c r="H31" s="1">
        <v>4.1419999999999998E-11</v>
      </c>
      <c r="I31" s="1">
        <v>2.5681000000000001E-11</v>
      </c>
      <c r="J31" s="8"/>
      <c r="K31" s="1"/>
      <c r="L31" s="1"/>
      <c r="M31" s="1"/>
      <c r="N31" s="7"/>
      <c r="O31">
        <f t="shared" si="4"/>
        <v>23.71833333333333</v>
      </c>
      <c r="P31" s="6">
        <f t="shared" si="5"/>
        <v>100.76879082593058</v>
      </c>
      <c r="Q31" s="6">
        <f t="shared" si="0"/>
        <v>33.659772461311611</v>
      </c>
      <c r="R31" s="6">
        <f t="shared" si="1"/>
        <v>20.164628103692124</v>
      </c>
      <c r="S31" s="5">
        <f t="shared" si="2"/>
        <v>0</v>
      </c>
      <c r="T31" s="6">
        <f t="shared" si="6"/>
        <v>46.944390260926824</v>
      </c>
      <c r="U31" s="1">
        <f t="shared" si="6"/>
        <v>46.944390260926824</v>
      </c>
      <c r="V31" s="1">
        <f t="shared" si="6"/>
        <v>46.944390260926824</v>
      </c>
      <c r="X31" s="5"/>
      <c r="Y31" s="5"/>
      <c r="Z31" s="5"/>
      <c r="AA31" s="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>
      <c r="B32" s="7">
        <v>1855.1</v>
      </c>
      <c r="C32" s="8">
        <v>4.7521999999999999E-11</v>
      </c>
      <c r="D32" s="8">
        <v>4.7521999999999999E-11</v>
      </c>
      <c r="E32" s="8">
        <v>4.7521999999999999E-11</v>
      </c>
      <c r="F32" s="1">
        <v>1.151E-12</v>
      </c>
      <c r="G32" s="1">
        <v>6.3649999999999996E-17</v>
      </c>
      <c r="H32" s="1">
        <v>4.9047000000000001E-11</v>
      </c>
      <c r="I32" s="1">
        <v>3.0536000000000003E-11</v>
      </c>
      <c r="J32" s="8"/>
      <c r="K32" s="1"/>
      <c r="L32" s="1"/>
      <c r="M32" s="1"/>
      <c r="N32" s="7"/>
      <c r="O32">
        <f t="shared" si="4"/>
        <v>30.918333333333333</v>
      </c>
      <c r="P32" s="6">
        <f t="shared" si="5"/>
        <v>100.70588431123608</v>
      </c>
      <c r="Q32" s="6">
        <f t="shared" si="0"/>
        <v>39.415165542977654</v>
      </c>
      <c r="R32" s="6">
        <f t="shared" si="1"/>
        <v>23.976732216336362</v>
      </c>
      <c r="S32" s="5">
        <f t="shared" si="2"/>
        <v>0</v>
      </c>
      <c r="T32" s="6">
        <f t="shared" si="6"/>
        <v>37.313986551922071</v>
      </c>
      <c r="U32" s="1">
        <f t="shared" si="6"/>
        <v>37.313986551922071</v>
      </c>
      <c r="V32" s="1">
        <f t="shared" si="6"/>
        <v>37.313986551922071</v>
      </c>
      <c r="X32" s="5"/>
      <c r="Y32" s="5"/>
      <c r="Z32" s="5"/>
      <c r="AA32" s="5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>
      <c r="B33" s="7">
        <v>2287.1</v>
      </c>
      <c r="C33" s="8">
        <v>3.7737999999999999E-11</v>
      </c>
      <c r="D33" s="8">
        <v>3.7737999999999999E-11</v>
      </c>
      <c r="E33" s="8">
        <v>3.7737999999999999E-11</v>
      </c>
      <c r="F33" s="1">
        <v>9.1401999999999998E-13</v>
      </c>
      <c r="G33" s="1">
        <v>4.9198E-17</v>
      </c>
      <c r="H33" s="1">
        <v>5.5106999999999998E-11</v>
      </c>
      <c r="I33" s="1">
        <v>3.4389999999999997E-11</v>
      </c>
      <c r="J33" s="8"/>
      <c r="K33" s="1"/>
      <c r="L33" s="1"/>
      <c r="M33" s="1"/>
      <c r="N33" s="7"/>
      <c r="O33">
        <f t="shared" si="4"/>
        <v>38.118333333333332</v>
      </c>
      <c r="P33" s="6">
        <f t="shared" si="5"/>
        <v>100.62187291560755</v>
      </c>
      <c r="Q33" s="6">
        <f t="shared" si="0"/>
        <v>43.987365576048084</v>
      </c>
      <c r="R33" s="6">
        <f t="shared" si="1"/>
        <v>27.002858324441529</v>
      </c>
      <c r="S33" s="5">
        <f t="shared" si="2"/>
        <v>0</v>
      </c>
      <c r="T33" s="6">
        <f t="shared" si="6"/>
        <v>29.631649015117944</v>
      </c>
      <c r="U33" s="1">
        <f t="shared" si="6"/>
        <v>29.631649015117944</v>
      </c>
      <c r="V33" s="1">
        <f t="shared" si="6"/>
        <v>29.631649015117944</v>
      </c>
      <c r="X33" s="5"/>
      <c r="Y33" s="5"/>
      <c r="Z33" s="5"/>
      <c r="AA33" s="5"/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>
      <c r="B34" s="7">
        <v>2719.1</v>
      </c>
      <c r="C34" s="8">
        <v>2.9955999999999997E-11</v>
      </c>
      <c r="D34" s="8">
        <v>2.9955999999999997E-11</v>
      </c>
      <c r="E34" s="8">
        <v>2.9955999999999997E-11</v>
      </c>
      <c r="F34" s="1">
        <v>7.2553999999999996E-13</v>
      </c>
      <c r="G34" s="1">
        <v>3.8972999999999997E-17</v>
      </c>
      <c r="H34" s="1">
        <v>5.9917999999999994E-11</v>
      </c>
      <c r="I34" s="1">
        <v>3.7449000000000002E-11</v>
      </c>
      <c r="J34" s="8"/>
      <c r="K34" s="1"/>
      <c r="L34" s="1"/>
      <c r="M34" s="1"/>
      <c r="N34" s="7"/>
      <c r="O34">
        <f t="shared" si="4"/>
        <v>45.318333333333335</v>
      </c>
      <c r="P34" s="6">
        <f t="shared" si="5"/>
        <v>100.54296859962236</v>
      </c>
      <c r="Q34" s="6">
        <f t="shared" si="0"/>
        <v>47.616940280732038</v>
      </c>
      <c r="R34" s="6">
        <f t="shared" si="1"/>
        <v>29.404758566999021</v>
      </c>
      <c r="S34" s="5">
        <f t="shared" si="2"/>
        <v>0</v>
      </c>
      <c r="T34" s="6">
        <f t="shared" si="6"/>
        <v>23.521269751891278</v>
      </c>
      <c r="U34" s="1">
        <f t="shared" si="6"/>
        <v>23.521269751891278</v>
      </c>
      <c r="V34" s="1">
        <f t="shared" si="6"/>
        <v>23.521269751891278</v>
      </c>
      <c r="X34" s="5"/>
      <c r="Y34" s="5"/>
      <c r="Z34" s="5"/>
      <c r="AA34" s="5"/>
      <c r="AB34" s="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>
      <c r="B35" s="7">
        <v>3151.1</v>
      </c>
      <c r="C35" s="8">
        <v>2.3775E-11</v>
      </c>
      <c r="D35" s="8">
        <v>2.3775E-11</v>
      </c>
      <c r="E35" s="8">
        <v>2.3775E-11</v>
      </c>
      <c r="F35" s="1">
        <v>5.7584E-13</v>
      </c>
      <c r="G35" s="1">
        <v>3.1603999999999999E-17</v>
      </c>
      <c r="H35" s="1">
        <v>6.3737000000000004E-11</v>
      </c>
      <c r="I35" s="1">
        <v>3.9877000000000002E-11</v>
      </c>
      <c r="J35" s="8"/>
      <c r="K35" s="1"/>
      <c r="L35" s="1"/>
      <c r="M35" s="1"/>
      <c r="N35" s="7"/>
      <c r="O35">
        <f t="shared" si="4"/>
        <v>52.518333333333331</v>
      </c>
      <c r="P35" s="6">
        <f t="shared" si="5"/>
        <v>100.47724208051199</v>
      </c>
      <c r="Q35" s="6">
        <f t="shared" si="0"/>
        <v>50.498052415216442</v>
      </c>
      <c r="R35" s="6">
        <f t="shared" si="1"/>
        <v>31.311203674134664</v>
      </c>
      <c r="S35" s="5">
        <f t="shared" si="2"/>
        <v>0</v>
      </c>
      <c r="T35" s="6">
        <f t="shared" si="6"/>
        <v>18.667985991160876</v>
      </c>
      <c r="U35" s="1">
        <f t="shared" si="6"/>
        <v>18.667985991160876</v>
      </c>
      <c r="V35" s="1">
        <f t="shared" si="6"/>
        <v>18.667985991160876</v>
      </c>
      <c r="X35" s="5"/>
      <c r="Y35" s="5"/>
      <c r="Z35" s="5"/>
      <c r="AA35" s="5"/>
      <c r="AB35" s="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>
      <c r="B36" s="7">
        <v>3583.1</v>
      </c>
      <c r="C36" s="8">
        <v>1.8868000000000001E-11</v>
      </c>
      <c r="D36" s="8">
        <v>1.8868000000000001E-11</v>
      </c>
      <c r="E36" s="8">
        <v>1.8868000000000001E-11</v>
      </c>
      <c r="F36" s="1">
        <v>4.5698999999999995E-13</v>
      </c>
      <c r="G36" s="1">
        <v>2.5074000000000001E-17</v>
      </c>
      <c r="H36" s="1">
        <v>6.6768000000000001E-11</v>
      </c>
      <c r="I36" s="1">
        <v>4.1806E-11</v>
      </c>
      <c r="J36" s="8"/>
      <c r="K36" s="1"/>
      <c r="L36" s="1"/>
      <c r="M36" s="1"/>
      <c r="N36" s="7"/>
      <c r="O36">
        <f t="shared" si="4"/>
        <v>59.718333333333334</v>
      </c>
      <c r="P36" s="6">
        <f t="shared" si="5"/>
        <v>100.42553193205912</v>
      </c>
      <c r="Q36" s="6">
        <f t="shared" si="0"/>
        <v>52.784654955875091</v>
      </c>
      <c r="R36" s="6">
        <f t="shared" si="1"/>
        <v>32.825837662567928</v>
      </c>
      <c r="S36" s="5">
        <f t="shared" si="2"/>
        <v>0</v>
      </c>
      <c r="T36" s="6">
        <f t="shared" si="6"/>
        <v>14.815039313616129</v>
      </c>
      <c r="U36" s="1">
        <f t="shared" si="6"/>
        <v>14.815039313616129</v>
      </c>
      <c r="V36" s="1">
        <f t="shared" si="6"/>
        <v>14.815039313616129</v>
      </c>
      <c r="X36" s="5"/>
      <c r="Y36" s="5"/>
      <c r="Z36" s="5"/>
      <c r="AA36" s="5"/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>
      <c r="B37" s="7">
        <v>4015.1</v>
      </c>
      <c r="C37" s="8">
        <v>1.4973000000000001E-11</v>
      </c>
      <c r="D37" s="8">
        <v>1.4973000000000001E-11</v>
      </c>
      <c r="E37" s="8">
        <v>1.4973000000000001E-11</v>
      </c>
      <c r="F37" s="1">
        <v>3.6265999999999999E-13</v>
      </c>
      <c r="G37" s="1">
        <v>1.9649999999999999E-17</v>
      </c>
      <c r="H37" s="1">
        <v>6.9173000000000005E-11</v>
      </c>
      <c r="I37" s="1">
        <v>4.3336E-11</v>
      </c>
      <c r="J37" s="8"/>
      <c r="K37" s="1"/>
      <c r="L37" s="1"/>
      <c r="M37" s="1"/>
      <c r="N37" s="7"/>
      <c r="O37">
        <f t="shared" si="4"/>
        <v>66.918333333333337</v>
      </c>
      <c r="P37" s="6">
        <f t="shared" si="5"/>
        <v>100.38286808625239</v>
      </c>
      <c r="Q37" s="6">
        <f t="shared" si="0"/>
        <v>54.598979043790784</v>
      </c>
      <c r="R37" s="6">
        <f t="shared" si="1"/>
        <v>34.027180136230179</v>
      </c>
      <c r="S37" s="5">
        <f t="shared" si="2"/>
        <v>0</v>
      </c>
      <c r="T37" s="6">
        <f t="shared" si="6"/>
        <v>11.756708906231413</v>
      </c>
      <c r="U37" s="1">
        <f t="shared" si="6"/>
        <v>11.756708906231413</v>
      </c>
      <c r="V37" s="1">
        <f t="shared" si="6"/>
        <v>11.756708906231413</v>
      </c>
      <c r="X37" s="5"/>
      <c r="Y37" s="5"/>
      <c r="Z37" s="5"/>
      <c r="AA37" s="5"/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>
      <c r="B38" s="7">
        <v>4320</v>
      </c>
      <c r="C38" s="8">
        <v>1.2708E-11</v>
      </c>
      <c r="D38" s="8">
        <v>1.2708E-11</v>
      </c>
      <c r="E38" s="8">
        <v>1.2708E-11</v>
      </c>
      <c r="F38" s="1">
        <v>3.0778999999999999E-13</v>
      </c>
      <c r="G38" s="1">
        <v>1.6631999999999999E-17</v>
      </c>
      <c r="H38" s="1">
        <v>7.0562000000000004E-11</v>
      </c>
      <c r="I38" s="1">
        <v>4.4219000000000001E-11</v>
      </c>
      <c r="J38" s="8"/>
      <c r="K38" s="1"/>
      <c r="L38" s="1"/>
      <c r="M38" s="1"/>
      <c r="N38" s="7"/>
      <c r="O38">
        <f t="shared" si="4"/>
        <v>72</v>
      </c>
      <c r="P38" s="6">
        <f t="shared" si="5"/>
        <v>100.34527848249304</v>
      </c>
      <c r="Q38" s="6">
        <f t="shared" si="0"/>
        <v>55.646529838759761</v>
      </c>
      <c r="R38" s="6">
        <f t="shared" si="1"/>
        <v>34.720504018047777</v>
      </c>
      <c r="S38" s="5">
        <f t="shared" si="2"/>
        <v>0</v>
      </c>
      <c r="T38" s="6">
        <f t="shared" si="6"/>
        <v>9.9782446256854858</v>
      </c>
      <c r="U38" s="1">
        <f t="shared" si="6"/>
        <v>9.9782446256854858</v>
      </c>
      <c r="V38" s="1">
        <f t="shared" si="6"/>
        <v>9.9782446256854858</v>
      </c>
      <c r="X38" s="5"/>
      <c r="Y38" s="5"/>
      <c r="Z38" s="5"/>
      <c r="AA38" s="5"/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>
      <c r="B39" s="7">
        <v>2468.1</v>
      </c>
      <c r="C39" s="8">
        <v>6.2946000000000003E-12</v>
      </c>
      <c r="D39" s="8">
        <v>6.2946000000000003E-12</v>
      </c>
      <c r="E39" s="8">
        <v>6.2946000000000003E-12</v>
      </c>
      <c r="F39" s="1"/>
      <c r="G39" s="1"/>
      <c r="H39" s="1"/>
      <c r="I39" s="1"/>
      <c r="J39" s="8"/>
      <c r="K39" s="1"/>
      <c r="L39" s="1"/>
      <c r="M39" s="1"/>
      <c r="N39" s="7"/>
      <c r="P39" s="6"/>
      <c r="Q39" s="6"/>
      <c r="R39" s="6"/>
      <c r="S39" s="5"/>
      <c r="T39" s="6"/>
      <c r="U39" s="1"/>
      <c r="V39" s="1"/>
      <c r="X39" s="5"/>
      <c r="Y39" s="5"/>
      <c r="Z39" s="5"/>
      <c r="AA39" s="5"/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>
      <c r="B40" s="7">
        <v>2608.4</v>
      </c>
      <c r="C40" s="8">
        <v>5.3032999999999998E-12</v>
      </c>
      <c r="D40" s="8">
        <v>5.3032999999999998E-12</v>
      </c>
      <c r="E40" s="8">
        <v>5.3032999999999998E-12</v>
      </c>
      <c r="F40" s="1"/>
      <c r="G40" s="1"/>
      <c r="H40" s="1"/>
      <c r="I40" s="1"/>
      <c r="J40" s="8"/>
      <c r="K40" s="1"/>
      <c r="L40" s="1"/>
      <c r="M40" s="1"/>
      <c r="N40" s="7"/>
      <c r="P40" s="6"/>
      <c r="Q40" s="6"/>
      <c r="R40" s="6"/>
      <c r="S40" s="5"/>
      <c r="T40" s="6"/>
      <c r="U40" s="1"/>
      <c r="V40" s="1"/>
      <c r="X40" s="5"/>
      <c r="Y40" s="5"/>
      <c r="Z40" s="5"/>
      <c r="AA40" s="5"/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>
      <c r="B41" s="7">
        <v>2748.7</v>
      </c>
      <c r="C41" s="8">
        <v>4.4681000000000003E-12</v>
      </c>
      <c r="D41" s="8">
        <v>4.4681000000000003E-12</v>
      </c>
      <c r="E41" s="8">
        <v>4.4681000000000003E-12</v>
      </c>
      <c r="F41" s="1"/>
      <c r="G41" s="1"/>
      <c r="H41" s="1"/>
      <c r="I41" s="1"/>
      <c r="J41" s="8"/>
      <c r="K41" s="1"/>
      <c r="L41" s="1"/>
      <c r="M41" s="1"/>
      <c r="N41" s="7"/>
      <c r="P41" s="6"/>
      <c r="Q41" s="6"/>
      <c r="R41" s="6"/>
      <c r="S41" s="5"/>
      <c r="T41" s="6"/>
      <c r="U41" s="1"/>
      <c r="V41" s="1"/>
      <c r="X41" s="5"/>
      <c r="Y41" s="5"/>
      <c r="Z41" s="5"/>
      <c r="AA41" s="5"/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>
      <c r="B42" s="7">
        <v>2889</v>
      </c>
      <c r="C42" s="8">
        <v>3.7644000000000004E-12</v>
      </c>
      <c r="D42" s="8">
        <v>3.7644000000000004E-12</v>
      </c>
      <c r="E42" s="8">
        <v>3.7644000000000004E-12</v>
      </c>
      <c r="F42" s="1"/>
      <c r="G42" s="1"/>
      <c r="H42" s="1"/>
      <c r="I42" s="1"/>
      <c r="J42" s="8"/>
      <c r="K42" s="1"/>
      <c r="L42" s="1"/>
      <c r="M42" s="1"/>
      <c r="N42" s="7"/>
      <c r="P42" s="6"/>
      <c r="Q42" s="6"/>
      <c r="R42" s="6"/>
      <c r="S42" s="5"/>
      <c r="T42" s="6"/>
      <c r="U42" s="1"/>
      <c r="V42" s="1"/>
      <c r="X42" s="5"/>
      <c r="Y42" s="5"/>
      <c r="Z42" s="5"/>
      <c r="AA42" s="5"/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>
      <c r="B43" s="7">
        <v>3029.3</v>
      </c>
      <c r="C43" s="8">
        <v>3.1715999999999999E-12</v>
      </c>
      <c r="D43" s="8">
        <v>3.1715999999999999E-12</v>
      </c>
      <c r="E43" s="8">
        <v>3.1715999999999999E-12</v>
      </c>
      <c r="F43" s="1"/>
      <c r="G43" s="1"/>
      <c r="H43" s="1"/>
      <c r="I43" s="1"/>
      <c r="J43" s="8"/>
      <c r="K43" s="1"/>
      <c r="L43" s="1"/>
      <c r="M43" s="1"/>
      <c r="N43" s="7"/>
      <c r="P43" s="6"/>
      <c r="Q43" s="6"/>
      <c r="R43" s="6"/>
      <c r="S43" s="5"/>
      <c r="T43" s="6"/>
      <c r="U43" s="1"/>
      <c r="V43" s="1"/>
      <c r="X43" s="5"/>
      <c r="Y43" s="5"/>
      <c r="Z43" s="5"/>
      <c r="AA43" s="5"/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>
      <c r="B44" s="7">
        <v>3169.6</v>
      </c>
      <c r="C44" s="8">
        <v>2.6720999999999999E-12</v>
      </c>
      <c r="D44" s="8">
        <v>2.6720999999999999E-12</v>
      </c>
      <c r="E44" s="8">
        <v>2.6720999999999999E-12</v>
      </c>
      <c r="F44" s="1"/>
      <c r="G44" s="1"/>
      <c r="H44" s="1"/>
      <c r="I44" s="1"/>
      <c r="J44" s="8"/>
      <c r="K44" s="1"/>
      <c r="L44" s="1"/>
      <c r="M44" s="1"/>
      <c r="N44" s="7"/>
      <c r="P44" s="6"/>
      <c r="Q44" s="6"/>
      <c r="R44" s="6"/>
      <c r="S44" s="5"/>
      <c r="T44" s="6"/>
      <c r="U44" s="1"/>
      <c r="V44" s="1"/>
      <c r="X44" s="5"/>
      <c r="Y44" s="5"/>
      <c r="Z44" s="5"/>
      <c r="AA44" s="5"/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>
      <c r="B45" s="7">
        <v>3310</v>
      </c>
      <c r="C45" s="8">
        <v>2.2512999999999999E-12</v>
      </c>
      <c r="D45" s="8">
        <v>2.2512999999999999E-12</v>
      </c>
      <c r="E45" s="8">
        <v>2.2512999999999999E-12</v>
      </c>
      <c r="F45" s="1"/>
      <c r="G45" s="1"/>
      <c r="H45" s="1"/>
      <c r="I45" s="1"/>
      <c r="J45" s="8"/>
      <c r="K45" s="1"/>
      <c r="L45" s="1"/>
      <c r="M45" s="1"/>
      <c r="N45" s="7"/>
      <c r="P45" s="6"/>
      <c r="Q45" s="6"/>
      <c r="R45" s="6"/>
      <c r="S45" s="5"/>
      <c r="T45" s="6"/>
      <c r="U45" s="1"/>
      <c r="V45" s="1"/>
      <c r="X45" s="5"/>
      <c r="Y45" s="5"/>
      <c r="Z45" s="5"/>
      <c r="AA45" s="5"/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>
      <c r="B46" s="7">
        <v>3450.3</v>
      </c>
      <c r="C46" s="8">
        <v>1.8968000000000002E-12</v>
      </c>
      <c r="D46" s="8">
        <v>1.8968000000000002E-12</v>
      </c>
      <c r="E46" s="8">
        <v>1.8968000000000002E-12</v>
      </c>
      <c r="F46" s="1"/>
      <c r="G46" s="1"/>
      <c r="H46" s="1"/>
      <c r="I46" s="1"/>
      <c r="J46" s="8"/>
      <c r="K46" s="1"/>
      <c r="L46" s="1"/>
      <c r="M46" s="1"/>
      <c r="N46" s="7"/>
      <c r="P46" s="6"/>
      <c r="Q46" s="6"/>
      <c r="R46" s="6"/>
      <c r="S46" s="5"/>
      <c r="T46" s="6"/>
      <c r="U46" s="1"/>
      <c r="V46" s="1"/>
      <c r="X46" s="5"/>
      <c r="Y46" s="5"/>
      <c r="Z46" s="5"/>
      <c r="AA46" s="5"/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>
      <c r="B47" s="7">
        <v>3590.6</v>
      </c>
      <c r="C47" s="8">
        <v>1.5981E-12</v>
      </c>
      <c r="D47" s="8">
        <v>1.5981E-12</v>
      </c>
      <c r="E47" s="8">
        <v>1.5981E-12</v>
      </c>
      <c r="F47" s="1"/>
      <c r="G47" s="1"/>
      <c r="H47" s="1"/>
      <c r="I47" s="1"/>
      <c r="J47" s="8"/>
      <c r="K47" s="1"/>
      <c r="L47" s="1"/>
      <c r="M47" s="1"/>
      <c r="N47" s="7"/>
      <c r="P47" s="6"/>
      <c r="Q47" s="6"/>
      <c r="R47" s="6"/>
      <c r="S47" s="5"/>
      <c r="T47" s="6"/>
      <c r="U47" s="1"/>
      <c r="V47" s="1"/>
      <c r="X47" s="5"/>
      <c r="Y47" s="5"/>
      <c r="Z47" s="5"/>
      <c r="AA47" s="5"/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>
      <c r="B48" s="7">
        <v>3730.9</v>
      </c>
      <c r="C48" s="8">
        <v>1.3464E-12</v>
      </c>
      <c r="D48" s="8">
        <v>1.3464E-12</v>
      </c>
      <c r="E48" s="8">
        <v>1.3464E-12</v>
      </c>
      <c r="F48" s="1"/>
      <c r="G48" s="1"/>
      <c r="H48" s="1"/>
      <c r="I48" s="1"/>
      <c r="J48" s="8"/>
      <c r="K48" s="1"/>
      <c r="L48" s="1"/>
      <c r="M48" s="1"/>
      <c r="N48" s="7"/>
      <c r="P48" s="6"/>
      <c r="Q48" s="6"/>
      <c r="R48" s="6"/>
      <c r="S48" s="5"/>
      <c r="T48" s="6"/>
      <c r="U48" s="1"/>
      <c r="V48" s="1"/>
      <c r="X48" s="5"/>
      <c r="Y48" s="5"/>
      <c r="Z48" s="5"/>
      <c r="AA48" s="5"/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>
      <c r="B49" s="7">
        <v>3871.2</v>
      </c>
      <c r="C49" s="8">
        <v>1.1342999999999999E-12</v>
      </c>
      <c r="D49" s="8">
        <v>1.1342999999999999E-12</v>
      </c>
      <c r="E49" s="8">
        <v>1.1342999999999999E-12</v>
      </c>
      <c r="F49" s="1"/>
      <c r="G49" s="1"/>
      <c r="H49" s="1"/>
      <c r="I49" s="1"/>
      <c r="J49" s="8"/>
      <c r="K49" s="1"/>
      <c r="L49" s="1"/>
      <c r="M49" s="1"/>
      <c r="N49" s="7"/>
      <c r="P49" s="6"/>
      <c r="Q49" s="6"/>
      <c r="R49" s="6"/>
      <c r="S49" s="5"/>
      <c r="T49" s="6"/>
      <c r="U49" s="1"/>
      <c r="V49" s="1"/>
      <c r="X49" s="5"/>
      <c r="Y49" s="5"/>
      <c r="Z49" s="5"/>
      <c r="AA49" s="5"/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>
      <c r="B50" s="7">
        <v>4011.5</v>
      </c>
      <c r="C50" s="8">
        <v>9.5570999999999997E-13</v>
      </c>
      <c r="D50" s="8">
        <v>9.5570999999999997E-13</v>
      </c>
      <c r="E50" s="8">
        <v>9.5570999999999997E-13</v>
      </c>
      <c r="F50" s="1"/>
      <c r="G50" s="1"/>
      <c r="H50" s="1"/>
      <c r="I50" s="1"/>
      <c r="J50" s="8"/>
      <c r="K50" s="1"/>
      <c r="L50" s="1"/>
      <c r="M50" s="1"/>
      <c r="N50" s="7"/>
      <c r="P50" s="6"/>
      <c r="Q50" s="6"/>
      <c r="R50" s="6"/>
      <c r="S50" s="5"/>
      <c r="T50" s="6"/>
      <c r="U50" s="1"/>
      <c r="V50" s="1"/>
      <c r="X50" s="5"/>
      <c r="Y50" s="5"/>
      <c r="Z50" s="5"/>
      <c r="AA50" s="5"/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>
      <c r="B51" s="7">
        <v>4151.8</v>
      </c>
      <c r="C51" s="8">
        <v>8.0520000000000004E-13</v>
      </c>
      <c r="D51" s="8">
        <v>8.0520000000000004E-13</v>
      </c>
      <c r="E51" s="8">
        <v>8.0520000000000004E-13</v>
      </c>
      <c r="F51" s="1"/>
      <c r="G51" s="1"/>
      <c r="H51" s="1"/>
      <c r="I51" s="1"/>
      <c r="J51" s="8"/>
      <c r="K51" s="1"/>
      <c r="L51" s="1"/>
      <c r="M51" s="1"/>
      <c r="N51" s="7"/>
      <c r="P51" s="6"/>
      <c r="Q51" s="6"/>
      <c r="R51" s="6"/>
      <c r="S51" s="5"/>
      <c r="T51" s="6"/>
      <c r="U51" s="1"/>
      <c r="V51" s="1"/>
      <c r="X51" s="5"/>
      <c r="Y51" s="5"/>
      <c r="Z51" s="5"/>
      <c r="AA51" s="5"/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>
      <c r="B52" s="7">
        <v>4292.1000000000004</v>
      </c>
      <c r="C52" s="8">
        <v>6.7839E-13</v>
      </c>
      <c r="D52" s="8">
        <v>6.7839E-13</v>
      </c>
      <c r="E52" s="8">
        <v>6.7839E-13</v>
      </c>
      <c r="F52" s="1"/>
      <c r="G52" s="1"/>
      <c r="H52" s="1"/>
      <c r="I52" s="1"/>
      <c r="J52" s="8"/>
      <c r="K52" s="1"/>
      <c r="L52" s="1"/>
      <c r="M52" s="1"/>
      <c r="N52" s="7"/>
      <c r="P52" s="6"/>
      <c r="Q52" s="6"/>
      <c r="R52" s="6"/>
      <c r="S52" s="5"/>
      <c r="T52" s="6"/>
      <c r="U52" s="1"/>
      <c r="V52" s="1"/>
      <c r="X52" s="5"/>
      <c r="Y52" s="5"/>
      <c r="Z52" s="5"/>
      <c r="AA52" s="5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>
      <c r="B53" s="7">
        <v>4320</v>
      </c>
      <c r="C53" s="8">
        <v>6.5555999999999999E-13</v>
      </c>
      <c r="D53" s="8">
        <v>6.5555999999999999E-13</v>
      </c>
      <c r="E53" s="8">
        <v>6.5555999999999999E-13</v>
      </c>
      <c r="F53" s="1"/>
      <c r="G53" s="1"/>
      <c r="H53" s="1"/>
      <c r="I53" s="1"/>
      <c r="J53" s="8"/>
      <c r="K53" s="1"/>
      <c r="L53" s="1"/>
      <c r="M53" s="1"/>
      <c r="N53" s="7"/>
      <c r="P53" s="6"/>
      <c r="Q53" s="6"/>
      <c r="R53" s="6"/>
      <c r="S53" s="5"/>
      <c r="T53" s="6"/>
      <c r="U53" s="1"/>
      <c r="V53" s="1"/>
      <c r="X53" s="5"/>
      <c r="Y53" s="5"/>
      <c r="Z53" s="5"/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>
      <c r="B54" s="7"/>
      <c r="C54" s="8"/>
      <c r="D54" s="8"/>
      <c r="E54" s="8"/>
      <c r="J54" s="8"/>
      <c r="K54" s="1"/>
      <c r="L54" s="1"/>
      <c r="N54" s="7"/>
      <c r="P54" s="6"/>
      <c r="Q54" s="6"/>
      <c r="R54" s="6"/>
      <c r="S54" s="5"/>
      <c r="T54" s="6"/>
      <c r="U54" s="1"/>
      <c r="V54" s="1"/>
      <c r="X54" s="5"/>
      <c r="Y54" s="5"/>
      <c r="Z54" s="5"/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>
      <c r="B55" s="7">
        <v>175</v>
      </c>
      <c r="C55" s="8">
        <v>1.142E-10</v>
      </c>
      <c r="D55" s="8">
        <v>1.142E-10</v>
      </c>
      <c r="E55" s="8">
        <v>1.142E-10</v>
      </c>
      <c r="J55" s="8"/>
      <c r="K55" s="1"/>
      <c r="L55" s="1"/>
      <c r="N55" s="7"/>
      <c r="P55" s="6"/>
      <c r="Q55" s="6"/>
      <c r="R55" s="6"/>
      <c r="S55" s="5"/>
      <c r="T55" s="6"/>
      <c r="U55" s="1"/>
      <c r="V55" s="1"/>
      <c r="X55" s="5"/>
      <c r="Y55" s="5"/>
      <c r="Z55" s="5"/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>
      <c r="B56" s="7">
        <v>180</v>
      </c>
      <c r="C56" s="8">
        <v>1.139E-10</v>
      </c>
      <c r="D56" s="8">
        <v>1.139E-10</v>
      </c>
      <c r="E56" s="8">
        <v>1.139E-10</v>
      </c>
      <c r="J56" s="8"/>
      <c r="K56" s="1"/>
      <c r="L56" s="1"/>
      <c r="N56" s="7"/>
      <c r="P56" s="6"/>
      <c r="Q56" s="6"/>
      <c r="R56" s="6"/>
      <c r="S56" s="5"/>
      <c r="T56" s="6"/>
      <c r="U56" s="1"/>
      <c r="V56" s="1"/>
      <c r="X56" s="5"/>
      <c r="Y56" s="5"/>
      <c r="Z56" s="5"/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>
      <c r="B57" s="7">
        <v>185</v>
      </c>
      <c r="C57" s="8">
        <v>1.136E-10</v>
      </c>
      <c r="D57" s="8">
        <v>1.136E-10</v>
      </c>
      <c r="E57" s="8">
        <v>1.136E-10</v>
      </c>
      <c r="J57" s="8"/>
      <c r="K57" s="1"/>
      <c r="L57" s="1"/>
      <c r="N57" s="7"/>
      <c r="P57" s="6"/>
      <c r="Q57" s="6"/>
      <c r="R57" s="6"/>
      <c r="S57" s="5"/>
      <c r="T57" s="6"/>
      <c r="U57" s="1"/>
      <c r="V57" s="1"/>
      <c r="X57" s="5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>
      <c r="B58" s="7">
        <v>190</v>
      </c>
      <c r="C58" s="8">
        <v>1.133E-10</v>
      </c>
      <c r="D58" s="8">
        <v>1.133E-10</v>
      </c>
      <c r="E58" s="8">
        <v>1.133E-10</v>
      </c>
      <c r="J58" s="8"/>
      <c r="K58" s="1"/>
      <c r="L58" s="1"/>
      <c r="N58" s="7"/>
      <c r="P58" s="6"/>
      <c r="Q58" s="6"/>
      <c r="R58" s="6"/>
      <c r="S58" s="5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>
      <c r="B59" s="7">
        <v>195</v>
      </c>
      <c r="C59" s="8">
        <v>1.13E-10</v>
      </c>
      <c r="D59" s="8">
        <v>1.13E-10</v>
      </c>
      <c r="E59" s="8">
        <v>1.13E-10</v>
      </c>
      <c r="J59" s="8"/>
      <c r="K59" s="1"/>
      <c r="L59" s="1"/>
      <c r="N59" s="7"/>
      <c r="P59" s="6"/>
      <c r="Q59" s="6"/>
      <c r="R59" s="6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>
      <c r="B60" s="7">
        <v>200</v>
      </c>
      <c r="C60" s="8">
        <v>1.127E-10</v>
      </c>
      <c r="D60" s="8">
        <v>1.127E-10</v>
      </c>
      <c r="E60" s="8">
        <v>1.127E-10</v>
      </c>
      <c r="J60" s="8"/>
      <c r="K60" s="1"/>
      <c r="L60" s="1"/>
      <c r="N60" s="7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>
      <c r="B61" s="7">
        <v>205</v>
      </c>
      <c r="C61" s="8">
        <v>1.1241E-10</v>
      </c>
      <c r="D61" s="8">
        <v>1.1241E-10</v>
      </c>
      <c r="E61" s="8">
        <v>1.1241E-10</v>
      </c>
      <c r="J61" s="8"/>
      <c r="K61" s="1"/>
      <c r="L61" s="1"/>
      <c r="N61" s="7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>
      <c r="B62" s="7">
        <v>210</v>
      </c>
      <c r="C62" s="8">
        <v>1.1211E-10</v>
      </c>
      <c r="D62" s="8">
        <v>1.1211E-10</v>
      </c>
      <c r="E62" s="8">
        <v>1.1211E-10</v>
      </c>
      <c r="J62" s="8"/>
      <c r="K62" s="1"/>
      <c r="L62" s="1"/>
      <c r="N62" s="7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>
      <c r="B63" s="7">
        <v>215</v>
      </c>
      <c r="C63" s="8">
        <v>1.1181E-10</v>
      </c>
      <c r="D63" s="8">
        <v>1.1181E-10</v>
      </c>
      <c r="E63" s="8">
        <v>1.1181E-10</v>
      </c>
      <c r="J63" s="8"/>
      <c r="K63" s="1"/>
      <c r="L63" s="1"/>
      <c r="N63" s="7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>
      <c r="B64" s="7">
        <v>220</v>
      </c>
      <c r="C64" s="8">
        <v>1.1152000000000001E-10</v>
      </c>
      <c r="D64" s="8">
        <v>1.1152000000000001E-10</v>
      </c>
      <c r="E64" s="8">
        <v>1.1152000000000001E-10</v>
      </c>
      <c r="J64" s="8"/>
      <c r="K64" s="1"/>
      <c r="L64" s="1"/>
      <c r="N64" s="7"/>
      <c r="P64" s="6"/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2:65">
      <c r="B65" s="7">
        <v>225</v>
      </c>
      <c r="C65" s="8">
        <v>1.1122E-10</v>
      </c>
      <c r="D65" s="8">
        <v>1.1122E-10</v>
      </c>
      <c r="E65" s="8">
        <v>1.1122E-10</v>
      </c>
      <c r="J65" s="8"/>
      <c r="K65" s="1"/>
      <c r="L65" s="1"/>
      <c r="N65" s="7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2:65">
      <c r="B66" s="7">
        <v>230</v>
      </c>
      <c r="C66" s="8">
        <v>1.1093E-10</v>
      </c>
      <c r="D66" s="8">
        <v>1.1093E-10</v>
      </c>
      <c r="E66" s="8">
        <v>1.1093E-10</v>
      </c>
      <c r="J66" s="8"/>
      <c r="K66" s="1"/>
      <c r="L66" s="1"/>
      <c r="N66" s="7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2:65">
      <c r="B67" s="7">
        <v>235</v>
      </c>
      <c r="C67" s="8">
        <v>1.1063E-10</v>
      </c>
      <c r="D67" s="8">
        <v>1.1063E-10</v>
      </c>
      <c r="E67" s="8">
        <v>1.1063E-10</v>
      </c>
      <c r="J67" s="8"/>
      <c r="K67" s="1"/>
      <c r="L67" s="1"/>
      <c r="N67" s="7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2:65">
      <c r="B68" s="7">
        <v>240</v>
      </c>
      <c r="C68" s="8">
        <v>1.1034E-10</v>
      </c>
      <c r="D68" s="8">
        <v>1.1034E-10</v>
      </c>
      <c r="E68" s="8">
        <v>1.1034E-10</v>
      </c>
      <c r="J68" s="8"/>
      <c r="K68" s="1"/>
      <c r="L68" s="1"/>
      <c r="N68" s="7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2:65">
      <c r="B69" s="7">
        <v>245</v>
      </c>
      <c r="C69" s="8">
        <v>1.1005E-10</v>
      </c>
      <c r="D69" s="8">
        <v>1.1005E-10</v>
      </c>
      <c r="E69" s="8">
        <v>1.1005E-10</v>
      </c>
      <c r="J69" s="8"/>
      <c r="K69" s="1"/>
      <c r="L69" s="1"/>
      <c r="N69" s="7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2:65">
      <c r="B70" s="7">
        <v>250</v>
      </c>
      <c r="C70" s="8">
        <v>1.0976E-10</v>
      </c>
      <c r="D70" s="8">
        <v>1.0976E-10</v>
      </c>
      <c r="E70" s="8">
        <v>1.0976E-10</v>
      </c>
      <c r="J70" s="8"/>
      <c r="K70" s="1"/>
      <c r="L70" s="1"/>
      <c r="N70" s="7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2:65">
      <c r="B71" s="7">
        <v>255</v>
      </c>
      <c r="C71" s="8">
        <v>1.0947E-10</v>
      </c>
      <c r="D71" s="8">
        <v>1.0947E-10</v>
      </c>
      <c r="E71" s="8">
        <v>1.0947E-10</v>
      </c>
      <c r="J71" s="8"/>
      <c r="K71" s="1"/>
      <c r="L71" s="1"/>
      <c r="N71" s="7"/>
      <c r="P71" s="6"/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2:65">
      <c r="B72" s="7">
        <v>260</v>
      </c>
      <c r="C72" s="8">
        <v>1.0918E-10</v>
      </c>
      <c r="D72" s="8">
        <v>1.0918E-10</v>
      </c>
      <c r="E72" s="8">
        <v>1.0918E-10</v>
      </c>
      <c r="J72" s="8"/>
      <c r="K72" s="1"/>
      <c r="L72" s="1"/>
      <c r="N72" s="7"/>
      <c r="P72" s="6"/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2:65">
      <c r="B73" s="7">
        <v>265</v>
      </c>
      <c r="C73" s="8">
        <v>1.0889E-10</v>
      </c>
      <c r="D73" s="8">
        <v>1.0889E-10</v>
      </c>
      <c r="E73" s="8">
        <v>1.0889E-10</v>
      </c>
      <c r="J73" s="8"/>
      <c r="K73" s="1"/>
      <c r="L73" s="1"/>
      <c r="N73" s="7"/>
      <c r="P73" s="6"/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2:65">
      <c r="B74" s="7">
        <v>270</v>
      </c>
      <c r="C74" s="8">
        <v>1.086E-10</v>
      </c>
      <c r="D74" s="8">
        <v>1.086E-10</v>
      </c>
      <c r="E74" s="8">
        <v>1.086E-10</v>
      </c>
      <c r="J74" s="8"/>
      <c r="K74" s="1"/>
      <c r="L74" s="1"/>
      <c r="N74" s="7"/>
      <c r="P74" s="6"/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2:65">
      <c r="B75" s="7">
        <v>275</v>
      </c>
      <c r="C75" s="8">
        <v>1.0831E-10</v>
      </c>
      <c r="D75" s="8">
        <v>1.0831E-10</v>
      </c>
      <c r="E75" s="8">
        <v>1.0831E-10</v>
      </c>
      <c r="J75" s="8"/>
      <c r="K75" s="1"/>
      <c r="L75" s="1"/>
      <c r="N75" s="7"/>
      <c r="P75" s="6"/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2:65">
      <c r="B76" s="7">
        <v>280</v>
      </c>
      <c r="C76" s="8">
        <v>1.0802000000000001E-10</v>
      </c>
      <c r="D76" s="8">
        <v>1.0802000000000001E-10</v>
      </c>
      <c r="E76" s="8">
        <v>1.0802000000000001E-10</v>
      </c>
      <c r="J76" s="8"/>
      <c r="K76" s="1"/>
      <c r="L76" s="1"/>
      <c r="N76" s="7"/>
      <c r="P76" s="6"/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2:65">
      <c r="B77" s="7">
        <v>285</v>
      </c>
      <c r="C77" s="8">
        <v>1.0773E-10</v>
      </c>
      <c r="D77" s="8">
        <v>1.0773E-10</v>
      </c>
      <c r="E77" s="8">
        <v>1.0773E-10</v>
      </c>
      <c r="J77" s="8"/>
      <c r="K77" s="1"/>
      <c r="L77" s="1"/>
      <c r="N77" s="7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2:65">
      <c r="B78" s="7">
        <v>290</v>
      </c>
      <c r="C78" s="8">
        <v>1.0745E-10</v>
      </c>
      <c r="D78" s="8">
        <v>1.0745E-10</v>
      </c>
      <c r="E78" s="8">
        <v>1.0745E-10</v>
      </c>
      <c r="J78" s="8"/>
      <c r="K78" s="1"/>
      <c r="L78" s="1"/>
      <c r="N78" s="7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2:65">
      <c r="B79" s="7">
        <v>295</v>
      </c>
      <c r="C79" s="8">
        <v>1.0715999999999999E-10</v>
      </c>
      <c r="D79" s="8">
        <v>1.0715999999999999E-10</v>
      </c>
      <c r="E79" s="8">
        <v>1.0715999999999999E-10</v>
      </c>
      <c r="J79" s="8"/>
      <c r="K79" s="1"/>
      <c r="L79" s="1"/>
      <c r="N79" s="7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2:65">
      <c r="B80" s="7">
        <v>300</v>
      </c>
      <c r="C80" s="8">
        <v>1.0688E-10</v>
      </c>
      <c r="D80" s="8">
        <v>1.0688E-10</v>
      </c>
      <c r="E80" s="8">
        <v>1.0688E-10</v>
      </c>
      <c r="J80" s="8"/>
      <c r="K80" s="1"/>
      <c r="L80" s="1"/>
      <c r="N80" s="7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2:65">
      <c r="B81" s="7">
        <v>310</v>
      </c>
      <c r="C81" s="8">
        <v>1.0631000000000001E-10</v>
      </c>
      <c r="D81" s="8">
        <v>1.0631000000000001E-10</v>
      </c>
      <c r="E81" s="8">
        <v>1.0631000000000001E-10</v>
      </c>
      <c r="J81" s="8"/>
      <c r="K81" s="1"/>
      <c r="L81" s="1"/>
      <c r="N81" s="7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2:65">
      <c r="B82" s="7">
        <v>320</v>
      </c>
      <c r="C82" s="8">
        <v>1.0575E-10</v>
      </c>
      <c r="D82" s="8">
        <v>1.0575E-10</v>
      </c>
      <c r="E82" s="8">
        <v>1.0575E-10</v>
      </c>
      <c r="J82" s="8"/>
      <c r="K82" s="1"/>
      <c r="L82" s="1"/>
      <c r="N82" s="7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2:65">
      <c r="B83" s="7">
        <v>330</v>
      </c>
      <c r="C83" s="8">
        <v>1.0518000000000001E-10</v>
      </c>
      <c r="D83" s="8">
        <v>1.0518000000000001E-10</v>
      </c>
      <c r="E83" s="8">
        <v>1.0518000000000001E-10</v>
      </c>
      <c r="J83" s="8"/>
      <c r="K83" s="1"/>
      <c r="L83" s="1"/>
      <c r="N83" s="7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2:65">
      <c r="B84" s="7">
        <v>340</v>
      </c>
      <c r="C84" s="8">
        <v>1.0463E-10</v>
      </c>
      <c r="D84" s="8">
        <v>1.0463E-10</v>
      </c>
      <c r="E84" s="8">
        <v>1.0463E-10</v>
      </c>
      <c r="J84" s="8"/>
      <c r="K84" s="1"/>
      <c r="L84" s="1"/>
      <c r="N84" s="7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2:65">
      <c r="B85" s="7">
        <v>350</v>
      </c>
      <c r="C85" s="8">
        <v>1.0407E-10</v>
      </c>
      <c r="D85" s="8">
        <v>1.0407E-10</v>
      </c>
      <c r="E85" s="8">
        <v>1.0407E-10</v>
      </c>
      <c r="J85" s="8"/>
      <c r="K85" s="1"/>
      <c r="L85" s="1"/>
      <c r="N85" s="7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2:65">
      <c r="B86" s="7">
        <v>360</v>
      </c>
      <c r="C86" s="8">
        <v>1.0352E-10</v>
      </c>
      <c r="D86" s="8">
        <v>1.0352E-10</v>
      </c>
      <c r="E86" s="8">
        <v>1.0352E-10</v>
      </c>
      <c r="J86" s="8"/>
      <c r="K86" s="1"/>
      <c r="L86" s="1"/>
      <c r="N86" s="7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2:65">
      <c r="B87" s="7">
        <v>370</v>
      </c>
      <c r="C87" s="8">
        <v>1.0296999999999999E-10</v>
      </c>
      <c r="D87" s="8">
        <v>1.0296999999999999E-10</v>
      </c>
      <c r="E87" s="8">
        <v>1.0296999999999999E-10</v>
      </c>
      <c r="J87" s="8"/>
      <c r="K87" s="1"/>
      <c r="L87" s="1"/>
      <c r="N87" s="7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2:65">
      <c r="B88" s="7">
        <v>380</v>
      </c>
      <c r="C88" s="8">
        <v>1.0241999999999999E-10</v>
      </c>
      <c r="D88" s="8">
        <v>1.0241999999999999E-10</v>
      </c>
      <c r="E88" s="8">
        <v>1.0241999999999999E-10</v>
      </c>
      <c r="J88" s="8"/>
      <c r="K88" s="1"/>
      <c r="L88" s="1"/>
      <c r="N88" s="7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2:65">
      <c r="B89" s="7">
        <v>390</v>
      </c>
      <c r="C89" s="8">
        <v>1.0188E-10</v>
      </c>
      <c r="D89" s="8">
        <v>1.0188E-10</v>
      </c>
      <c r="E89" s="8">
        <v>1.0188E-10</v>
      </c>
      <c r="J89" s="8"/>
      <c r="K89" s="1"/>
      <c r="L89" s="1"/>
      <c r="N89" s="7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2:65">
      <c r="B90" s="7">
        <v>400</v>
      </c>
      <c r="C90" s="8">
        <v>1.0133E-10</v>
      </c>
      <c r="D90" s="8">
        <v>1.0133E-10</v>
      </c>
      <c r="E90" s="8">
        <v>1.0133E-10</v>
      </c>
      <c r="J90" s="8"/>
      <c r="K90" s="1"/>
      <c r="L90" s="1"/>
      <c r="N90" s="7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2:65">
      <c r="B91" s="7">
        <v>410</v>
      </c>
      <c r="C91" s="8">
        <v>1.008E-10</v>
      </c>
      <c r="D91" s="8">
        <v>1.008E-10</v>
      </c>
      <c r="E91" s="8">
        <v>1.008E-10</v>
      </c>
      <c r="J91" s="8"/>
      <c r="K91" s="1"/>
      <c r="L91" s="1"/>
      <c r="N91" s="7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2:65">
      <c r="B92" s="7">
        <v>420</v>
      </c>
      <c r="C92" s="8">
        <v>1.0026E-10</v>
      </c>
      <c r="D92" s="8">
        <v>1.0026E-10</v>
      </c>
      <c r="E92" s="8">
        <v>1.0026E-10</v>
      </c>
      <c r="J92" s="8"/>
      <c r="K92" s="1"/>
      <c r="L92" s="1"/>
      <c r="N92" s="7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2:65">
      <c r="B93" s="7">
        <v>430</v>
      </c>
      <c r="C93" s="8">
        <v>9.9727999999999997E-11</v>
      </c>
      <c r="D93" s="8">
        <v>9.9727999999999997E-11</v>
      </c>
      <c r="E93" s="8">
        <v>9.9727999999999997E-11</v>
      </c>
      <c r="J93" s="8"/>
      <c r="K93" s="1"/>
      <c r="L93" s="1"/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2:65">
      <c r="B94" s="7">
        <v>440</v>
      </c>
      <c r="C94" s="8">
        <v>9.9198E-11</v>
      </c>
      <c r="D94" s="8">
        <v>9.9198E-11</v>
      </c>
      <c r="E94" s="8">
        <v>9.9198E-11</v>
      </c>
      <c r="J94" s="8"/>
      <c r="K94" s="1"/>
      <c r="L94" s="1"/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2:65">
      <c r="B95" s="7">
        <v>450</v>
      </c>
      <c r="C95" s="8">
        <v>9.8671000000000002E-11</v>
      </c>
      <c r="D95" s="8">
        <v>9.8671000000000002E-11</v>
      </c>
      <c r="E95" s="8">
        <v>9.8671000000000002E-11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2:65">
      <c r="B96" s="7">
        <v>460</v>
      </c>
      <c r="C96" s="8">
        <v>9.8147000000000005E-11</v>
      </c>
      <c r="D96" s="8">
        <v>9.8147000000000005E-11</v>
      </c>
      <c r="E96" s="8">
        <v>9.8147000000000005E-11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>
      <c r="B97" s="7">
        <v>470</v>
      </c>
      <c r="C97" s="8">
        <v>9.7625999999999995E-11</v>
      </c>
      <c r="D97" s="8">
        <v>9.7625999999999995E-11</v>
      </c>
      <c r="E97" s="8">
        <v>9.7625999999999995E-11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>
      <c r="B98" s="7">
        <v>480</v>
      </c>
      <c r="C98" s="8">
        <v>9.7107000000000001E-11</v>
      </c>
      <c r="D98" s="8">
        <v>9.7107000000000001E-11</v>
      </c>
      <c r="E98" s="8">
        <v>9.7107000000000001E-11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>
      <c r="B99" s="7">
        <v>490</v>
      </c>
      <c r="C99" s="8">
        <v>9.6590999999999995E-11</v>
      </c>
      <c r="D99" s="8">
        <v>9.6590999999999995E-11</v>
      </c>
      <c r="E99" s="8">
        <v>9.6590999999999995E-11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>
      <c r="B100" s="7">
        <v>500</v>
      </c>
      <c r="C100" s="8">
        <v>9.6078000000000002E-11</v>
      </c>
      <c r="D100" s="8">
        <v>9.6078000000000002E-11</v>
      </c>
      <c r="E100" s="8">
        <v>9.6078000000000002E-11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>
      <c r="B101" s="7">
        <v>510</v>
      </c>
      <c r="C101" s="8">
        <v>9.5567999999999995E-11</v>
      </c>
      <c r="D101" s="8">
        <v>9.5567999999999995E-11</v>
      </c>
      <c r="E101" s="8">
        <v>9.5567999999999995E-11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>
      <c r="B102" s="7">
        <v>520</v>
      </c>
      <c r="C102" s="8">
        <v>9.5060000000000006E-11</v>
      </c>
      <c r="D102" s="8">
        <v>9.5060000000000006E-11</v>
      </c>
      <c r="E102" s="8">
        <v>9.5060000000000006E-11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>
      <c r="B103" s="7">
        <v>530</v>
      </c>
      <c r="C103" s="8">
        <v>9.4555999999999999E-11</v>
      </c>
      <c r="D103" s="8">
        <v>9.4555999999999999E-11</v>
      </c>
      <c r="E103" s="8">
        <v>9.4555999999999999E-11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>
      <c r="B104" s="7">
        <v>540</v>
      </c>
      <c r="C104" s="8">
        <v>9.4053000000000001E-11</v>
      </c>
      <c r="D104" s="8">
        <v>9.4053000000000001E-11</v>
      </c>
      <c r="E104" s="8">
        <v>9.4053000000000001E-11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>
      <c r="B105" s="7">
        <v>550</v>
      </c>
      <c r="C105" s="8">
        <v>9.3553999999999998E-11</v>
      </c>
      <c r="D105" s="8">
        <v>9.3553999999999998E-11</v>
      </c>
      <c r="E105" s="8">
        <v>9.3553999999999998E-11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>
      <c r="B106" s="7">
        <v>560</v>
      </c>
      <c r="C106" s="8">
        <v>9.3057E-11</v>
      </c>
      <c r="D106" s="8">
        <v>9.3057E-11</v>
      </c>
      <c r="E106" s="8">
        <v>9.3057E-11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>
      <c r="B107" s="7">
        <v>570</v>
      </c>
      <c r="C107" s="8">
        <v>9.2563000000000001E-11</v>
      </c>
      <c r="D107" s="8">
        <v>9.2563000000000001E-11</v>
      </c>
      <c r="E107" s="8">
        <v>9.2563000000000001E-11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>
      <c r="B108" s="7">
        <v>580</v>
      </c>
      <c r="C108" s="8">
        <v>9.2072000000000003E-11</v>
      </c>
      <c r="D108" s="8">
        <v>9.2072000000000003E-11</v>
      </c>
      <c r="E108" s="8">
        <v>9.2072000000000003E-11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>
      <c r="B109" s="7">
        <v>590</v>
      </c>
      <c r="C109" s="8">
        <v>9.1582999999999995E-11</v>
      </c>
      <c r="D109" s="8">
        <v>9.1582999999999995E-11</v>
      </c>
      <c r="E109" s="8">
        <v>9.1582999999999995E-11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>
      <c r="B110" s="7">
        <v>600</v>
      </c>
      <c r="C110" s="8">
        <v>9.1097000000000001E-11</v>
      </c>
      <c r="D110" s="8">
        <v>9.1097000000000001E-11</v>
      </c>
      <c r="E110" s="8">
        <v>9.1097000000000001E-11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>
      <c r="B111" s="7">
        <v>610</v>
      </c>
      <c r="C111" s="8">
        <v>9.0612999999999998E-11</v>
      </c>
      <c r="D111" s="8">
        <v>9.0612999999999998E-11</v>
      </c>
      <c r="E111" s="8">
        <v>9.0612999999999998E-11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>
      <c r="B112" s="7">
        <v>620</v>
      </c>
      <c r="C112" s="8">
        <v>9.0131999999999994E-11</v>
      </c>
      <c r="D112" s="8">
        <v>9.0131999999999994E-11</v>
      </c>
      <c r="E112" s="8">
        <v>9.0131999999999994E-11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>
      <c r="B113" s="7">
        <v>630</v>
      </c>
      <c r="C113" s="8">
        <v>8.9654000000000004E-11</v>
      </c>
      <c r="D113" s="8">
        <v>8.9654000000000004E-11</v>
      </c>
      <c r="E113" s="8">
        <v>8.9654000000000004E-11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>
      <c r="B114" s="7">
        <v>640</v>
      </c>
      <c r="C114" s="8">
        <v>8.9178000000000005E-11</v>
      </c>
      <c r="D114" s="8">
        <v>8.9178000000000005E-11</v>
      </c>
      <c r="E114" s="8">
        <v>8.9178000000000005E-11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>
      <c r="B115" s="7">
        <v>650</v>
      </c>
      <c r="C115" s="8">
        <v>8.8705000000000005E-11</v>
      </c>
      <c r="D115" s="8">
        <v>8.8705000000000005E-11</v>
      </c>
      <c r="E115" s="8">
        <v>8.8705000000000005E-11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>
      <c r="B116" s="7">
        <v>660</v>
      </c>
      <c r="C116" s="8">
        <v>8.8233999999999997E-11</v>
      </c>
      <c r="D116" s="8">
        <v>8.8233999999999997E-11</v>
      </c>
      <c r="E116" s="8">
        <v>8.8233999999999997E-11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>
      <c r="B117" s="7">
        <v>670</v>
      </c>
      <c r="C117" s="8">
        <v>8.7766000000000002E-11</v>
      </c>
      <c r="D117" s="8">
        <v>8.7766000000000002E-11</v>
      </c>
      <c r="E117" s="8">
        <v>8.7766000000000002E-11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>
      <c r="B118" s="7">
        <v>680</v>
      </c>
      <c r="C118" s="8">
        <v>8.7299999999999998E-11</v>
      </c>
      <c r="D118" s="8">
        <v>8.7299999999999998E-11</v>
      </c>
      <c r="E118" s="8">
        <v>8.7299999999999998E-11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>
      <c r="B119" s="7">
        <v>690</v>
      </c>
      <c r="C119" s="8">
        <v>8.6836999999999994E-11</v>
      </c>
      <c r="D119" s="8">
        <v>8.6836999999999994E-11</v>
      </c>
      <c r="E119" s="8">
        <v>8.6836999999999994E-11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>
      <c r="B120" s="7">
        <v>700</v>
      </c>
      <c r="C120" s="8">
        <v>8.6375999999999995E-11</v>
      </c>
      <c r="D120" s="8">
        <v>8.6375999999999995E-11</v>
      </c>
      <c r="E120" s="8">
        <v>8.6375999999999995E-11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>
      <c r="B121" s="7">
        <v>720</v>
      </c>
      <c r="C121" s="8">
        <v>8.5461000000000003E-11</v>
      </c>
      <c r="D121" s="8">
        <v>8.5461000000000003E-11</v>
      </c>
      <c r="E121" s="8">
        <v>8.5461000000000003E-11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>
      <c r="B122" s="7">
        <v>740</v>
      </c>
      <c r="C122" s="8">
        <v>8.4561999999999995E-11</v>
      </c>
      <c r="D122" s="8">
        <v>8.4561999999999995E-11</v>
      </c>
      <c r="E122" s="8">
        <v>8.4561999999999995E-11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>
      <c r="B123" s="7">
        <v>760</v>
      </c>
      <c r="C123" s="8">
        <v>8.3671000000000002E-11</v>
      </c>
      <c r="D123" s="8">
        <v>8.3671000000000002E-11</v>
      </c>
      <c r="E123" s="8">
        <v>8.3671000000000002E-11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>
      <c r="B124" s="7">
        <v>780</v>
      </c>
      <c r="C124" s="8">
        <v>8.2791000000000001E-11</v>
      </c>
      <c r="D124" s="8">
        <v>8.2791000000000001E-11</v>
      </c>
      <c r="E124" s="8">
        <v>8.2791000000000001E-11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>
      <c r="B125" s="7">
        <v>800</v>
      </c>
      <c r="C125" s="8">
        <v>8.1916000000000004E-11</v>
      </c>
      <c r="D125" s="8">
        <v>8.1916000000000004E-11</v>
      </c>
      <c r="E125" s="8">
        <v>8.1916000000000004E-11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>
      <c r="B126" s="7">
        <v>820</v>
      </c>
      <c r="C126" s="8">
        <v>8.1049999999999994E-11</v>
      </c>
      <c r="D126" s="8">
        <v>8.1049999999999994E-11</v>
      </c>
      <c r="E126" s="8">
        <v>8.1049999999999994E-11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>
      <c r="B127" s="7">
        <v>840</v>
      </c>
      <c r="C127" s="8">
        <v>8.0192000000000001E-11</v>
      </c>
      <c r="D127" s="8">
        <v>8.0192000000000001E-11</v>
      </c>
      <c r="E127" s="8">
        <v>8.0192000000000001E-11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>
      <c r="B128" s="7">
        <v>860</v>
      </c>
      <c r="C128" s="8">
        <v>7.9344000000000003E-11</v>
      </c>
      <c r="D128" s="8">
        <v>7.9344000000000003E-11</v>
      </c>
      <c r="E128" s="8">
        <v>7.9344000000000003E-11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>
      <c r="B129" s="7">
        <v>880</v>
      </c>
      <c r="C129" s="8">
        <v>7.8503999999999996E-11</v>
      </c>
      <c r="D129" s="8">
        <v>7.8503999999999996E-11</v>
      </c>
      <c r="E129" s="8">
        <v>7.8503999999999996E-11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>
      <c r="B130" s="7">
        <v>900</v>
      </c>
      <c r="C130" s="8">
        <v>7.7673999999999997E-11</v>
      </c>
      <c r="D130" s="8">
        <v>7.7673999999999997E-11</v>
      </c>
      <c r="E130" s="8">
        <v>7.7673999999999997E-11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>
      <c r="B131" s="7">
        <v>920</v>
      </c>
      <c r="C131" s="8">
        <v>7.6852000000000003E-11</v>
      </c>
      <c r="D131" s="8">
        <v>7.6852000000000003E-11</v>
      </c>
      <c r="E131" s="8">
        <v>7.6852000000000003E-11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>
      <c r="B132" s="7">
        <v>940</v>
      </c>
      <c r="C132" s="8">
        <v>7.6038999999999995E-11</v>
      </c>
      <c r="D132" s="8">
        <v>7.6038999999999995E-11</v>
      </c>
      <c r="E132" s="8">
        <v>7.6038999999999995E-11</v>
      </c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>
      <c r="B133" s="7">
        <v>960</v>
      </c>
      <c r="C133" s="8">
        <v>7.5234999999999999E-11</v>
      </c>
      <c r="D133" s="8">
        <v>7.5234999999999999E-11</v>
      </c>
      <c r="E133" s="8">
        <v>7.5234999999999999E-11</v>
      </c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>
      <c r="B134" s="7">
        <v>980</v>
      </c>
      <c r="C134" s="8">
        <v>7.4438999999999995E-11</v>
      </c>
      <c r="D134" s="8">
        <v>7.4438999999999995E-11</v>
      </c>
      <c r="E134" s="8">
        <v>7.4438999999999995E-11</v>
      </c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>
      <c r="B135" s="7">
        <v>1000</v>
      </c>
      <c r="C135" s="8">
        <v>7.3650999999999995E-11</v>
      </c>
      <c r="D135" s="8">
        <v>7.3650999999999995E-11</v>
      </c>
      <c r="E135" s="8">
        <v>7.3650999999999995E-11</v>
      </c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>
      <c r="B136" s="7">
        <v>1020</v>
      </c>
      <c r="C136" s="8">
        <v>7.2871999999999994E-11</v>
      </c>
      <c r="D136" s="8">
        <v>7.2871999999999994E-11</v>
      </c>
      <c r="E136" s="8">
        <v>7.2871999999999994E-11</v>
      </c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>
      <c r="B137" s="7">
        <v>1040</v>
      </c>
      <c r="C137" s="8">
        <v>7.2102000000000006E-11</v>
      </c>
      <c r="D137" s="8">
        <v>7.2102000000000006E-11</v>
      </c>
      <c r="E137" s="8">
        <v>7.2102000000000006E-11</v>
      </c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>
      <c r="B138" s="7">
        <v>1060</v>
      </c>
      <c r="C138" s="8">
        <v>7.1339E-11</v>
      </c>
      <c r="D138" s="8">
        <v>7.1339E-11</v>
      </c>
      <c r="E138" s="8">
        <v>7.1339E-11</v>
      </c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>
      <c r="B139" s="7">
        <v>1080</v>
      </c>
      <c r="C139" s="8">
        <v>7.0583999999999999E-11</v>
      </c>
      <c r="D139" s="8">
        <v>7.0583999999999999E-11</v>
      </c>
      <c r="E139" s="8">
        <v>7.0583999999999999E-11</v>
      </c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>
      <c r="B140" s="7">
        <v>1100</v>
      </c>
      <c r="C140" s="8">
        <v>6.9837999999999997E-11</v>
      </c>
      <c r="D140" s="8">
        <v>6.9837999999999997E-11</v>
      </c>
      <c r="E140" s="8">
        <v>6.9837999999999997E-11</v>
      </c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>
      <c r="B141" s="7">
        <v>1120</v>
      </c>
      <c r="C141" s="8">
        <v>6.9099000000000004E-11</v>
      </c>
      <c r="D141" s="8">
        <v>6.9099000000000004E-11</v>
      </c>
      <c r="E141" s="8">
        <v>6.9099000000000004E-11</v>
      </c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>
      <c r="B142" s="7">
        <v>1140</v>
      </c>
      <c r="C142" s="8">
        <v>6.8368000000000001E-11</v>
      </c>
      <c r="D142" s="8">
        <v>6.8368000000000001E-11</v>
      </c>
      <c r="E142" s="8">
        <v>6.8368000000000001E-11</v>
      </c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>
      <c r="B143" s="7">
        <v>1160</v>
      </c>
      <c r="C143" s="8">
        <v>6.7645000000000003E-11</v>
      </c>
      <c r="D143" s="8">
        <v>6.7645000000000003E-11</v>
      </c>
      <c r="E143" s="8">
        <v>6.7645000000000003E-11</v>
      </c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>
      <c r="B144" s="7">
        <v>1180</v>
      </c>
      <c r="C144" s="8">
        <v>6.6929999999999995E-11</v>
      </c>
      <c r="D144" s="8">
        <v>6.6929999999999995E-11</v>
      </c>
      <c r="E144" s="8">
        <v>6.6929999999999995E-11</v>
      </c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>
      <c r="B145" s="7">
        <v>1200</v>
      </c>
      <c r="C145" s="8">
        <v>6.6221999999999996E-11</v>
      </c>
      <c r="D145" s="8">
        <v>6.6221999999999996E-11</v>
      </c>
      <c r="E145" s="8">
        <v>6.6221999999999996E-11</v>
      </c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>
      <c r="B146" s="7">
        <v>1220</v>
      </c>
      <c r="C146" s="8">
        <v>6.5522000000000001E-11</v>
      </c>
      <c r="D146" s="8">
        <v>6.5522000000000001E-11</v>
      </c>
      <c r="E146" s="8">
        <v>6.5522000000000001E-11</v>
      </c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>
      <c r="B147" s="7">
        <v>1240</v>
      </c>
      <c r="C147" s="8">
        <v>6.4829000000000002E-11</v>
      </c>
      <c r="D147" s="8">
        <v>6.4829000000000002E-11</v>
      </c>
      <c r="E147" s="8">
        <v>6.4829000000000002E-11</v>
      </c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>
      <c r="B148" s="7">
        <v>1260</v>
      </c>
      <c r="C148" s="8">
        <v>6.4142999999999998E-11</v>
      </c>
      <c r="D148" s="8">
        <v>6.4142999999999998E-11</v>
      </c>
      <c r="E148" s="8">
        <v>6.4142999999999998E-11</v>
      </c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>
      <c r="B149" s="7">
        <v>1280</v>
      </c>
      <c r="C149" s="8">
        <v>6.3464999999999997E-11</v>
      </c>
      <c r="D149" s="8">
        <v>6.3464999999999997E-11</v>
      </c>
      <c r="E149" s="8">
        <v>6.3464999999999997E-11</v>
      </c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>
      <c r="B150" s="7">
        <v>1300</v>
      </c>
      <c r="C150" s="8">
        <v>6.2794000000000006E-11</v>
      </c>
      <c r="D150" s="8">
        <v>6.2794000000000006E-11</v>
      </c>
      <c r="E150" s="8">
        <v>6.2794000000000006E-11</v>
      </c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>
      <c r="B151" s="7">
        <v>1320</v>
      </c>
      <c r="C151" s="8">
        <v>6.2129999999999996E-11</v>
      </c>
      <c r="D151" s="8">
        <v>6.2129999999999996E-11</v>
      </c>
      <c r="E151" s="8">
        <v>6.2129999999999996E-11</v>
      </c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>
      <c r="B152" s="7">
        <v>1340</v>
      </c>
      <c r="C152" s="8">
        <v>6.1472E-11</v>
      </c>
      <c r="D152" s="8">
        <v>6.1472E-11</v>
      </c>
      <c r="E152" s="8">
        <v>6.1472E-11</v>
      </c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>
      <c r="B153" s="7">
        <v>1360</v>
      </c>
      <c r="C153" s="8">
        <v>6.0821999999999994E-11</v>
      </c>
      <c r="D153" s="8">
        <v>6.0821999999999994E-11</v>
      </c>
      <c r="E153" s="8">
        <v>6.0821999999999994E-11</v>
      </c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>
      <c r="B154" s="7">
        <v>1380</v>
      </c>
      <c r="C154" s="8">
        <v>6.0178999999999997E-11</v>
      </c>
      <c r="D154" s="8">
        <v>6.0178999999999997E-11</v>
      </c>
      <c r="E154" s="8">
        <v>6.0178999999999997E-11</v>
      </c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>
      <c r="B155" s="7">
        <v>1400</v>
      </c>
      <c r="C155" s="8">
        <v>5.9542999999999995E-11</v>
      </c>
      <c r="D155" s="8">
        <v>5.9542999999999995E-11</v>
      </c>
      <c r="E155" s="8">
        <v>5.9542999999999995E-11</v>
      </c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>
      <c r="B156" s="7">
        <v>1420</v>
      </c>
      <c r="C156" s="8">
        <v>5.8913000000000006E-11</v>
      </c>
      <c r="D156" s="8">
        <v>5.8913000000000006E-11</v>
      </c>
      <c r="E156" s="8">
        <v>5.8913000000000006E-11</v>
      </c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>
      <c r="B157" s="7">
        <v>1440</v>
      </c>
      <c r="C157" s="8">
        <v>5.829E-11</v>
      </c>
      <c r="D157" s="8">
        <v>5.829E-11</v>
      </c>
      <c r="E157" s="8">
        <v>5.829E-11</v>
      </c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>
      <c r="B158" s="7">
        <v>1460</v>
      </c>
      <c r="C158" s="8">
        <v>5.7674000000000002E-11</v>
      </c>
      <c r="D158" s="8">
        <v>5.7674000000000002E-11</v>
      </c>
      <c r="E158" s="8">
        <v>5.7674000000000002E-11</v>
      </c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>
      <c r="B159" s="7">
        <v>1480</v>
      </c>
      <c r="C159" s="8">
        <v>5.7064000000000003E-11</v>
      </c>
      <c r="D159" s="8">
        <v>5.7064000000000003E-11</v>
      </c>
      <c r="E159" s="8">
        <v>5.7064000000000003E-11</v>
      </c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>
      <c r="B160" s="7">
        <v>1500</v>
      </c>
      <c r="C160" s="8">
        <v>5.6459999999999998E-11</v>
      </c>
      <c r="D160" s="8">
        <v>5.6459999999999998E-11</v>
      </c>
      <c r="E160" s="8">
        <v>5.6459999999999998E-11</v>
      </c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>
      <c r="B161" s="7">
        <v>1520</v>
      </c>
      <c r="C161" s="8">
        <v>5.5863000000000001E-11</v>
      </c>
      <c r="D161" s="8">
        <v>5.5863000000000001E-11</v>
      </c>
      <c r="E161" s="8">
        <v>5.5863000000000001E-11</v>
      </c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>
      <c r="B162" s="7">
        <v>1560</v>
      </c>
      <c r="C162" s="8">
        <v>5.4688000000000003E-11</v>
      </c>
      <c r="D162" s="8">
        <v>5.4688000000000003E-11</v>
      </c>
      <c r="E162" s="8">
        <v>5.4688000000000003E-11</v>
      </c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>
      <c r="B163" s="7">
        <v>1600</v>
      </c>
      <c r="C163" s="8">
        <v>5.3536999999999997E-11</v>
      </c>
      <c r="D163" s="8">
        <v>5.3536999999999997E-11</v>
      </c>
      <c r="E163" s="8">
        <v>5.3536999999999997E-11</v>
      </c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>
      <c r="B164" s="7">
        <v>1640</v>
      </c>
      <c r="C164" s="8">
        <v>5.2410999999999999E-11</v>
      </c>
      <c r="D164" s="8">
        <v>5.2410999999999999E-11</v>
      </c>
      <c r="E164" s="8">
        <v>5.2410999999999999E-11</v>
      </c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>
      <c r="B165" s="7">
        <v>1680</v>
      </c>
      <c r="C165" s="8">
        <v>5.1307999999999997E-11</v>
      </c>
      <c r="D165" s="8">
        <v>5.1307999999999997E-11</v>
      </c>
      <c r="E165" s="8">
        <v>5.1307999999999997E-11</v>
      </c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>
      <c r="B166" s="7">
        <v>1720</v>
      </c>
      <c r="C166" s="8">
        <v>5.0229000000000002E-11</v>
      </c>
      <c r="D166" s="8">
        <v>5.0229000000000002E-11</v>
      </c>
      <c r="E166" s="8">
        <v>5.0229000000000002E-11</v>
      </c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>
      <c r="B167" s="7">
        <v>1760</v>
      </c>
      <c r="C167" s="8">
        <v>4.9172000000000001E-11</v>
      </c>
      <c r="D167" s="8">
        <v>4.9172000000000001E-11</v>
      </c>
      <c r="E167" s="8">
        <v>4.9172000000000001E-11</v>
      </c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>
      <c r="B168" s="7">
        <v>1800</v>
      </c>
      <c r="C168" s="8">
        <v>4.8137999999999997E-11</v>
      </c>
      <c r="D168" s="8">
        <v>4.8137999999999997E-11</v>
      </c>
      <c r="E168" s="8">
        <v>4.8137999999999997E-11</v>
      </c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>
      <c r="B169" s="7">
        <v>1840</v>
      </c>
      <c r="C169" s="8">
        <v>4.7124999999999999E-11</v>
      </c>
      <c r="D169" s="8">
        <v>4.7124999999999999E-11</v>
      </c>
      <c r="E169" s="8">
        <v>4.7124999999999999E-11</v>
      </c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>
      <c r="B170" s="7">
        <v>1880</v>
      </c>
      <c r="C170" s="8">
        <v>4.6133E-11</v>
      </c>
      <c r="D170" s="8">
        <v>4.6133E-11</v>
      </c>
      <c r="E170" s="8">
        <v>4.6133E-11</v>
      </c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>
      <c r="B171" s="7">
        <v>1920</v>
      </c>
      <c r="C171" s="8">
        <v>4.5163000000000002E-11</v>
      </c>
      <c r="D171" s="8">
        <v>4.5163000000000002E-11</v>
      </c>
      <c r="E171" s="8">
        <v>4.5163000000000002E-11</v>
      </c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>
      <c r="B172" s="7">
        <v>1960</v>
      </c>
      <c r="C172" s="8">
        <v>4.4213000000000002E-11</v>
      </c>
      <c r="D172" s="8">
        <v>4.4213000000000002E-11</v>
      </c>
      <c r="E172" s="8">
        <v>4.4213000000000002E-11</v>
      </c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>
      <c r="B173" s="7">
        <v>2000</v>
      </c>
      <c r="C173" s="8">
        <v>4.3282000000000002E-11</v>
      </c>
      <c r="D173" s="8">
        <v>4.3282000000000002E-11</v>
      </c>
      <c r="E173" s="8">
        <v>4.3282000000000002E-11</v>
      </c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>
      <c r="B174" s="7">
        <v>2040</v>
      </c>
      <c r="C174" s="8">
        <v>4.2372000000000002E-11</v>
      </c>
      <c r="D174" s="8">
        <v>4.2372000000000002E-11</v>
      </c>
      <c r="E174" s="8">
        <v>4.2372000000000002E-11</v>
      </c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>
      <c r="B175" s="7">
        <v>2080</v>
      </c>
      <c r="C175" s="8">
        <v>4.1480000000000002E-11</v>
      </c>
      <c r="D175" s="8">
        <v>4.1480000000000002E-11</v>
      </c>
      <c r="E175" s="8">
        <v>4.1480000000000002E-11</v>
      </c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>
      <c r="B176" s="7">
        <v>2120</v>
      </c>
      <c r="C176" s="8">
        <v>4.0607999999999998E-11</v>
      </c>
      <c r="D176" s="8">
        <v>4.0607999999999998E-11</v>
      </c>
      <c r="E176" s="8">
        <v>4.0607999999999998E-11</v>
      </c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>
      <c r="B177" s="7">
        <v>2160</v>
      </c>
      <c r="C177" s="8">
        <v>3.9752999999999998E-11</v>
      </c>
      <c r="D177" s="8">
        <v>3.9752999999999998E-11</v>
      </c>
      <c r="E177" s="8">
        <v>3.9752999999999998E-11</v>
      </c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>
      <c r="B178" s="7">
        <v>2200</v>
      </c>
      <c r="C178" s="8">
        <v>3.8917E-11</v>
      </c>
      <c r="D178" s="8">
        <v>3.8917E-11</v>
      </c>
      <c r="E178" s="8">
        <v>3.8917E-11</v>
      </c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>
      <c r="B179" s="7">
        <v>2240</v>
      </c>
      <c r="C179" s="8">
        <v>3.8097999999999999E-11</v>
      </c>
      <c r="D179" s="8">
        <v>3.8097999999999999E-11</v>
      </c>
      <c r="E179" s="8">
        <v>3.8097999999999999E-11</v>
      </c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>
      <c r="B180" s="7">
        <v>2280</v>
      </c>
      <c r="C180" s="8">
        <v>3.7297000000000003E-11</v>
      </c>
      <c r="D180" s="8">
        <v>3.7297000000000003E-11</v>
      </c>
      <c r="E180" s="8">
        <v>3.7297000000000003E-11</v>
      </c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>
      <c r="B181" s="7">
        <v>2320</v>
      </c>
      <c r="C181" s="8">
        <v>3.6512000000000003E-11</v>
      </c>
      <c r="D181" s="8">
        <v>3.6512000000000003E-11</v>
      </c>
      <c r="E181" s="8">
        <v>3.6512000000000003E-11</v>
      </c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>
      <c r="B182" s="7">
        <v>2360</v>
      </c>
      <c r="C182" s="8">
        <v>3.5744E-11</v>
      </c>
      <c r="D182" s="8">
        <v>3.5744E-11</v>
      </c>
      <c r="E182" s="8">
        <v>3.5744E-11</v>
      </c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>
      <c r="B183" s="7">
        <v>2400</v>
      </c>
      <c r="C183" s="8">
        <v>3.4991999999999998E-11</v>
      </c>
      <c r="D183" s="8">
        <v>3.4991999999999998E-11</v>
      </c>
      <c r="E183" s="8">
        <v>3.4991999999999998E-11</v>
      </c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>
      <c r="B184" s="7">
        <v>2440</v>
      </c>
      <c r="C184" s="8">
        <v>3.4255999999999998E-11</v>
      </c>
      <c r="D184" s="8">
        <v>3.4255999999999998E-11</v>
      </c>
      <c r="E184" s="8">
        <v>3.4255999999999998E-11</v>
      </c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>
      <c r="B185" s="7">
        <v>2480</v>
      </c>
      <c r="C185" s="8">
        <v>3.3534999999999997E-11</v>
      </c>
      <c r="D185" s="8">
        <v>3.3534999999999997E-11</v>
      </c>
      <c r="E185" s="8">
        <v>3.3534999999999997E-11</v>
      </c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>
      <c r="B186" s="7">
        <v>2520</v>
      </c>
      <c r="C186" s="8">
        <v>3.2829999999999998E-11</v>
      </c>
      <c r="D186" s="8">
        <v>3.2829999999999998E-11</v>
      </c>
      <c r="E186" s="8">
        <v>3.2829999999999998E-11</v>
      </c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>
      <c r="B187" s="7">
        <v>2560</v>
      </c>
      <c r="C187" s="8">
        <v>3.2139000000000003E-11</v>
      </c>
      <c r="D187" s="8">
        <v>3.2139000000000003E-11</v>
      </c>
      <c r="E187" s="8">
        <v>3.2139000000000003E-11</v>
      </c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>
      <c r="B188" s="7">
        <v>2600</v>
      </c>
      <c r="C188" s="8">
        <v>3.1463E-11</v>
      </c>
      <c r="D188" s="8">
        <v>3.1463E-11</v>
      </c>
      <c r="E188" s="8">
        <v>3.1463E-11</v>
      </c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>
      <c r="B189" s="7">
        <v>2640</v>
      </c>
      <c r="C189" s="8">
        <v>3.0801000000000002E-11</v>
      </c>
      <c r="D189" s="8">
        <v>3.0801000000000002E-11</v>
      </c>
      <c r="E189" s="8">
        <v>3.0801000000000002E-11</v>
      </c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>
      <c r="B190" s="7">
        <v>2680</v>
      </c>
      <c r="C190" s="8">
        <v>3.0153E-11</v>
      </c>
      <c r="D190" s="8">
        <v>3.0153E-11</v>
      </c>
      <c r="E190" s="8">
        <v>3.0153E-11</v>
      </c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>
      <c r="B191" s="7">
        <v>2720</v>
      </c>
      <c r="C191" s="8">
        <v>2.9518000000000001E-11</v>
      </c>
      <c r="D191" s="8">
        <v>2.9518000000000001E-11</v>
      </c>
      <c r="E191" s="8">
        <v>2.9518000000000001E-11</v>
      </c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>
      <c r="B192" s="7">
        <v>2760</v>
      </c>
      <c r="C192" s="8">
        <v>2.8896999999999999E-11</v>
      </c>
      <c r="D192" s="8">
        <v>2.8896999999999999E-11</v>
      </c>
      <c r="E192" s="8">
        <v>2.8896999999999999E-11</v>
      </c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>
      <c r="B193" s="7">
        <v>2800</v>
      </c>
      <c r="C193" s="8">
        <v>2.8289000000000001E-11</v>
      </c>
      <c r="D193" s="8">
        <v>2.8289000000000001E-11</v>
      </c>
      <c r="E193" s="8">
        <v>2.8289000000000001E-11</v>
      </c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>
      <c r="B194" s="7">
        <v>2840</v>
      </c>
      <c r="C194" s="8">
        <v>2.7693999999999999E-11</v>
      </c>
      <c r="D194" s="8">
        <v>2.7693999999999999E-11</v>
      </c>
      <c r="E194" s="8">
        <v>2.7693999999999999E-11</v>
      </c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>
      <c r="B195" s="7">
        <v>2880</v>
      </c>
      <c r="C195" s="8">
        <v>2.7112000000000002E-11</v>
      </c>
      <c r="D195" s="8">
        <v>2.7112000000000002E-11</v>
      </c>
      <c r="E195" s="8">
        <v>2.7112000000000002E-11</v>
      </c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>
      <c r="B196" s="7">
        <v>2920</v>
      </c>
      <c r="C196" s="8">
        <v>2.6540999999999998E-11</v>
      </c>
      <c r="D196" s="8">
        <v>2.6540999999999998E-11</v>
      </c>
      <c r="E196" s="8">
        <v>2.6540999999999998E-11</v>
      </c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>
      <c r="B197" s="7">
        <v>2960</v>
      </c>
      <c r="C197" s="8">
        <v>2.5983E-11</v>
      </c>
      <c r="D197" s="8">
        <v>2.5983E-11</v>
      </c>
      <c r="E197" s="8">
        <v>2.5983E-11</v>
      </c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>
      <c r="B198" s="7">
        <v>3000</v>
      </c>
      <c r="C198" s="8">
        <v>2.5435999999999999E-11</v>
      </c>
      <c r="D198" s="8">
        <v>2.5435999999999999E-11</v>
      </c>
      <c r="E198" s="8">
        <v>2.5435999999999999E-11</v>
      </c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>
      <c r="B199" s="7">
        <v>3040</v>
      </c>
      <c r="C199" s="8">
        <v>2.4901000000000001E-11</v>
      </c>
      <c r="D199" s="8">
        <v>2.4901000000000001E-11</v>
      </c>
      <c r="E199" s="8">
        <v>2.4901000000000001E-11</v>
      </c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>
      <c r="B200" s="7">
        <v>3080</v>
      </c>
      <c r="C200" s="8">
        <v>2.4377000000000001E-11</v>
      </c>
      <c r="D200" s="8">
        <v>2.4377000000000001E-11</v>
      </c>
      <c r="E200" s="8">
        <v>2.4377000000000001E-11</v>
      </c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>
      <c r="B201" s="7">
        <v>3120</v>
      </c>
      <c r="C201" s="8">
        <v>2.3864000000000001E-11</v>
      </c>
      <c r="D201" s="8">
        <v>2.3864000000000001E-11</v>
      </c>
      <c r="E201" s="8">
        <v>2.3864000000000001E-11</v>
      </c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>
      <c r="B202" s="7">
        <v>3160</v>
      </c>
      <c r="C202" s="8">
        <v>2.3361999999999998E-11</v>
      </c>
      <c r="D202" s="8">
        <v>2.3361999999999998E-11</v>
      </c>
      <c r="E202" s="8">
        <v>2.3361999999999998E-11</v>
      </c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>
      <c r="B203" s="7">
        <v>3200</v>
      </c>
      <c r="C203" s="8">
        <v>2.2871E-11</v>
      </c>
      <c r="D203" s="8">
        <v>2.2871E-11</v>
      </c>
      <c r="E203" s="8">
        <v>2.2871E-11</v>
      </c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>
      <c r="B204" s="7">
        <v>3240</v>
      </c>
      <c r="C204" s="8">
        <v>2.239E-11</v>
      </c>
      <c r="D204" s="8">
        <v>2.239E-11</v>
      </c>
      <c r="E204" s="8">
        <v>2.239E-11</v>
      </c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>
      <c r="B205" s="7">
        <v>3280</v>
      </c>
      <c r="C205" s="8">
        <v>2.1919000000000001E-11</v>
      </c>
      <c r="D205" s="8">
        <v>2.1919000000000001E-11</v>
      </c>
      <c r="E205" s="8">
        <v>2.1919000000000001E-11</v>
      </c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>
      <c r="B206" s="7">
        <v>3320</v>
      </c>
      <c r="C206" s="8">
        <v>2.1457E-11</v>
      </c>
      <c r="D206" s="8">
        <v>2.1457E-11</v>
      </c>
      <c r="E206" s="8">
        <v>2.1457E-11</v>
      </c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>
      <c r="B207" s="7">
        <v>3360</v>
      </c>
      <c r="C207" s="8">
        <v>2.1006000000000002E-11</v>
      </c>
      <c r="D207" s="8">
        <v>2.1006000000000002E-11</v>
      </c>
      <c r="E207" s="8">
        <v>2.1006000000000002E-11</v>
      </c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>
      <c r="B208" s="7">
        <v>3400</v>
      </c>
      <c r="C208" s="8">
        <v>2.0564E-11</v>
      </c>
      <c r="D208" s="8">
        <v>2.0564E-11</v>
      </c>
      <c r="E208" s="8">
        <v>2.0564E-11</v>
      </c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>
      <c r="B209" s="7">
        <v>3440</v>
      </c>
      <c r="C209" s="8">
        <v>2.0131000000000001E-11</v>
      </c>
      <c r="D209" s="8">
        <v>2.0131000000000001E-11</v>
      </c>
      <c r="E209" s="8">
        <v>2.0131000000000001E-11</v>
      </c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>
      <c r="B210" s="7">
        <v>3480</v>
      </c>
      <c r="C210" s="8">
        <v>1.9708000000000001E-11</v>
      </c>
      <c r="D210" s="8">
        <v>1.9708000000000001E-11</v>
      </c>
      <c r="E210" s="8">
        <v>1.9708000000000001E-11</v>
      </c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>
      <c r="B211" s="7">
        <v>3520</v>
      </c>
      <c r="C211" s="8">
        <v>1.9292999999999999E-11</v>
      </c>
      <c r="D211" s="8">
        <v>1.9292999999999999E-11</v>
      </c>
      <c r="E211" s="8">
        <v>1.9292999999999999E-11</v>
      </c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>
      <c r="B212" s="7">
        <v>3560</v>
      </c>
      <c r="C212" s="8">
        <v>1.8886999999999999E-11</v>
      </c>
      <c r="D212" s="8">
        <v>1.8886999999999999E-11</v>
      </c>
      <c r="E212" s="8">
        <v>1.8886999999999999E-11</v>
      </c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>
      <c r="B213" s="7">
        <v>3600</v>
      </c>
      <c r="C213" s="8">
        <v>1.8489999999999999E-11</v>
      </c>
      <c r="D213" s="8">
        <v>1.8489999999999999E-11</v>
      </c>
      <c r="E213" s="8">
        <v>1.8489999999999999E-11</v>
      </c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>
      <c r="B214" s="7">
        <v>3640</v>
      </c>
      <c r="C214" s="8">
        <v>1.8101E-11</v>
      </c>
      <c r="D214" s="8">
        <v>1.8101E-11</v>
      </c>
      <c r="E214" s="8">
        <v>1.8101E-11</v>
      </c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>
      <c r="B215" s="7">
        <v>3680</v>
      </c>
      <c r="C215" s="8">
        <v>1.7720000000000001E-11</v>
      </c>
      <c r="D215" s="8">
        <v>1.7720000000000001E-11</v>
      </c>
      <c r="E215" s="8">
        <v>1.7720000000000001E-11</v>
      </c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>
      <c r="B216" s="7">
        <v>3720</v>
      </c>
      <c r="C216" s="8">
        <v>1.7347E-11</v>
      </c>
      <c r="D216" s="8">
        <v>1.7347E-11</v>
      </c>
      <c r="E216" s="8">
        <v>1.7347E-11</v>
      </c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>
      <c r="B217" s="7">
        <v>3760</v>
      </c>
      <c r="C217" s="8">
        <v>1.6982E-11</v>
      </c>
      <c r="D217" s="8">
        <v>1.6982E-11</v>
      </c>
      <c r="E217" s="8">
        <v>1.6982E-11</v>
      </c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>
      <c r="B218" s="7">
        <v>3800</v>
      </c>
      <c r="C218" s="8">
        <v>1.6625000000000001E-11</v>
      </c>
      <c r="D218" s="8">
        <v>1.6625000000000001E-11</v>
      </c>
      <c r="E218" s="8">
        <v>1.6625000000000001E-11</v>
      </c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>
      <c r="B219" s="7">
        <v>3840</v>
      </c>
      <c r="C219" s="8">
        <v>1.6275E-11</v>
      </c>
      <c r="D219" s="8">
        <v>1.6275E-11</v>
      </c>
      <c r="E219" s="8">
        <v>1.6275E-11</v>
      </c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>
      <c r="B220" s="7">
        <v>3880</v>
      </c>
      <c r="C220" s="8">
        <v>1.5933E-11</v>
      </c>
      <c r="D220" s="8">
        <v>1.5933E-11</v>
      </c>
      <c r="E220" s="8">
        <v>1.5933E-11</v>
      </c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>
      <c r="B221" s="7">
        <v>3920</v>
      </c>
      <c r="C221" s="8">
        <v>1.5597999999999999E-11</v>
      </c>
      <c r="D221" s="8">
        <v>1.5597999999999999E-11</v>
      </c>
      <c r="E221" s="8">
        <v>1.5597999999999999E-11</v>
      </c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>
      <c r="B222" s="7">
        <v>3960</v>
      </c>
      <c r="C222" s="8">
        <v>1.5269999999999999E-11</v>
      </c>
      <c r="D222" s="8">
        <v>1.5269999999999999E-11</v>
      </c>
      <c r="E222" s="8">
        <v>1.5269999999999999E-11</v>
      </c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>
      <c r="B223" s="7">
        <v>4000</v>
      </c>
      <c r="C223" s="8">
        <v>1.4948E-11</v>
      </c>
      <c r="D223" s="8">
        <v>1.4948E-11</v>
      </c>
      <c r="E223" s="8">
        <v>1.4948E-11</v>
      </c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>
      <c r="B224" s="7">
        <v>4040</v>
      </c>
      <c r="C224" s="8">
        <v>1.4634000000000001E-11</v>
      </c>
      <c r="D224" s="8">
        <v>1.4634000000000001E-11</v>
      </c>
      <c r="E224" s="8">
        <v>1.4634000000000001E-11</v>
      </c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>
      <c r="B225" s="7">
        <v>4080</v>
      </c>
      <c r="C225" s="8">
        <v>1.4326E-11</v>
      </c>
      <c r="D225" s="8">
        <v>1.4326E-11</v>
      </c>
      <c r="E225" s="8">
        <v>1.4326E-11</v>
      </c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>
      <c r="B226" s="7">
        <v>4120</v>
      </c>
      <c r="C226" s="8">
        <v>1.4025E-11</v>
      </c>
      <c r="D226" s="8">
        <v>1.4025E-11</v>
      </c>
      <c r="E226" s="8">
        <v>1.4025E-11</v>
      </c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>
      <c r="B227" s="7">
        <v>4160</v>
      </c>
      <c r="C227" s="8">
        <v>1.3730000000000001E-11</v>
      </c>
      <c r="D227" s="8">
        <v>1.3730000000000001E-11</v>
      </c>
      <c r="E227" s="8">
        <v>1.3730000000000001E-11</v>
      </c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>
      <c r="B228" s="7">
        <v>4200</v>
      </c>
      <c r="C228" s="8">
        <v>1.3441E-11</v>
      </c>
      <c r="D228" s="8">
        <v>1.3441E-11</v>
      </c>
      <c r="E228" s="8">
        <v>1.3441E-11</v>
      </c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>
      <c r="B229" s="7">
        <v>4240</v>
      </c>
      <c r="C229" s="8">
        <v>1.3158E-11</v>
      </c>
      <c r="D229" s="8">
        <v>1.3158E-11</v>
      </c>
      <c r="E229" s="8">
        <v>1.3158E-11</v>
      </c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>
      <c r="B230" s="7">
        <v>4280</v>
      </c>
      <c r="C230" s="8">
        <v>1.2881000000000001E-11</v>
      </c>
      <c r="D230" s="8">
        <v>1.2881000000000001E-11</v>
      </c>
      <c r="E230" s="8">
        <v>1.2881000000000001E-11</v>
      </c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>
      <c r="B231" s="7">
        <v>4320</v>
      </c>
      <c r="C231" s="8">
        <v>1.2610000000000001E-11</v>
      </c>
      <c r="D231" s="8">
        <v>1.2610000000000001E-11</v>
      </c>
      <c r="E231" s="8">
        <v>1.2610000000000001E-11</v>
      </c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10.Document" shapeId="17412" r:id="rId4">
          <objectPr defaultSize="0" r:id="rId5">
            <anchor moveWithCells="1">
              <from>
                <xdr:col>23</xdr:col>
                <xdr:colOff>0</xdr:colOff>
                <xdr:row>18</xdr:row>
                <xdr:rowOff>0</xdr:rowOff>
              </from>
              <to>
                <xdr:col>28</xdr:col>
                <xdr:colOff>711200</xdr:colOff>
                <xdr:row>32</xdr:row>
                <xdr:rowOff>25400</xdr:rowOff>
              </to>
            </anchor>
          </objectPr>
        </oleObject>
      </mc:Choice>
      <mc:Fallback>
        <oleObject progId="Prism10.Document" shapeId="17412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923E-9CBE-42D3-ABD0-E68F7342A2ED}">
  <dimension ref="A1:BM602"/>
  <sheetViews>
    <sheetView topLeftCell="I24" zoomScaleNormal="100" workbookViewId="0">
      <selection activeCell="O44" sqref="O44:V231"/>
    </sheetView>
  </sheetViews>
  <sheetFormatPr baseColWidth="10" defaultColWidth="8.83203125" defaultRowHeight="17"/>
  <cols>
    <col min="6" max="9" width="13.1640625" bestFit="1" customWidth="1"/>
    <col min="11" max="11" width="9.1640625" bestFit="1" customWidth="1"/>
    <col min="13" max="13" width="13.1640625" bestFit="1" customWidth="1"/>
    <col min="16" max="16" width="13.5" customWidth="1"/>
    <col min="17" max="17" width="9.83203125" bestFit="1" customWidth="1"/>
    <col min="18" max="18" width="9.5" bestFit="1" customWidth="1"/>
    <col min="20" max="20" width="11" bestFit="1" customWidth="1"/>
    <col min="21" max="21" width="9.5" bestFit="1" customWidth="1"/>
    <col min="22" max="22" width="13.33203125" bestFit="1" customWidth="1"/>
    <col min="29" max="29" width="9.5" bestFit="1" customWidth="1"/>
    <col min="33" max="34" width="9.1640625" bestFit="1" customWidth="1"/>
    <col min="35" max="35" width="9.1640625" customWidth="1"/>
    <col min="46" max="46" width="7.5" customWidth="1"/>
    <col min="47" max="47" width="15" customWidth="1"/>
    <col min="48" max="48" width="11" bestFit="1" customWidth="1"/>
    <col min="49" max="49" width="9.1640625" bestFit="1" customWidth="1"/>
    <col min="51" max="56" width="9.1640625" bestFit="1" customWidth="1"/>
  </cols>
  <sheetData>
    <row r="1" spans="1:65">
      <c r="A1" s="1">
        <f>K2</f>
        <v>1.2735707007310202E-10</v>
      </c>
      <c r="B1" s="7" t="s">
        <v>0</v>
      </c>
      <c r="C1" s="7" t="s">
        <v>111</v>
      </c>
      <c r="D1" s="7" t="s">
        <v>111</v>
      </c>
      <c r="E1" s="7" t="s">
        <v>111</v>
      </c>
      <c r="F1" t="s">
        <v>111</v>
      </c>
      <c r="G1" t="s">
        <v>111</v>
      </c>
      <c r="H1" t="s">
        <v>112</v>
      </c>
      <c r="I1" t="s">
        <v>113</v>
      </c>
      <c r="J1" s="7"/>
      <c r="N1" s="7"/>
      <c r="O1" t="s">
        <v>35</v>
      </c>
      <c r="P1" t="s">
        <v>5</v>
      </c>
      <c r="Q1" t="s">
        <v>30</v>
      </c>
      <c r="R1" t="s">
        <v>38</v>
      </c>
      <c r="S1" s="3" t="s">
        <v>11</v>
      </c>
      <c r="T1" t="s">
        <v>32</v>
      </c>
      <c r="U1" t="s">
        <v>3</v>
      </c>
      <c r="V1" s="4" t="s">
        <v>4</v>
      </c>
      <c r="X1" s="3"/>
      <c r="Y1" s="3" t="s">
        <v>12</v>
      </c>
      <c r="Z1" s="3" t="s">
        <v>36</v>
      </c>
      <c r="AA1" s="3" t="s">
        <v>37</v>
      </c>
      <c r="AB1" s="3" t="s">
        <v>39</v>
      </c>
      <c r="AC1" s="3" t="s">
        <v>13</v>
      </c>
      <c r="AF1" s="35" t="s">
        <v>85</v>
      </c>
      <c r="AJ1" s="7"/>
      <c r="AK1" s="7"/>
    </row>
    <row r="2" spans="1:65">
      <c r="B2" s="7">
        <v>0</v>
      </c>
      <c r="C2" s="8">
        <v>1.2710000000000001E-10</v>
      </c>
      <c r="D2" s="8">
        <v>1.2710000000000001E-10</v>
      </c>
      <c r="E2" s="8">
        <v>1.2710000000000001E-10</v>
      </c>
      <c r="F2" s="1">
        <v>2.5706999999999998E-13</v>
      </c>
      <c r="G2" s="1">
        <v>7.3102000000000006E-20</v>
      </c>
      <c r="H2" s="1">
        <v>0</v>
      </c>
      <c r="I2" s="1">
        <v>0</v>
      </c>
      <c r="J2" s="8"/>
      <c r="K2" s="1">
        <f>SUM(C2,F2,G2)</f>
        <v>1.2735707007310202E-10</v>
      </c>
      <c r="M2" s="1"/>
      <c r="N2" s="7"/>
      <c r="O2">
        <f>B2/60</f>
        <v>0</v>
      </c>
      <c r="P2" s="6">
        <f>(SUM(F2:J2)+C2)/$A$1*100</f>
        <v>99.999999999999972</v>
      </c>
      <c r="Q2" s="6">
        <f t="shared" ref="Q2:Q65" si="0">(H2+F2)/$A$1*100</f>
        <v>0.2018498068873944</v>
      </c>
      <c r="R2" s="6">
        <f t="shared" ref="R2:R65" si="1">(G2+I2)/$A$1*100</f>
        <v>5.7399247609920664E-8</v>
      </c>
      <c r="S2" s="5">
        <f t="shared" ref="S2:S65" si="2">J2/$A$1*100</f>
        <v>0</v>
      </c>
      <c r="T2" s="6">
        <f t="shared" ref="T2:V17" si="3">C2/$A$1*100</f>
        <v>99.798150135713342</v>
      </c>
      <c r="U2" s="1">
        <f t="shared" si="3"/>
        <v>99.798150135713342</v>
      </c>
      <c r="V2" s="1">
        <f t="shared" si="3"/>
        <v>99.798150135713342</v>
      </c>
      <c r="X2" s="9" t="s">
        <v>26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" t="s">
        <v>84</v>
      </c>
      <c r="AG2" t="s">
        <v>81</v>
      </c>
      <c r="AH2" s="7" t="s">
        <v>82</v>
      </c>
      <c r="AI2" s="7" t="s">
        <v>83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>
      <c r="B3" s="7">
        <v>2.2040000000000002</v>
      </c>
      <c r="C3" s="8">
        <v>1.2488999999999999E-10</v>
      </c>
      <c r="D3" s="8">
        <v>1.2488999999999999E-10</v>
      </c>
      <c r="E3" s="8">
        <v>1.2488999999999999E-10</v>
      </c>
      <c r="F3" s="1">
        <v>2.4655999999999999E-12</v>
      </c>
      <c r="G3" s="1">
        <v>1.2102999999999999E-17</v>
      </c>
      <c r="H3" s="1">
        <v>5.4169000000000001E-14</v>
      </c>
      <c r="I3" s="1">
        <v>2.3007000000000001E-15</v>
      </c>
      <c r="J3" s="8"/>
      <c r="K3" s="1"/>
      <c r="L3" s="1"/>
      <c r="M3" s="1"/>
      <c r="N3" s="7"/>
      <c r="O3">
        <f t="shared" ref="O3:O66" si="4">B3/60</f>
        <v>3.6733333333333333E-2</v>
      </c>
      <c r="P3" s="6">
        <f t="shared" ref="P3:P66" si="5">(SUM(F3:J3)+C3)/$A$1*100</f>
        <v>100.04319487710136</v>
      </c>
      <c r="Q3" s="6">
        <f t="shared" si="0"/>
        <v>1.9785073561708597</v>
      </c>
      <c r="R3" s="6">
        <f t="shared" si="1"/>
        <v>1.8159989065958163E-3</v>
      </c>
      <c r="S3" s="5">
        <f t="shared" si="2"/>
        <v>0</v>
      </c>
      <c r="T3" s="6">
        <f t="shared" si="3"/>
        <v>98.062871522023912</v>
      </c>
      <c r="U3" s="1">
        <f t="shared" si="3"/>
        <v>98.062871522023912</v>
      </c>
      <c r="V3" s="1">
        <f t="shared" si="3"/>
        <v>98.062871522023912</v>
      </c>
      <c r="X3" s="9"/>
      <c r="Y3" s="2"/>
      <c r="Z3" s="2"/>
      <c r="AA3" s="2"/>
      <c r="AB3" s="2"/>
      <c r="AC3" s="2"/>
      <c r="AD3" s="1"/>
      <c r="AE3" s="1"/>
      <c r="AF3" t="s">
        <v>40</v>
      </c>
      <c r="AG3" t="s">
        <v>41</v>
      </c>
      <c r="AH3" s="7" t="s">
        <v>42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B4" s="7">
        <v>4.7640000000000002</v>
      </c>
      <c r="C4" s="8">
        <v>1.2433E-10</v>
      </c>
      <c r="D4" s="8">
        <v>1.2433E-10</v>
      </c>
      <c r="E4" s="8">
        <v>1.2433E-10</v>
      </c>
      <c r="F4" s="1">
        <v>2.8058E-12</v>
      </c>
      <c r="G4" s="1">
        <v>1.6434999999999999E-17</v>
      </c>
      <c r="H4" s="1">
        <v>1.5142999999999999E-13</v>
      </c>
      <c r="I4" s="1">
        <v>6.7744999999999999E-15</v>
      </c>
      <c r="J4" s="8"/>
      <c r="K4" s="1"/>
      <c r="L4" s="1"/>
      <c r="M4" s="1"/>
      <c r="N4" s="7"/>
      <c r="O4">
        <f t="shared" si="4"/>
        <v>7.9399999999999998E-2</v>
      </c>
      <c r="P4" s="6">
        <f t="shared" si="5"/>
        <v>99.950494198660621</v>
      </c>
      <c r="Q4" s="6">
        <f t="shared" si="0"/>
        <v>2.3219990836021678</v>
      </c>
      <c r="R4" s="6">
        <f t="shared" si="1"/>
        <v>5.3322010282601928E-3</v>
      </c>
      <c r="S4" s="5">
        <f t="shared" si="2"/>
        <v>0</v>
      </c>
      <c r="T4" s="6">
        <f t="shared" si="3"/>
        <v>97.623162914030203</v>
      </c>
      <c r="U4" s="1">
        <f t="shared" si="3"/>
        <v>97.623162914030203</v>
      </c>
      <c r="V4" s="1">
        <f t="shared" si="3"/>
        <v>97.623162914030203</v>
      </c>
      <c r="X4" s="9" t="s">
        <v>27</v>
      </c>
      <c r="Y4" s="2">
        <v>7249</v>
      </c>
      <c r="Z4" s="2">
        <v>3481</v>
      </c>
      <c r="AA4" s="2">
        <v>1330</v>
      </c>
      <c r="AB4" s="2">
        <v>0</v>
      </c>
      <c r="AC4" s="2">
        <v>2438</v>
      </c>
      <c r="AD4" s="1"/>
      <c r="AE4" s="1"/>
      <c r="AF4" s="36" t="s">
        <v>43</v>
      </c>
      <c r="AG4" s="38" t="s">
        <v>90</v>
      </c>
      <c r="AH4" s="39" t="s">
        <v>91</v>
      </c>
      <c r="AI4" s="39" t="s">
        <v>46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B5" s="7">
        <v>6.8120000000000003</v>
      </c>
      <c r="C5" s="8">
        <v>1.2409999999999999E-10</v>
      </c>
      <c r="D5" s="8">
        <v>1.2409999999999999E-10</v>
      </c>
      <c r="E5" s="8">
        <v>1.2409999999999999E-10</v>
      </c>
      <c r="F5" s="1">
        <v>2.9295E-12</v>
      </c>
      <c r="G5" s="1">
        <v>2.1388000000000001E-17</v>
      </c>
      <c r="H5" s="1">
        <v>2.5968999999999998E-13</v>
      </c>
      <c r="I5" s="1">
        <v>1.2666E-14</v>
      </c>
      <c r="J5" s="8"/>
      <c r="K5" s="1"/>
      <c r="L5" s="1"/>
      <c r="M5" s="1"/>
      <c r="N5" s="7"/>
      <c r="O5">
        <f t="shared" si="4"/>
        <v>0.11353333333333333</v>
      </c>
      <c r="P5" s="6">
        <f t="shared" si="5"/>
        <v>99.956663037968468</v>
      </c>
      <c r="Q5" s="6">
        <f t="shared" si="0"/>
        <v>2.5041326705847018</v>
      </c>
      <c r="R5" s="6">
        <f t="shared" si="1"/>
        <v>9.9620602081357031E-3</v>
      </c>
      <c r="S5" s="5">
        <f t="shared" si="2"/>
        <v>0</v>
      </c>
      <c r="T5" s="6">
        <f t="shared" si="3"/>
        <v>97.442568307175648</v>
      </c>
      <c r="U5" s="1">
        <f t="shared" si="3"/>
        <v>97.442568307175648</v>
      </c>
      <c r="V5" s="1">
        <f t="shared" si="3"/>
        <v>97.442568307175648</v>
      </c>
      <c r="X5" s="9" t="s">
        <v>28</v>
      </c>
      <c r="Y5" s="2">
        <v>7249</v>
      </c>
      <c r="Z5" s="2">
        <v>3481</v>
      </c>
      <c r="AA5" s="2">
        <v>1330</v>
      </c>
      <c r="AB5" s="2">
        <v>0</v>
      </c>
      <c r="AC5" s="2">
        <v>2438</v>
      </c>
      <c r="AD5" s="1"/>
      <c r="AE5" s="1"/>
      <c r="AF5" s="1" t="s">
        <v>60</v>
      </c>
      <c r="AG5" s="1" t="s">
        <v>61</v>
      </c>
      <c r="AH5" s="1" t="s">
        <v>62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B6" s="7">
        <v>9.8840000000000003</v>
      </c>
      <c r="C6" s="8">
        <v>1.2386E-10</v>
      </c>
      <c r="D6" s="8">
        <v>1.2386E-10</v>
      </c>
      <c r="E6" s="8">
        <v>1.2386E-10</v>
      </c>
      <c r="F6" s="1">
        <v>2.9795999999999999E-12</v>
      </c>
      <c r="G6" s="1">
        <v>2.6457999999999999E-17</v>
      </c>
      <c r="H6" s="1">
        <v>3.7235999999999999E-13</v>
      </c>
      <c r="I6" s="1">
        <v>2.0142E-14</v>
      </c>
      <c r="J6" s="8"/>
      <c r="K6" s="1"/>
      <c r="L6" s="1"/>
      <c r="M6" s="1"/>
      <c r="N6" s="7"/>
      <c r="O6">
        <f t="shared" si="4"/>
        <v>0.16473333333333334</v>
      </c>
      <c r="P6" s="6">
        <f t="shared" si="5"/>
        <v>99.901896600612503</v>
      </c>
      <c r="Q6" s="6">
        <f t="shared" si="0"/>
        <v>2.6319386886617284</v>
      </c>
      <c r="R6" s="6">
        <f t="shared" si="1"/>
        <v>1.5836151058141849E-2</v>
      </c>
      <c r="S6" s="5">
        <f t="shared" si="2"/>
        <v>0</v>
      </c>
      <c r="T6" s="6">
        <f t="shared" si="3"/>
        <v>97.25412176089263</v>
      </c>
      <c r="U6" s="1">
        <f t="shared" si="3"/>
        <v>97.25412176089263</v>
      </c>
      <c r="V6" s="1">
        <f t="shared" si="3"/>
        <v>97.25412176089263</v>
      </c>
      <c r="X6" s="9" t="s">
        <v>29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t="s">
        <v>18</v>
      </c>
      <c r="AG6">
        <v>0.5</v>
      </c>
      <c r="AH6" s="1">
        <v>0.5</v>
      </c>
      <c r="AI6" s="1" t="s">
        <v>47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B7" s="7">
        <v>11.932</v>
      </c>
      <c r="C7" s="8">
        <v>1.2371999999999999E-10</v>
      </c>
      <c r="D7" s="8">
        <v>1.2371999999999999E-10</v>
      </c>
      <c r="E7" s="8">
        <v>1.2371999999999999E-10</v>
      </c>
      <c r="F7" s="1">
        <v>2.9991E-12</v>
      </c>
      <c r="G7" s="1">
        <v>3.1956999999999997E-17</v>
      </c>
      <c r="H7" s="1">
        <v>4.8695999999999998E-13</v>
      </c>
      <c r="I7" s="1">
        <v>2.9392999999999998E-14</v>
      </c>
      <c r="J7" s="8"/>
      <c r="K7" s="1"/>
      <c r="L7" s="1"/>
      <c r="M7" s="1"/>
      <c r="N7" s="7"/>
      <c r="O7">
        <f t="shared" si="4"/>
        <v>0.19886666666666666</v>
      </c>
      <c r="P7" s="6">
        <f t="shared" si="5"/>
        <v>99.904532103296461</v>
      </c>
      <c r="Q7" s="6">
        <f t="shared" si="0"/>
        <v>2.7372331963973635</v>
      </c>
      <c r="R7" s="6">
        <f t="shared" si="1"/>
        <v>2.310429800490094E-2</v>
      </c>
      <c r="S7" s="5">
        <f t="shared" si="2"/>
        <v>0</v>
      </c>
      <c r="T7" s="6">
        <f t="shared" si="3"/>
        <v>97.144194608894196</v>
      </c>
      <c r="U7" s="1">
        <f t="shared" si="3"/>
        <v>97.144194608894196</v>
      </c>
      <c r="V7" s="1">
        <f t="shared" si="3"/>
        <v>97.144194608894196</v>
      </c>
      <c r="X7" s="9"/>
      <c r="Y7" s="2"/>
      <c r="Z7" s="2"/>
      <c r="AA7" s="2"/>
      <c r="AB7" s="2"/>
      <c r="AC7" s="2"/>
      <c r="AD7" s="1"/>
      <c r="AE7" s="1"/>
      <c r="AF7" t="s">
        <v>48</v>
      </c>
      <c r="AG7" t="s">
        <v>94</v>
      </c>
      <c r="AH7" s="1" t="s">
        <v>95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B8" s="7">
        <v>13.98</v>
      </c>
      <c r="C8" s="8">
        <v>1.2359000000000001E-10</v>
      </c>
      <c r="D8" s="8">
        <v>1.2359000000000001E-10</v>
      </c>
      <c r="E8" s="8">
        <v>1.2359000000000001E-10</v>
      </c>
      <c r="F8" s="1">
        <v>3.0056E-12</v>
      </c>
      <c r="G8" s="1">
        <v>3.8797000000000001E-17</v>
      </c>
      <c r="H8" s="1">
        <v>6.0241999999999997E-13</v>
      </c>
      <c r="I8" s="1">
        <v>4.0637000000000001E-14</v>
      </c>
      <c r="J8" s="8"/>
      <c r="K8" s="1"/>
      <c r="L8" s="1"/>
      <c r="M8" s="1"/>
      <c r="N8" s="7"/>
      <c r="O8">
        <f t="shared" si="4"/>
        <v>0.23300000000000001</v>
      </c>
      <c r="P8" s="6">
        <f t="shared" si="5"/>
        <v>99.90705323541593</v>
      </c>
      <c r="Q8" s="6">
        <f t="shared" si="0"/>
        <v>2.8329954496668486</v>
      </c>
      <c r="R8" s="6">
        <f t="shared" si="1"/>
        <v>3.193838942482926E-2</v>
      </c>
      <c r="S8" s="5">
        <f t="shared" si="2"/>
        <v>0</v>
      </c>
      <c r="T8" s="6">
        <f t="shared" si="3"/>
        <v>97.042119396324253</v>
      </c>
      <c r="U8" s="1">
        <f t="shared" si="3"/>
        <v>97.042119396324253</v>
      </c>
      <c r="V8" s="1">
        <f t="shared" si="3"/>
        <v>97.042119396324253</v>
      </c>
      <c r="X8" s="9"/>
      <c r="Y8" s="2">
        <f>Y4/$Y$4*100</f>
        <v>100</v>
      </c>
      <c r="Z8" s="10">
        <f>Z4/$Y$4*100</f>
        <v>48.020416609187471</v>
      </c>
      <c r="AA8" s="10">
        <f>AA4/$Y$4*100</f>
        <v>18.347358256311217</v>
      </c>
      <c r="AB8" s="10">
        <f>AB4/$Y$4*100</f>
        <v>0</v>
      </c>
      <c r="AC8" s="10">
        <f>AC4/$Y$4*100</f>
        <v>33.632225134501311</v>
      </c>
      <c r="AD8" s="1"/>
      <c r="AE8" s="1"/>
      <c r="AF8" s="1" t="s">
        <v>20</v>
      </c>
      <c r="AG8" s="1">
        <v>0</v>
      </c>
      <c r="AH8" s="1">
        <v>0</v>
      </c>
      <c r="AI8" s="1" t="s">
        <v>49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>
      <c r="B9" s="7">
        <v>16.027999999999999</v>
      </c>
      <c r="C9" s="8">
        <v>1.2346000000000001E-10</v>
      </c>
      <c r="D9" s="8">
        <v>1.2346000000000001E-10</v>
      </c>
      <c r="E9" s="8">
        <v>1.2346000000000001E-10</v>
      </c>
      <c r="F9" s="1">
        <v>3.0056E-12</v>
      </c>
      <c r="G9" s="1">
        <v>4.6104999999999999E-17</v>
      </c>
      <c r="H9" s="1">
        <v>7.1826000000000001E-13</v>
      </c>
      <c r="I9" s="1">
        <v>5.4042000000000002E-14</v>
      </c>
      <c r="J9" s="8"/>
      <c r="K9" s="1"/>
      <c r="L9" s="1"/>
      <c r="M9" s="1"/>
      <c r="N9" s="7"/>
      <c r="O9">
        <f t="shared" si="4"/>
        <v>0.26713333333333333</v>
      </c>
      <c r="P9" s="6">
        <f t="shared" si="5"/>
        <v>99.906466152186411</v>
      </c>
      <c r="Q9" s="6">
        <f t="shared" si="0"/>
        <v>2.9239523160061167</v>
      </c>
      <c r="R9" s="6">
        <f t="shared" si="1"/>
        <v>4.2469652426012805E-2</v>
      </c>
      <c r="S9" s="5">
        <f t="shared" si="2"/>
        <v>0</v>
      </c>
      <c r="T9" s="6">
        <f t="shared" si="3"/>
        <v>96.940044183754281</v>
      </c>
      <c r="U9" s="1">
        <f t="shared" si="3"/>
        <v>96.940044183754281</v>
      </c>
      <c r="V9" s="1">
        <f t="shared" si="3"/>
        <v>96.940044183754281</v>
      </c>
      <c r="X9" s="9"/>
      <c r="Y9" s="2"/>
      <c r="Z9" s="2"/>
      <c r="AA9" s="2"/>
      <c r="AB9" s="2"/>
      <c r="AC9" s="2"/>
      <c r="AD9" s="1"/>
      <c r="AE9" s="1"/>
      <c r="AF9" s="1" t="s">
        <v>22</v>
      </c>
      <c r="AG9" s="1">
        <v>0</v>
      </c>
      <c r="AH9" s="1">
        <v>0</v>
      </c>
      <c r="AI9" s="1" t="s">
        <v>50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8" thickBot="1">
      <c r="B10" s="7">
        <v>20.123999999999999</v>
      </c>
      <c r="C10" s="8">
        <v>1.232E-10</v>
      </c>
      <c r="D10" s="8">
        <v>1.232E-10</v>
      </c>
      <c r="E10" s="8">
        <v>1.232E-10</v>
      </c>
      <c r="F10" s="1">
        <v>3.0029000000000001E-12</v>
      </c>
      <c r="G10" s="1">
        <v>5.3063000000000002E-17</v>
      </c>
      <c r="H10" s="1">
        <v>8.3422999999999997E-13</v>
      </c>
      <c r="I10" s="1">
        <v>6.9694000000000003E-14</v>
      </c>
      <c r="J10" s="8"/>
      <c r="K10" s="1"/>
      <c r="L10" s="1"/>
      <c r="M10" s="1"/>
      <c r="N10" s="7"/>
      <c r="O10">
        <f t="shared" si="4"/>
        <v>0.33539999999999998</v>
      </c>
      <c r="P10" s="6">
        <f t="shared" si="5"/>
        <v>99.803549963925505</v>
      </c>
      <c r="Q10" s="6">
        <f t="shared" si="0"/>
        <v>3.0128912339122715</v>
      </c>
      <c r="R10" s="6">
        <f t="shared" si="1"/>
        <v>5.4764971398891082E-2</v>
      </c>
      <c r="S10" s="5">
        <f t="shared" si="2"/>
        <v>0</v>
      </c>
      <c r="T10" s="6">
        <f t="shared" si="3"/>
        <v>96.735893758614338</v>
      </c>
      <c r="U10" s="1">
        <f t="shared" si="3"/>
        <v>96.735893758614338</v>
      </c>
      <c r="V10" s="1">
        <f t="shared" si="3"/>
        <v>96.735893758614338</v>
      </c>
      <c r="X10" s="9"/>
      <c r="Y10" s="2"/>
      <c r="Z10" s="2"/>
      <c r="AA10" s="2"/>
      <c r="AB10" s="2"/>
      <c r="AC10" s="2"/>
      <c r="AD10" s="1"/>
      <c r="AE10" s="1"/>
      <c r="AF10" s="1" t="s">
        <v>24</v>
      </c>
      <c r="AG10" s="1">
        <v>0</v>
      </c>
      <c r="AH10" s="1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>
      <c r="B11" s="7">
        <v>24.22</v>
      </c>
      <c r="C11" s="8">
        <v>1.2293000000000001E-10</v>
      </c>
      <c r="D11" s="8">
        <v>1.2293000000000001E-10</v>
      </c>
      <c r="E11" s="8">
        <v>1.2293000000000001E-10</v>
      </c>
      <c r="F11" s="1">
        <v>2.9957999999999998E-12</v>
      </c>
      <c r="G11" s="1">
        <v>6.5672E-17</v>
      </c>
      <c r="H11" s="1">
        <v>1.0662E-12</v>
      </c>
      <c r="I11" s="1">
        <v>1.0771E-13</v>
      </c>
      <c r="J11" s="8"/>
      <c r="K11" s="1"/>
      <c r="L11" s="1"/>
      <c r="M11" s="1"/>
      <c r="N11" s="7"/>
      <c r="O11">
        <f t="shared" si="4"/>
        <v>0.40366666666666667</v>
      </c>
      <c r="P11" s="6">
        <f t="shared" si="5"/>
        <v>99.797973994726547</v>
      </c>
      <c r="Q11" s="6">
        <f t="shared" si="0"/>
        <v>3.1894577958400276</v>
      </c>
      <c r="R11" s="6">
        <f t="shared" si="1"/>
        <v>8.4624804840546006E-2</v>
      </c>
      <c r="S11" s="5">
        <f t="shared" si="2"/>
        <v>0</v>
      </c>
      <c r="T11" s="6">
        <f t="shared" si="3"/>
        <v>96.523891394045961</v>
      </c>
      <c r="U11" s="1">
        <f t="shared" si="3"/>
        <v>96.523891394045961</v>
      </c>
      <c r="V11" s="1">
        <f t="shared" si="3"/>
        <v>96.523891394045961</v>
      </c>
      <c r="X11" s="9"/>
      <c r="Y11" s="2"/>
      <c r="Z11" s="2"/>
      <c r="AA11" s="16"/>
      <c r="AB11" s="11" t="s">
        <v>33</v>
      </c>
      <c r="AC11" s="2"/>
      <c r="AD11" s="1"/>
      <c r="AE11" s="1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B12" s="7">
        <v>28.315999999999999</v>
      </c>
      <c r="C12" s="8">
        <v>1.2265000000000001E-10</v>
      </c>
      <c r="D12" s="8">
        <v>1.2265000000000001E-10</v>
      </c>
      <c r="E12" s="8">
        <v>1.2265000000000001E-10</v>
      </c>
      <c r="F12" s="1">
        <v>2.9875999999999999E-12</v>
      </c>
      <c r="G12" s="1">
        <v>7.8729999999999999E-17</v>
      </c>
      <c r="H12" s="1">
        <v>1.2981000000000001E-12</v>
      </c>
      <c r="I12" s="1">
        <v>1.5421000000000001E-13</v>
      </c>
      <c r="J12" s="8"/>
      <c r="K12" s="1"/>
      <c r="L12" s="1"/>
      <c r="M12" s="1"/>
      <c r="N12" s="7"/>
      <c r="O12">
        <f t="shared" si="4"/>
        <v>0.47193333333333332</v>
      </c>
      <c r="P12" s="6">
        <f t="shared" si="5"/>
        <v>99.790289347149155</v>
      </c>
      <c r="Q12" s="6">
        <f t="shared" si="0"/>
        <v>3.3651056808546547</v>
      </c>
      <c r="R12" s="6">
        <f t="shared" si="1"/>
        <v>0.12114657624538584</v>
      </c>
      <c r="S12" s="5">
        <f t="shared" si="2"/>
        <v>0</v>
      </c>
      <c r="T12" s="6">
        <f t="shared" si="3"/>
        <v>96.304037090049107</v>
      </c>
      <c r="U12" s="1">
        <f t="shared" si="3"/>
        <v>96.304037090049107</v>
      </c>
      <c r="V12" s="1">
        <f t="shared" si="3"/>
        <v>96.304037090049107</v>
      </c>
      <c r="X12" s="9"/>
      <c r="Y12" s="2"/>
      <c r="Z12" s="2"/>
      <c r="AA12" s="12" t="s">
        <v>32</v>
      </c>
      <c r="AB12" s="17">
        <f>AC8</f>
        <v>33.632225134501311</v>
      </c>
      <c r="AC12" s="2"/>
      <c r="AD12" s="1"/>
      <c r="AE12" s="1"/>
      <c r="AF12" s="1" t="s">
        <v>51</v>
      </c>
      <c r="AG12" s="1" t="s">
        <v>52</v>
      </c>
      <c r="AH12" s="1" t="s">
        <v>53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>
      <c r="B13" s="7">
        <v>32.411999999999999</v>
      </c>
      <c r="C13" s="8">
        <v>1.2237000000000001E-10</v>
      </c>
      <c r="D13" s="8">
        <v>1.2237000000000001E-10</v>
      </c>
      <c r="E13" s="8">
        <v>1.2237000000000001E-10</v>
      </c>
      <c r="F13" s="1">
        <v>2.9792000000000001E-12</v>
      </c>
      <c r="G13" s="1">
        <v>9.0520000000000002E-17</v>
      </c>
      <c r="H13" s="1">
        <v>1.5297E-12</v>
      </c>
      <c r="I13" s="1">
        <v>2.0831999999999999E-13</v>
      </c>
      <c r="J13" s="8"/>
      <c r="K13" s="1"/>
      <c r="L13" s="1"/>
      <c r="M13" s="1"/>
      <c r="N13" s="7"/>
      <c r="O13">
        <f t="shared" si="4"/>
        <v>0.54020000000000001</v>
      </c>
      <c r="P13" s="6">
        <f t="shared" si="5"/>
        <v>99.788186432879485</v>
      </c>
      <c r="Q13" s="6">
        <f t="shared" si="0"/>
        <v>3.540360968897859</v>
      </c>
      <c r="R13" s="6">
        <f t="shared" si="1"/>
        <v>0.16364267792936341</v>
      </c>
      <c r="S13" s="5">
        <f t="shared" si="2"/>
        <v>0</v>
      </c>
      <c r="T13" s="6">
        <f t="shared" si="3"/>
        <v>96.084182786052267</v>
      </c>
      <c r="U13" s="1">
        <f t="shared" si="3"/>
        <v>96.084182786052267</v>
      </c>
      <c r="V13" s="1">
        <f t="shared" si="3"/>
        <v>96.084182786052267</v>
      </c>
      <c r="X13" s="9"/>
      <c r="Y13" s="2"/>
      <c r="Z13" s="2"/>
      <c r="AA13" s="13" t="s">
        <v>31</v>
      </c>
      <c r="AB13" s="18">
        <f>AA8</f>
        <v>18.347358256311217</v>
      </c>
      <c r="AC13" s="2"/>
      <c r="AD13" s="1"/>
      <c r="AE13" s="1"/>
      <c r="AF13" s="1" t="s">
        <v>54</v>
      </c>
      <c r="AG13" s="1" t="s">
        <v>55</v>
      </c>
      <c r="AH13" s="1" t="s">
        <v>56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>
      <c r="B14" s="7">
        <v>40.603999999999999</v>
      </c>
      <c r="C14" s="8">
        <v>1.2179E-10</v>
      </c>
      <c r="D14" s="8">
        <v>1.2179E-10</v>
      </c>
      <c r="E14" s="8">
        <v>1.2179E-10</v>
      </c>
      <c r="F14" s="1">
        <v>2.9630000000000002E-12</v>
      </c>
      <c r="G14" s="1">
        <v>1.069E-16</v>
      </c>
      <c r="H14" s="1">
        <v>1.9919E-12</v>
      </c>
      <c r="I14" s="1">
        <v>3.3463999999999998E-13</v>
      </c>
      <c r="J14" s="8"/>
      <c r="K14" s="1"/>
      <c r="L14" s="1"/>
      <c r="M14" s="1"/>
      <c r="N14" s="7"/>
      <c r="O14">
        <f t="shared" si="4"/>
        <v>0.6767333333333333</v>
      </c>
      <c r="P14" s="6">
        <f t="shared" si="5"/>
        <v>99.7821690048752</v>
      </c>
      <c r="Q14" s="6">
        <f t="shared" si="0"/>
        <v>3.8905574674071284</v>
      </c>
      <c r="R14" s="6">
        <f t="shared" si="1"/>
        <v>0.26284123826644079</v>
      </c>
      <c r="S14" s="5">
        <f t="shared" si="2"/>
        <v>0</v>
      </c>
      <c r="T14" s="6">
        <f t="shared" si="3"/>
        <v>95.628770299201634</v>
      </c>
      <c r="U14" s="1">
        <f t="shared" si="3"/>
        <v>95.628770299201634</v>
      </c>
      <c r="V14" s="1">
        <f t="shared" si="3"/>
        <v>95.628770299201634</v>
      </c>
      <c r="X14" s="9"/>
      <c r="Y14" s="2"/>
      <c r="Z14" s="2"/>
      <c r="AA14" s="14" t="s">
        <v>30</v>
      </c>
      <c r="AB14" s="19">
        <f>Z8</f>
        <v>48.020416609187471</v>
      </c>
      <c r="AC14" s="2"/>
      <c r="AD14" s="1"/>
      <c r="AE14" s="1"/>
      <c r="AF14" s="1" t="s">
        <v>57</v>
      </c>
      <c r="AG14" s="1" t="s">
        <v>58</v>
      </c>
      <c r="AH14" s="1" t="s">
        <v>59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8" thickBot="1">
      <c r="B15" s="7">
        <v>48.795999999999999</v>
      </c>
      <c r="C15" s="8">
        <v>1.2119E-10</v>
      </c>
      <c r="D15" s="8">
        <v>1.2119E-10</v>
      </c>
      <c r="E15" s="8">
        <v>1.2119E-10</v>
      </c>
      <c r="F15" s="1">
        <v>2.9471999999999998E-12</v>
      </c>
      <c r="G15" s="1">
        <v>1.1687999999999999E-16</v>
      </c>
      <c r="H15" s="1">
        <v>2.4523999999999999E-12</v>
      </c>
      <c r="I15" s="1">
        <v>4.7939000000000004E-13</v>
      </c>
      <c r="J15" s="8"/>
      <c r="K15" s="1"/>
      <c r="L15" s="1"/>
      <c r="M15" s="1"/>
      <c r="N15" s="7"/>
      <c r="O15">
        <f t="shared" si="4"/>
        <v>0.81326666666666669</v>
      </c>
      <c r="P15" s="6">
        <f t="shared" si="5"/>
        <v>99.773893045013722</v>
      </c>
      <c r="Q15" s="6">
        <f t="shared" si="0"/>
        <v>4.2397332137906982</v>
      </c>
      <c r="R15" s="6">
        <f t="shared" si="1"/>
        <v>0.37650589772893372</v>
      </c>
      <c r="S15" s="5">
        <f t="shared" si="2"/>
        <v>0</v>
      </c>
      <c r="T15" s="6">
        <f t="shared" si="3"/>
        <v>95.157653933494089</v>
      </c>
      <c r="U15" s="1">
        <f t="shared" si="3"/>
        <v>95.157653933494089</v>
      </c>
      <c r="V15" s="1">
        <f t="shared" si="3"/>
        <v>95.157653933494089</v>
      </c>
      <c r="X15" s="1"/>
      <c r="Y15" s="5"/>
      <c r="Z15" s="1"/>
      <c r="AA15" s="15" t="s">
        <v>11</v>
      </c>
      <c r="AB15" s="20">
        <f>AB8</f>
        <v>0</v>
      </c>
      <c r="AC15" s="1"/>
      <c r="AD15" s="1"/>
      <c r="AE15" s="1"/>
      <c r="AF15" s="1" t="s">
        <v>19</v>
      </c>
      <c r="AG15" s="1">
        <v>0.1</v>
      </c>
      <c r="AH15" s="1">
        <v>0.1</v>
      </c>
      <c r="AI15" s="1" t="s">
        <v>47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>
      <c r="B16" s="7">
        <v>56.988</v>
      </c>
      <c r="C16" s="8">
        <v>1.2058999999999999E-10</v>
      </c>
      <c r="D16" s="8">
        <v>1.2058999999999999E-10</v>
      </c>
      <c r="E16" s="8">
        <v>1.2058999999999999E-10</v>
      </c>
      <c r="F16" s="1">
        <v>2.9316000000000002E-12</v>
      </c>
      <c r="G16" s="1">
        <v>1.2481E-16</v>
      </c>
      <c r="H16" s="1">
        <v>2.9111E-12</v>
      </c>
      <c r="I16" s="1">
        <v>6.3649000000000005E-13</v>
      </c>
      <c r="J16" s="8"/>
      <c r="K16" s="1"/>
      <c r="L16" s="1"/>
      <c r="M16" s="1"/>
      <c r="N16" s="7"/>
      <c r="O16">
        <f t="shared" si="4"/>
        <v>0.94979999999999998</v>
      </c>
      <c r="P16" s="6">
        <f t="shared" si="5"/>
        <v>99.774056310390264</v>
      </c>
      <c r="Q16" s="6">
        <f t="shared" si="0"/>
        <v>4.5876526498657153</v>
      </c>
      <c r="R16" s="6">
        <f t="shared" si="1"/>
        <v>0.49986609273799076</v>
      </c>
      <c r="S16" s="5">
        <f t="shared" si="2"/>
        <v>0</v>
      </c>
      <c r="T16" s="6">
        <f t="shared" si="3"/>
        <v>94.686537567786559</v>
      </c>
      <c r="U16" s="1">
        <f t="shared" si="3"/>
        <v>94.686537567786559</v>
      </c>
      <c r="V16" s="1">
        <f t="shared" si="3"/>
        <v>94.686537567786559</v>
      </c>
      <c r="X16" s="1"/>
      <c r="AD16" s="1"/>
      <c r="AE16" s="1"/>
      <c r="AF16" s="1" t="s">
        <v>63</v>
      </c>
      <c r="AG16" s="1" t="s">
        <v>64</v>
      </c>
      <c r="AH16" s="1" t="s">
        <v>65</v>
      </c>
      <c r="AI16" s="1" t="s">
        <v>66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>
      <c r="B17" s="7">
        <v>65.180000000000007</v>
      </c>
      <c r="C17" s="8">
        <v>1.1998000000000001E-10</v>
      </c>
      <c r="D17" s="8">
        <v>1.1998000000000001E-10</v>
      </c>
      <c r="E17" s="8">
        <v>1.1998000000000001E-10</v>
      </c>
      <c r="F17" s="1">
        <v>2.9163E-12</v>
      </c>
      <c r="G17" s="1">
        <v>1.3084E-16</v>
      </c>
      <c r="H17" s="1">
        <v>3.3677999999999998E-12</v>
      </c>
      <c r="I17" s="1">
        <v>8.0162999999999999E-13</v>
      </c>
      <c r="J17" s="8"/>
      <c r="K17" s="1"/>
      <c r="L17" s="1"/>
      <c r="M17" s="1"/>
      <c r="N17" s="7"/>
      <c r="O17">
        <f t="shared" si="4"/>
        <v>1.0863333333333334</v>
      </c>
      <c r="P17" s="6">
        <f t="shared" si="5"/>
        <v>99.771344274067502</v>
      </c>
      <c r="Q17" s="6">
        <f t="shared" si="0"/>
        <v>4.9342372562378927</v>
      </c>
      <c r="R17" s="6">
        <f t="shared" si="1"/>
        <v>0.62953775517903732</v>
      </c>
      <c r="S17" s="5">
        <f t="shared" si="2"/>
        <v>0</v>
      </c>
      <c r="T17" s="6">
        <f t="shared" si="3"/>
        <v>94.207569262650566</v>
      </c>
      <c r="U17" s="1">
        <f t="shared" si="3"/>
        <v>94.207569262650566</v>
      </c>
      <c r="V17" s="1">
        <f t="shared" si="3"/>
        <v>94.207569262650566</v>
      </c>
      <c r="X17" s="5"/>
      <c r="Y17" s="5"/>
      <c r="Z17" s="5"/>
      <c r="AA17" s="5"/>
      <c r="AB17" s="5"/>
      <c r="AC17" s="1"/>
      <c r="AD17" s="5"/>
      <c r="AE17" s="5"/>
      <c r="AF17" s="1" t="s">
        <v>67</v>
      </c>
      <c r="AG17" s="1">
        <v>0.7</v>
      </c>
      <c r="AH17" s="1">
        <v>0.7</v>
      </c>
      <c r="AI17" s="1" t="s">
        <v>68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>
      <c r="B18" s="7">
        <v>73.372</v>
      </c>
      <c r="C18" s="8">
        <v>1.1937E-10</v>
      </c>
      <c r="D18" s="8">
        <v>1.1937E-10</v>
      </c>
      <c r="E18" s="8">
        <v>1.1937E-10</v>
      </c>
      <c r="F18" s="1">
        <v>2.9010999999999998E-12</v>
      </c>
      <c r="G18" s="1">
        <v>1.3387999999999999E-16</v>
      </c>
      <c r="H18" s="1">
        <v>3.8226000000000003E-12</v>
      </c>
      <c r="I18" s="1">
        <v>9.7174999999999997E-13</v>
      </c>
      <c r="J18" s="8"/>
      <c r="K18" s="1"/>
      <c r="L18" s="1"/>
      <c r="M18" s="1"/>
      <c r="N18" s="7"/>
      <c r="O18">
        <f t="shared" si="4"/>
        <v>1.2228666666666668</v>
      </c>
      <c r="P18" s="6">
        <f t="shared" si="5"/>
        <v>99.771126806753074</v>
      </c>
      <c r="Q18" s="6">
        <f t="shared" si="0"/>
        <v>5.2794085135129487</v>
      </c>
      <c r="R18" s="6">
        <f t="shared" si="1"/>
        <v>0.76311733572556728</v>
      </c>
      <c r="S18" s="5">
        <f t="shared" si="2"/>
        <v>0</v>
      </c>
      <c r="T18" s="6">
        <f t="shared" ref="T18:V81" si="6">C18/$A$1*100</f>
        <v>93.728600957514558</v>
      </c>
      <c r="U18" s="1">
        <f t="shared" si="6"/>
        <v>93.728600957514558</v>
      </c>
      <c r="V18" s="1">
        <f t="shared" si="6"/>
        <v>93.728600957514558</v>
      </c>
      <c r="X18" s="5"/>
      <c r="Y18" s="5"/>
      <c r="Z18" s="5"/>
      <c r="AA18" s="5"/>
      <c r="AB18" s="5"/>
      <c r="AC18" s="1"/>
      <c r="AD18" s="5"/>
      <c r="AE18" s="5"/>
      <c r="AF18" t="s">
        <v>69</v>
      </c>
      <c r="AG18" s="1" t="s">
        <v>70</v>
      </c>
      <c r="AH18" s="1" t="s">
        <v>71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>
      <c r="B19" s="7">
        <v>81.563999999999993</v>
      </c>
      <c r="C19" s="8">
        <v>1.1876000000000001E-10</v>
      </c>
      <c r="D19" s="8">
        <v>1.1876000000000001E-10</v>
      </c>
      <c r="E19" s="8">
        <v>1.1876000000000001E-10</v>
      </c>
      <c r="F19" s="1">
        <v>2.886E-12</v>
      </c>
      <c r="G19" s="1">
        <v>1.3539999999999999E-16</v>
      </c>
      <c r="H19" s="1">
        <v>4.2752000000000002E-12</v>
      </c>
      <c r="I19" s="1">
        <v>1.1447999999999999E-12</v>
      </c>
      <c r="J19" s="8"/>
      <c r="K19" s="1"/>
      <c r="L19" s="1"/>
      <c r="M19" s="1"/>
      <c r="N19" s="7"/>
      <c r="O19">
        <f t="shared" si="4"/>
        <v>1.3593999999999999</v>
      </c>
      <c r="P19" s="6">
        <f t="shared" si="5"/>
        <v>99.771559856916454</v>
      </c>
      <c r="Q19" s="6">
        <f t="shared" si="0"/>
        <v>5.6229308635080288</v>
      </c>
      <c r="R19" s="6">
        <f t="shared" si="1"/>
        <v>0.8989963410298426</v>
      </c>
      <c r="S19" s="5">
        <f t="shared" si="2"/>
        <v>0</v>
      </c>
      <c r="T19" s="6">
        <f t="shared" si="6"/>
        <v>93.24963265237858</v>
      </c>
      <c r="U19" s="1">
        <f t="shared" si="6"/>
        <v>93.24963265237858</v>
      </c>
      <c r="V19" s="1">
        <f t="shared" si="6"/>
        <v>93.24963265237858</v>
      </c>
      <c r="X19" s="5"/>
      <c r="Y19" s="5"/>
      <c r="Z19" s="5"/>
      <c r="AA19" s="5"/>
      <c r="AB19" s="5"/>
      <c r="AC19" s="1"/>
      <c r="AD19" s="5"/>
      <c r="AE19" s="5"/>
      <c r="AF19" t="s">
        <v>72</v>
      </c>
      <c r="AG19" s="1" t="s">
        <v>73</v>
      </c>
      <c r="AH19" s="1" t="s">
        <v>74</v>
      </c>
      <c r="AI19" s="1" t="s">
        <v>75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>
      <c r="B20" s="7">
        <v>97.947999999999993</v>
      </c>
      <c r="C20" s="8">
        <v>1.1755E-10</v>
      </c>
      <c r="D20" s="8">
        <v>1.1755E-10</v>
      </c>
      <c r="E20" s="8">
        <v>1.1755E-10</v>
      </c>
      <c r="F20" s="1">
        <v>2.8561999999999999E-12</v>
      </c>
      <c r="G20" s="1">
        <v>1.3428000000000001E-16</v>
      </c>
      <c r="H20" s="1">
        <v>5.1740000000000004E-12</v>
      </c>
      <c r="I20" s="1">
        <v>1.4947000000000001E-12</v>
      </c>
      <c r="J20" s="8"/>
      <c r="K20" s="1"/>
      <c r="L20" s="1"/>
      <c r="M20" s="1"/>
      <c r="N20" s="7"/>
      <c r="O20">
        <f t="shared" si="4"/>
        <v>1.6324666666666665</v>
      </c>
      <c r="P20" s="6">
        <f t="shared" si="5"/>
        <v>99.778547203590549</v>
      </c>
      <c r="Q20" s="6">
        <f t="shared" si="0"/>
        <v>6.3052643998411106</v>
      </c>
      <c r="R20" s="6">
        <f t="shared" si="1"/>
        <v>1.1737348222144057</v>
      </c>
      <c r="S20" s="5">
        <f t="shared" si="2"/>
        <v>0</v>
      </c>
      <c r="T20" s="6">
        <f t="shared" si="6"/>
        <v>92.299547981535028</v>
      </c>
      <c r="U20" s="1">
        <f t="shared" si="6"/>
        <v>92.299547981535028</v>
      </c>
      <c r="V20" s="1">
        <f t="shared" si="6"/>
        <v>92.299547981535028</v>
      </c>
      <c r="X20" s="5"/>
      <c r="Y20" s="5"/>
      <c r="Z20" s="5"/>
      <c r="AA20" s="5"/>
      <c r="AB20" s="5"/>
      <c r="AC20" s="1"/>
      <c r="AD20" s="5"/>
      <c r="AE20" s="5"/>
      <c r="AF20" t="s">
        <v>76</v>
      </c>
      <c r="AG20" s="1" t="s">
        <v>77</v>
      </c>
      <c r="AH20" s="1" t="s">
        <v>78</v>
      </c>
      <c r="AI20" s="1" t="s">
        <v>79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>
      <c r="B21" s="7">
        <v>114.33</v>
      </c>
      <c r="C21" s="8">
        <v>1.1634E-10</v>
      </c>
      <c r="D21" s="8">
        <v>1.1634E-10</v>
      </c>
      <c r="E21" s="8">
        <v>1.1634E-10</v>
      </c>
      <c r="F21" s="1">
        <v>2.8268E-12</v>
      </c>
      <c r="G21" s="1">
        <v>1.3199E-16</v>
      </c>
      <c r="H21" s="1">
        <v>6.0641000000000004E-12</v>
      </c>
      <c r="I21" s="1">
        <v>1.8458000000000001E-12</v>
      </c>
      <c r="J21" s="8"/>
      <c r="K21" s="1"/>
      <c r="L21" s="1"/>
      <c r="M21" s="1"/>
      <c r="N21" s="7"/>
      <c r="O21">
        <f t="shared" si="4"/>
        <v>1.9055</v>
      </c>
      <c r="P21" s="6">
        <f t="shared" si="5"/>
        <v>99.779958754593551</v>
      </c>
      <c r="Q21" s="6">
        <f t="shared" si="0"/>
        <v>6.981080826448574</v>
      </c>
      <c r="R21" s="6">
        <f t="shared" si="1"/>
        <v>1.4494146174534708</v>
      </c>
      <c r="S21" s="5">
        <f t="shared" si="2"/>
        <v>0</v>
      </c>
      <c r="T21" s="6">
        <f t="shared" si="6"/>
        <v>91.349463310691505</v>
      </c>
      <c r="U21" s="1">
        <f t="shared" si="6"/>
        <v>91.349463310691505</v>
      </c>
      <c r="V21" s="1">
        <f t="shared" si="6"/>
        <v>91.349463310691505</v>
      </c>
      <c r="X21" s="5"/>
      <c r="Y21" s="5"/>
      <c r="Z21" s="5"/>
      <c r="AA21" s="5"/>
      <c r="AB21" s="5"/>
      <c r="AC21" s="1"/>
      <c r="AD21" s="5"/>
      <c r="AE21" s="5"/>
      <c r="AF21" t="s">
        <v>80</v>
      </c>
      <c r="AG21" s="1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49"/>
      <c r="AW21" s="49"/>
      <c r="AX21" s="49"/>
      <c r="AY21" s="49"/>
      <c r="AZ21" s="49"/>
      <c r="BA21" s="49"/>
      <c r="BB21" s="49"/>
      <c r="BC21" s="49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>
      <c r="B22" s="7">
        <v>130.72</v>
      </c>
      <c r="C22" s="8">
        <v>1.1514E-10</v>
      </c>
      <c r="D22" s="8">
        <v>1.1514E-10</v>
      </c>
      <c r="E22" s="8">
        <v>1.1514E-10</v>
      </c>
      <c r="F22" s="1">
        <v>2.7977000000000001E-12</v>
      </c>
      <c r="G22" s="1">
        <v>1.3326999999999999E-16</v>
      </c>
      <c r="H22" s="1">
        <v>6.9451999999999999E-12</v>
      </c>
      <c r="I22" s="1">
        <v>2.1954000000000001E-12</v>
      </c>
      <c r="J22" s="8"/>
      <c r="K22" s="1"/>
      <c r="L22" s="1"/>
      <c r="M22" s="1"/>
      <c r="N22" s="7"/>
      <c r="O22">
        <f t="shared" si="4"/>
        <v>2.1786666666666665</v>
      </c>
      <c r="P22" s="6">
        <f t="shared" si="5"/>
        <v>99.781216069950347</v>
      </c>
      <c r="Q22" s="6">
        <f t="shared" si="0"/>
        <v>7.6500660657532773</v>
      </c>
      <c r="R22" s="6">
        <f t="shared" si="1"/>
        <v>1.7239194249206427</v>
      </c>
      <c r="S22" s="5">
        <f t="shared" si="2"/>
        <v>0</v>
      </c>
      <c r="T22" s="6">
        <f t="shared" si="6"/>
        <v>90.40723057927643</v>
      </c>
      <c r="U22" s="1">
        <f t="shared" si="6"/>
        <v>90.40723057927643</v>
      </c>
      <c r="V22" s="1">
        <f t="shared" si="6"/>
        <v>90.40723057927643</v>
      </c>
      <c r="X22" s="5"/>
      <c r="Y22" s="5"/>
      <c r="Z22" s="5"/>
      <c r="AA22" s="5"/>
      <c r="AB22" s="5"/>
      <c r="AC22" s="1"/>
      <c r="AD22" s="5"/>
      <c r="AE22" s="5"/>
      <c r="AF22" s="1" t="s">
        <v>144</v>
      </c>
      <c r="AG22" s="1" t="s">
        <v>145</v>
      </c>
      <c r="AH22" s="1" t="s">
        <v>146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>
      <c r="B23" s="7">
        <v>147.1</v>
      </c>
      <c r="C23" s="8">
        <v>1.1395E-10</v>
      </c>
      <c r="D23" s="8">
        <v>1.1395E-10</v>
      </c>
      <c r="E23" s="8">
        <v>1.1395E-10</v>
      </c>
      <c r="F23" s="1">
        <v>2.7688000000000001E-12</v>
      </c>
      <c r="G23" s="1">
        <v>1.3379E-16</v>
      </c>
      <c r="H23" s="1">
        <v>7.8174000000000002E-12</v>
      </c>
      <c r="I23" s="1">
        <v>2.5423000000000002E-12</v>
      </c>
      <c r="J23" s="8"/>
      <c r="K23" s="1"/>
      <c r="L23" s="1"/>
      <c r="M23" s="1"/>
      <c r="N23" s="7"/>
      <c r="O23">
        <f t="shared" si="4"/>
        <v>2.4516666666666667</v>
      </c>
      <c r="P23" s="6">
        <f t="shared" si="5"/>
        <v>99.781373517039768</v>
      </c>
      <c r="Q23" s="6">
        <f t="shared" si="0"/>
        <v>8.3122201177552206</v>
      </c>
      <c r="R23" s="6">
        <f t="shared" si="1"/>
        <v>1.9963036119947339</v>
      </c>
      <c r="S23" s="5">
        <f t="shared" si="2"/>
        <v>0</v>
      </c>
      <c r="T23" s="6">
        <f t="shared" si="6"/>
        <v>89.472849787289803</v>
      </c>
      <c r="U23" s="1">
        <f t="shared" si="6"/>
        <v>89.472849787289803</v>
      </c>
      <c r="V23" s="1">
        <f t="shared" si="6"/>
        <v>89.472849787289803</v>
      </c>
      <c r="X23" s="5"/>
      <c r="Y23" s="5"/>
      <c r="Z23" s="5"/>
      <c r="AA23" s="5"/>
      <c r="AB23" s="5"/>
      <c r="AC23" s="1"/>
      <c r="AD23" s="5"/>
      <c r="AE23" s="5"/>
      <c r="AF23" s="1" t="s">
        <v>147</v>
      </c>
      <c r="AG23" s="1" t="s">
        <v>148</v>
      </c>
      <c r="AH23" s="1" t="s">
        <v>149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>
      <c r="B24" s="7">
        <v>179.87</v>
      </c>
      <c r="C24" s="8">
        <v>1.1161E-10</v>
      </c>
      <c r="D24" s="8">
        <v>1.1161E-10</v>
      </c>
      <c r="E24" s="8">
        <v>1.1161E-10</v>
      </c>
      <c r="F24" s="1">
        <v>2.7121000000000001E-12</v>
      </c>
      <c r="G24" s="1">
        <v>1.2764999999999999E-16</v>
      </c>
      <c r="H24" s="1">
        <v>9.5352999999999996E-12</v>
      </c>
      <c r="I24" s="1">
        <v>3.2257999999999998E-12</v>
      </c>
      <c r="J24" s="8"/>
      <c r="K24" s="1"/>
      <c r="L24" s="1"/>
      <c r="M24" s="1"/>
      <c r="N24" s="7"/>
      <c r="O24">
        <f t="shared" si="4"/>
        <v>2.9978333333333333</v>
      </c>
      <c r="P24" s="6">
        <f t="shared" si="5"/>
        <v>99.785059107480336</v>
      </c>
      <c r="Q24" s="6">
        <f t="shared" si="0"/>
        <v>9.6165842956108225</v>
      </c>
      <c r="R24" s="6">
        <f t="shared" si="1"/>
        <v>2.5329788508390947</v>
      </c>
      <c r="S24" s="5">
        <f t="shared" si="2"/>
        <v>0</v>
      </c>
      <c r="T24" s="6">
        <f t="shared" si="6"/>
        <v>87.635495961030415</v>
      </c>
      <c r="U24" s="1">
        <f t="shared" si="6"/>
        <v>87.635495961030415</v>
      </c>
      <c r="V24" s="1">
        <f t="shared" si="6"/>
        <v>87.635495961030415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>
      <c r="B25" s="7">
        <v>245.4</v>
      </c>
      <c r="C25" s="8">
        <v>1.0717E-10</v>
      </c>
      <c r="D25" s="8">
        <v>1.0717E-10</v>
      </c>
      <c r="E25" s="8">
        <v>1.0717E-10</v>
      </c>
      <c r="F25" s="1">
        <v>2.6039999999999998E-12</v>
      </c>
      <c r="G25" s="1">
        <v>1.2211E-16</v>
      </c>
      <c r="H25" s="1">
        <v>1.2868000000000001E-11</v>
      </c>
      <c r="I25" s="1">
        <v>4.5510000000000003E-12</v>
      </c>
      <c r="J25" s="8"/>
      <c r="K25" s="1"/>
      <c r="L25" s="1"/>
      <c r="M25" s="1"/>
      <c r="N25" s="7"/>
      <c r="O25">
        <f t="shared" si="4"/>
        <v>4.09</v>
      </c>
      <c r="P25" s="6">
        <f t="shared" si="5"/>
        <v>99.871269052430378</v>
      </c>
      <c r="Q25" s="6">
        <f t="shared" si="0"/>
        <v>12.148520683711698</v>
      </c>
      <c r="R25" s="6">
        <f t="shared" si="1"/>
        <v>3.5735135139240324</v>
      </c>
      <c r="S25" s="5">
        <f t="shared" si="2"/>
        <v>0</v>
      </c>
      <c r="T25" s="6">
        <f t="shared" si="6"/>
        <v>84.149234854794642</v>
      </c>
      <c r="U25" s="1">
        <f t="shared" si="6"/>
        <v>84.149234854794642</v>
      </c>
      <c r="V25" s="1">
        <f t="shared" si="6"/>
        <v>84.149234854794642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>
      <c r="B26" s="7">
        <v>310.94</v>
      </c>
      <c r="C26" s="8">
        <v>1.029E-10</v>
      </c>
      <c r="D26" s="8">
        <v>1.029E-10</v>
      </c>
      <c r="E26" s="8">
        <v>1.029E-10</v>
      </c>
      <c r="F26" s="1">
        <v>2.5003000000000002E-12</v>
      </c>
      <c r="G26" s="1">
        <v>1.2124E-16</v>
      </c>
      <c r="H26" s="1">
        <v>1.6068000000000001E-11</v>
      </c>
      <c r="I26" s="1">
        <v>5.8236999999999999E-12</v>
      </c>
      <c r="J26" s="8"/>
      <c r="K26" s="1"/>
      <c r="L26" s="1"/>
      <c r="M26" s="1"/>
      <c r="N26" s="7"/>
      <c r="O26">
        <f t="shared" si="4"/>
        <v>5.1823333333333332</v>
      </c>
      <c r="P26" s="6">
        <f t="shared" si="5"/>
        <v>99.949002569653388</v>
      </c>
      <c r="Q26" s="6">
        <f t="shared" si="0"/>
        <v>14.579716688945446</v>
      </c>
      <c r="R26" s="6">
        <f t="shared" si="1"/>
        <v>4.5728291618652728</v>
      </c>
      <c r="S26" s="5">
        <f t="shared" si="2"/>
        <v>0</v>
      </c>
      <c r="T26" s="6">
        <f t="shared" si="6"/>
        <v>80.796456718842663</v>
      </c>
      <c r="U26" s="1">
        <f t="shared" si="6"/>
        <v>80.796456718842663</v>
      </c>
      <c r="V26" s="1">
        <f t="shared" si="6"/>
        <v>80.796456718842663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>
      <c r="B27" s="7">
        <v>442.01</v>
      </c>
      <c r="C27" s="8">
        <v>9.5013000000000003E-11</v>
      </c>
      <c r="D27" s="8">
        <v>9.5013000000000003E-11</v>
      </c>
      <c r="E27" s="8">
        <v>9.5013000000000003E-11</v>
      </c>
      <c r="F27" s="1">
        <v>2.3086000000000001E-12</v>
      </c>
      <c r="G27" s="1">
        <v>1.1165E-16</v>
      </c>
      <c r="H27" s="1">
        <v>2.2097E-11</v>
      </c>
      <c r="I27" s="1">
        <v>8.2232000000000007E-12</v>
      </c>
      <c r="J27" s="8"/>
      <c r="K27" s="1"/>
      <c r="L27" s="1"/>
      <c r="M27" s="1"/>
      <c r="N27" s="7"/>
      <c r="O27">
        <f t="shared" si="4"/>
        <v>7.3668333333333331</v>
      </c>
      <c r="P27" s="6">
        <f t="shared" si="5"/>
        <v>100.22365588085098</v>
      </c>
      <c r="Q27" s="6">
        <f t="shared" si="0"/>
        <v>19.163129291519791</v>
      </c>
      <c r="R27" s="6">
        <f t="shared" si="1"/>
        <v>6.4568944977140887</v>
      </c>
      <c r="S27" s="5">
        <f t="shared" si="2"/>
        <v>0</v>
      </c>
      <c r="T27" s="6">
        <f t="shared" si="6"/>
        <v>74.603632091617087</v>
      </c>
      <c r="U27" s="1">
        <f t="shared" si="6"/>
        <v>74.603632091617087</v>
      </c>
      <c r="V27" s="1">
        <f t="shared" si="6"/>
        <v>74.603632091617087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>
      <c r="B28" s="7">
        <v>573.08000000000004</v>
      </c>
      <c r="C28" s="8">
        <v>8.7730999999999999E-11</v>
      </c>
      <c r="D28" s="8">
        <v>8.7730999999999999E-11</v>
      </c>
      <c r="E28" s="8">
        <v>8.7730999999999999E-11</v>
      </c>
      <c r="F28" s="1">
        <v>2.1316999999999999E-12</v>
      </c>
      <c r="G28" s="1">
        <v>1.0403E-16</v>
      </c>
      <c r="H28" s="1">
        <v>2.7664999999999999E-11</v>
      </c>
      <c r="I28" s="1">
        <v>1.0438999999999999E-11</v>
      </c>
      <c r="J28" s="8"/>
      <c r="K28" s="1"/>
      <c r="L28" s="1"/>
      <c r="M28" s="1"/>
      <c r="N28" s="7"/>
      <c r="O28">
        <f t="shared" si="4"/>
        <v>9.5513333333333339</v>
      </c>
      <c r="P28" s="6">
        <f t="shared" si="5"/>
        <v>100.47875940970374</v>
      </c>
      <c r="Q28" s="6">
        <f t="shared" si="0"/>
        <v>23.396188356796298</v>
      </c>
      <c r="R28" s="6">
        <f t="shared" si="1"/>
        <v>8.1967212530941786</v>
      </c>
      <c r="S28" s="5">
        <f t="shared" si="2"/>
        <v>0</v>
      </c>
      <c r="T28" s="6">
        <f t="shared" si="6"/>
        <v>68.885849799813272</v>
      </c>
      <c r="U28" s="1">
        <f t="shared" si="6"/>
        <v>68.885849799813272</v>
      </c>
      <c r="V28" s="1">
        <f t="shared" si="6"/>
        <v>68.885849799813272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>
      <c r="B29" s="7">
        <v>704.16</v>
      </c>
      <c r="C29" s="8">
        <v>8.1007E-11</v>
      </c>
      <c r="D29" s="8">
        <v>8.1007E-11</v>
      </c>
      <c r="E29" s="8">
        <v>8.1007E-11</v>
      </c>
      <c r="F29" s="1">
        <v>1.9683E-12</v>
      </c>
      <c r="G29" s="1">
        <v>9.5686000000000001E-17</v>
      </c>
      <c r="H29" s="1">
        <v>3.2804999999999997E-11</v>
      </c>
      <c r="I29" s="1">
        <v>1.2486E-11</v>
      </c>
      <c r="J29" s="8"/>
      <c r="K29" s="1"/>
      <c r="L29" s="1"/>
      <c r="M29" s="1"/>
      <c r="N29" s="7"/>
      <c r="O29">
        <f t="shared" si="4"/>
        <v>11.735999999999999</v>
      </c>
      <c r="P29" s="6">
        <f t="shared" si="5"/>
        <v>100.7139969633221</v>
      </c>
      <c r="Q29" s="6">
        <f t="shared" si="0"/>
        <v>27.303784532763181</v>
      </c>
      <c r="R29" s="6">
        <f t="shared" si="1"/>
        <v>9.8040067024414679</v>
      </c>
      <c r="S29" s="5">
        <f t="shared" si="2"/>
        <v>0</v>
      </c>
      <c r="T29" s="6">
        <f t="shared" si="6"/>
        <v>63.606205728117473</v>
      </c>
      <c r="U29" s="1">
        <f t="shared" si="6"/>
        <v>63.606205728117473</v>
      </c>
      <c r="V29" s="1">
        <f t="shared" si="6"/>
        <v>63.606205728117473</v>
      </c>
      <c r="X29" s="5"/>
      <c r="Y29" s="5"/>
      <c r="Z29" s="5"/>
      <c r="AA29" s="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>
      <c r="B30" s="7">
        <v>966.3</v>
      </c>
      <c r="C30" s="8">
        <v>6.8742000000000004E-11</v>
      </c>
      <c r="D30" s="8">
        <v>6.8742000000000004E-11</v>
      </c>
      <c r="E30" s="8">
        <v>6.8742000000000004E-11</v>
      </c>
      <c r="F30" s="1">
        <v>1.6703000000000001E-12</v>
      </c>
      <c r="G30" s="1">
        <v>7.8688000000000005E-17</v>
      </c>
      <c r="H30" s="1">
        <v>4.1929999999999998E-11</v>
      </c>
      <c r="I30" s="1">
        <v>1.6116999999999998E-11</v>
      </c>
      <c r="J30" s="8"/>
      <c r="K30" s="1"/>
      <c r="L30" s="1"/>
      <c r="M30" s="1"/>
      <c r="N30" s="7"/>
      <c r="O30">
        <f t="shared" si="4"/>
        <v>16.105</v>
      </c>
      <c r="P30" s="6">
        <f t="shared" si="5"/>
        <v>100.86552604756476</v>
      </c>
      <c r="Q30" s="6">
        <f t="shared" si="0"/>
        <v>34.234691466263897</v>
      </c>
      <c r="R30" s="6">
        <f t="shared" si="1"/>
        <v>12.655032562188273</v>
      </c>
      <c r="S30" s="5">
        <f t="shared" si="2"/>
        <v>0</v>
      </c>
      <c r="T30" s="6">
        <f t="shared" si="6"/>
        <v>53.975802019112564</v>
      </c>
      <c r="U30" s="1">
        <f t="shared" si="6"/>
        <v>53.975802019112564</v>
      </c>
      <c r="V30" s="1">
        <f t="shared" si="6"/>
        <v>53.975802019112564</v>
      </c>
      <c r="X30" s="5"/>
      <c r="Y30" s="5"/>
      <c r="Z30" s="5"/>
      <c r="AA30" s="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>
      <c r="B31" s="7">
        <v>1228.4000000000001</v>
      </c>
      <c r="C31" s="8">
        <v>5.8215000000000003E-11</v>
      </c>
      <c r="D31" s="8">
        <v>5.8215000000000003E-11</v>
      </c>
      <c r="E31" s="8">
        <v>5.8215000000000003E-11</v>
      </c>
      <c r="F31" s="1">
        <v>1.4145000000000001E-12</v>
      </c>
      <c r="G31" s="1">
        <v>6.6191999999999994E-17</v>
      </c>
      <c r="H31" s="1">
        <v>4.9664999999999997E-11</v>
      </c>
      <c r="I31" s="1">
        <v>1.9193E-11</v>
      </c>
      <c r="J31" s="8"/>
      <c r="K31" s="1"/>
      <c r="L31" s="1"/>
      <c r="M31" s="1"/>
      <c r="N31" s="7"/>
      <c r="O31">
        <f t="shared" si="4"/>
        <v>20.473333333333336</v>
      </c>
      <c r="P31" s="6">
        <f t="shared" si="5"/>
        <v>100.88765870496947</v>
      </c>
      <c r="Q31" s="6">
        <f t="shared" si="0"/>
        <v>40.107314003596919</v>
      </c>
      <c r="R31" s="6">
        <f t="shared" si="1"/>
        <v>15.07027931859874</v>
      </c>
      <c r="S31" s="5">
        <f t="shared" si="2"/>
        <v>0</v>
      </c>
      <c r="T31" s="6">
        <f t="shared" si="6"/>
        <v>45.71006538277382</v>
      </c>
      <c r="U31" s="1">
        <f t="shared" si="6"/>
        <v>45.71006538277382</v>
      </c>
      <c r="V31" s="1">
        <f t="shared" si="6"/>
        <v>45.71006538277382</v>
      </c>
      <c r="X31" s="5"/>
      <c r="Y31" s="5"/>
      <c r="Z31" s="5"/>
      <c r="AA31" s="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>
      <c r="B32" s="7">
        <v>1490.6</v>
      </c>
      <c r="C32" s="8">
        <v>4.926E-11</v>
      </c>
      <c r="D32" s="8">
        <v>4.926E-11</v>
      </c>
      <c r="E32" s="8">
        <v>4.926E-11</v>
      </c>
      <c r="F32" s="1">
        <v>1.1969000000000001E-12</v>
      </c>
      <c r="G32" s="1">
        <v>5.7270000000000004E-17</v>
      </c>
      <c r="H32" s="1">
        <v>5.6214000000000001E-11</v>
      </c>
      <c r="I32" s="1">
        <v>2.1796E-11</v>
      </c>
      <c r="J32" s="8"/>
      <c r="K32" s="1"/>
      <c r="L32" s="1"/>
      <c r="M32" s="1"/>
      <c r="N32" s="7"/>
      <c r="O32">
        <f t="shared" si="4"/>
        <v>24.84333333333333</v>
      </c>
      <c r="P32" s="6">
        <f t="shared" si="5"/>
        <v>100.8714767042465</v>
      </c>
      <c r="Q32" s="6">
        <f t="shared" si="0"/>
        <v>45.07869093333143</v>
      </c>
      <c r="R32" s="6">
        <f t="shared" si="1"/>
        <v>17.114132146326249</v>
      </c>
      <c r="S32" s="5">
        <f t="shared" si="2"/>
        <v>0</v>
      </c>
      <c r="T32" s="6">
        <f t="shared" si="6"/>
        <v>38.678653624588819</v>
      </c>
      <c r="U32" s="1">
        <f t="shared" si="6"/>
        <v>38.678653624588819</v>
      </c>
      <c r="V32" s="1">
        <f t="shared" si="6"/>
        <v>38.678653624588819</v>
      </c>
      <c r="X32" s="5"/>
      <c r="Y32" s="5"/>
      <c r="Z32" s="5"/>
      <c r="AA32" s="5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>
      <c r="B33" s="7">
        <v>1752.7</v>
      </c>
      <c r="C33" s="8">
        <v>4.1670000000000003E-11</v>
      </c>
      <c r="D33" s="8">
        <v>4.1670000000000003E-11</v>
      </c>
      <c r="E33" s="8">
        <v>4.1670000000000003E-11</v>
      </c>
      <c r="F33" s="1">
        <v>1.0125E-12</v>
      </c>
      <c r="G33" s="1">
        <v>4.8499999999999999E-17</v>
      </c>
      <c r="H33" s="1">
        <v>6.1754000000000002E-11</v>
      </c>
      <c r="I33" s="1">
        <v>2.4000000000000001E-11</v>
      </c>
      <c r="J33" s="8"/>
      <c r="K33" s="1"/>
      <c r="L33" s="1"/>
      <c r="M33" s="1"/>
      <c r="N33" s="7"/>
      <c r="O33">
        <f t="shared" si="4"/>
        <v>29.211666666666666</v>
      </c>
      <c r="P33" s="6">
        <f t="shared" si="5"/>
        <v>100.84759992223312</v>
      </c>
      <c r="Q33" s="6">
        <f t="shared" si="0"/>
        <v>49.283875613636916</v>
      </c>
      <c r="R33" s="6">
        <f t="shared" si="1"/>
        <v>18.844692710207724</v>
      </c>
      <c r="S33" s="5">
        <f t="shared" si="2"/>
        <v>0</v>
      </c>
      <c r="T33" s="6">
        <f t="shared" si="6"/>
        <v>32.719031598388476</v>
      </c>
      <c r="U33" s="1">
        <f t="shared" si="6"/>
        <v>32.719031598388476</v>
      </c>
      <c r="V33" s="1">
        <f t="shared" si="6"/>
        <v>32.719031598388476</v>
      </c>
      <c r="X33" s="5"/>
      <c r="Y33" s="5"/>
      <c r="Z33" s="5"/>
      <c r="AA33" s="5"/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>
      <c r="B34" s="7">
        <v>2014.9</v>
      </c>
      <c r="C34" s="8">
        <v>3.5244999999999997E-11</v>
      </c>
      <c r="D34" s="8">
        <v>3.5244999999999997E-11</v>
      </c>
      <c r="E34" s="8">
        <v>3.5244999999999997E-11</v>
      </c>
      <c r="F34" s="1">
        <v>8.5639000000000005E-13</v>
      </c>
      <c r="G34" s="1">
        <v>4.0621E-17</v>
      </c>
      <c r="H34" s="1">
        <v>6.6441000000000001E-11</v>
      </c>
      <c r="I34" s="1">
        <v>2.5864999999999999E-11</v>
      </c>
      <c r="J34" s="8"/>
      <c r="K34" s="1"/>
      <c r="L34" s="1"/>
      <c r="M34" s="1"/>
      <c r="N34" s="7"/>
      <c r="O34">
        <f t="shared" si="4"/>
        <v>33.581666666666671</v>
      </c>
      <c r="P34" s="6">
        <f t="shared" si="5"/>
        <v>100.82473674001378</v>
      </c>
      <c r="Q34" s="6">
        <f t="shared" si="0"/>
        <v>52.841502997337955</v>
      </c>
      <c r="R34" s="6">
        <f t="shared" si="1"/>
        <v>20.309073227072243</v>
      </c>
      <c r="S34" s="5">
        <f t="shared" si="2"/>
        <v>0</v>
      </c>
      <c r="T34" s="6">
        <f t="shared" si="6"/>
        <v>27.674160515603592</v>
      </c>
      <c r="U34" s="1">
        <f t="shared" si="6"/>
        <v>27.674160515603592</v>
      </c>
      <c r="V34" s="1">
        <f t="shared" si="6"/>
        <v>27.674160515603592</v>
      </c>
      <c r="X34" s="5"/>
      <c r="Y34" s="5"/>
      <c r="Z34" s="5"/>
      <c r="AA34" s="5"/>
      <c r="AB34" s="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>
      <c r="B35" s="7">
        <v>2277</v>
      </c>
      <c r="C35" s="8">
        <v>2.9809000000000003E-11</v>
      </c>
      <c r="D35" s="8">
        <v>2.9809000000000003E-11</v>
      </c>
      <c r="E35" s="8">
        <v>2.9809000000000003E-11</v>
      </c>
      <c r="F35" s="1">
        <v>7.2430999999999997E-13</v>
      </c>
      <c r="G35" s="1">
        <v>3.4261999999999998E-17</v>
      </c>
      <c r="H35" s="1">
        <v>7.0405000000000001E-11</v>
      </c>
      <c r="I35" s="1">
        <v>2.7441999999999999E-11</v>
      </c>
      <c r="J35" s="8"/>
      <c r="K35" s="1"/>
      <c r="L35" s="1"/>
      <c r="M35" s="1"/>
      <c r="N35" s="7"/>
      <c r="O35">
        <f t="shared" si="4"/>
        <v>37.950000000000003</v>
      </c>
      <c r="P35" s="6">
        <f t="shared" si="5"/>
        <v>100.80346869499326</v>
      </c>
      <c r="Q35" s="6">
        <f t="shared" si="0"/>
        <v>55.850303370808</v>
      </c>
      <c r="R35" s="6">
        <f t="shared" si="1"/>
        <v>21.547319081891935</v>
      </c>
      <c r="S35" s="5">
        <f t="shared" si="2"/>
        <v>0</v>
      </c>
      <c r="T35" s="6">
        <f t="shared" si="6"/>
        <v>23.405846242293308</v>
      </c>
      <c r="U35" s="1">
        <f t="shared" si="6"/>
        <v>23.405846242293308</v>
      </c>
      <c r="V35" s="1">
        <f t="shared" si="6"/>
        <v>23.405846242293308</v>
      </c>
      <c r="X35" s="5"/>
      <c r="Y35" s="5"/>
      <c r="Z35" s="5"/>
      <c r="AA35" s="5"/>
      <c r="AB35" s="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>
      <c r="B36" s="7">
        <v>2539.1999999999998</v>
      </c>
      <c r="C36" s="8">
        <v>2.5211000000000002E-11</v>
      </c>
      <c r="D36" s="8">
        <v>2.5211000000000002E-11</v>
      </c>
      <c r="E36" s="8">
        <v>2.5211000000000002E-11</v>
      </c>
      <c r="F36" s="1">
        <v>6.1258E-13</v>
      </c>
      <c r="G36" s="1">
        <v>2.9104000000000002E-17</v>
      </c>
      <c r="H36" s="1">
        <v>7.3756999999999999E-11</v>
      </c>
      <c r="I36" s="1">
        <v>2.8774999999999999E-11</v>
      </c>
      <c r="J36" s="8"/>
      <c r="K36" s="1"/>
      <c r="L36" s="1"/>
      <c r="M36" s="1"/>
      <c r="N36" s="7"/>
      <c r="O36">
        <f t="shared" si="4"/>
        <v>42.32</v>
      </c>
      <c r="P36" s="6">
        <f t="shared" si="5"/>
        <v>100.78404679875629</v>
      </c>
      <c r="Q36" s="6">
        <f t="shared" si="0"/>
        <v>58.394543747993268</v>
      </c>
      <c r="R36" s="6">
        <f t="shared" si="1"/>
        <v>22.593978557675161</v>
      </c>
      <c r="S36" s="5">
        <f t="shared" si="2"/>
        <v>0</v>
      </c>
      <c r="T36" s="6">
        <f t="shared" si="6"/>
        <v>19.795524493087875</v>
      </c>
      <c r="U36" s="1">
        <f t="shared" si="6"/>
        <v>19.795524493087875</v>
      </c>
      <c r="V36" s="1">
        <f t="shared" si="6"/>
        <v>19.795524493087875</v>
      </c>
      <c r="X36" s="5"/>
      <c r="Y36" s="5"/>
      <c r="Z36" s="5"/>
      <c r="AA36" s="5"/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>
      <c r="B37" s="7">
        <v>2801.3</v>
      </c>
      <c r="C37" s="8">
        <v>2.1322000000000001E-11</v>
      </c>
      <c r="D37" s="8">
        <v>2.1322000000000001E-11</v>
      </c>
      <c r="E37" s="8">
        <v>2.1322000000000001E-11</v>
      </c>
      <c r="F37" s="1">
        <v>5.1808999999999997E-13</v>
      </c>
      <c r="G37" s="1">
        <v>2.4627E-17</v>
      </c>
      <c r="H37" s="1">
        <v>7.6591999999999995E-11</v>
      </c>
      <c r="I37" s="1">
        <v>2.9903000000000001E-11</v>
      </c>
      <c r="J37" s="8"/>
      <c r="K37" s="1"/>
      <c r="L37" s="1"/>
      <c r="M37" s="1"/>
      <c r="N37" s="7"/>
      <c r="O37">
        <f t="shared" si="4"/>
        <v>46.68833333333334</v>
      </c>
      <c r="P37" s="6">
        <f t="shared" si="5"/>
        <v>100.76795465955411</v>
      </c>
      <c r="Q37" s="6">
        <f t="shared" si="0"/>
        <v>60.546375600301857</v>
      </c>
      <c r="R37" s="6">
        <f t="shared" si="1"/>
        <v>23.479673809892049</v>
      </c>
      <c r="S37" s="5">
        <f t="shared" si="2"/>
        <v>0</v>
      </c>
      <c r="T37" s="6">
        <f t="shared" si="6"/>
        <v>16.74190524936019</v>
      </c>
      <c r="U37" s="1">
        <f t="shared" si="6"/>
        <v>16.74190524936019</v>
      </c>
      <c r="V37" s="1">
        <f t="shared" si="6"/>
        <v>16.74190524936019</v>
      </c>
      <c r="X37" s="5"/>
      <c r="Y37" s="5"/>
      <c r="Z37" s="5"/>
      <c r="AA37" s="5"/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>
      <c r="B38" s="7">
        <v>3063.5</v>
      </c>
      <c r="C38" s="8">
        <v>1.8033000000000001E-11</v>
      </c>
      <c r="D38" s="8">
        <v>1.8033000000000001E-11</v>
      </c>
      <c r="E38" s="8">
        <v>1.8033000000000001E-11</v>
      </c>
      <c r="F38" s="1">
        <v>4.3816999999999999E-13</v>
      </c>
      <c r="G38" s="1">
        <v>2.0838E-17</v>
      </c>
      <c r="H38" s="1">
        <v>7.8990000000000003E-11</v>
      </c>
      <c r="I38" s="1">
        <v>3.0856999999999997E-11</v>
      </c>
      <c r="J38" s="8"/>
      <c r="K38" s="1"/>
      <c r="L38" s="1"/>
      <c r="M38" s="1"/>
      <c r="N38" s="7"/>
      <c r="O38">
        <f t="shared" si="4"/>
        <v>51.05833333333333</v>
      </c>
      <c r="P38" s="6">
        <f t="shared" si="5"/>
        <v>100.75466620294131</v>
      </c>
      <c r="Q38" s="6">
        <f t="shared" si="0"/>
        <v>62.366517975334091</v>
      </c>
      <c r="R38" s="6">
        <f t="shared" si="1"/>
        <v>24.228745856267182</v>
      </c>
      <c r="S38" s="5">
        <f t="shared" si="2"/>
        <v>0</v>
      </c>
      <c r="T38" s="6">
        <f t="shared" si="6"/>
        <v>14.159402371340038</v>
      </c>
      <c r="U38" s="1">
        <f t="shared" si="6"/>
        <v>14.159402371340038</v>
      </c>
      <c r="V38" s="1">
        <f t="shared" si="6"/>
        <v>14.159402371340038</v>
      </c>
      <c r="X38" s="5"/>
      <c r="Y38" s="5"/>
      <c r="Z38" s="5"/>
      <c r="AA38" s="5"/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>
      <c r="B39" s="7">
        <v>3325.6</v>
      </c>
      <c r="C39" s="8">
        <v>1.5251000000000001E-11</v>
      </c>
      <c r="D39" s="8">
        <v>1.5251000000000001E-11</v>
      </c>
      <c r="E39" s="8">
        <v>1.5251000000000001E-11</v>
      </c>
      <c r="F39" s="1">
        <v>3.7058000000000002E-13</v>
      </c>
      <c r="G39" s="1">
        <v>1.7620999999999999E-17</v>
      </c>
      <c r="H39" s="1">
        <v>8.1018000000000004E-11</v>
      </c>
      <c r="I39" s="1">
        <v>3.1663999999999999E-11</v>
      </c>
      <c r="J39" s="8"/>
      <c r="K39" s="1"/>
      <c r="L39" s="1"/>
      <c r="M39" s="1"/>
      <c r="N39" s="7"/>
      <c r="O39">
        <f t="shared" si="4"/>
        <v>55.426666666666662</v>
      </c>
      <c r="P39" s="6">
        <f t="shared" si="5"/>
        <v>100.74320769734628</v>
      </c>
      <c r="Q39" s="6">
        <f t="shared" si="0"/>
        <v>63.905820032828622</v>
      </c>
      <c r="R39" s="6">
        <f t="shared" si="1"/>
        <v>24.862394842174908</v>
      </c>
      <c r="S39" s="5">
        <f t="shared" si="2"/>
        <v>0</v>
      </c>
      <c r="T39" s="6">
        <f t="shared" si="6"/>
        <v>11.974992822342756</v>
      </c>
      <c r="U39" s="1">
        <f t="shared" si="6"/>
        <v>11.974992822342756</v>
      </c>
      <c r="V39" s="1">
        <f t="shared" si="6"/>
        <v>11.974992822342756</v>
      </c>
      <c r="X39" s="5"/>
      <c r="Y39" s="5"/>
      <c r="Z39" s="5"/>
      <c r="AA39" s="5"/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>
      <c r="B40" s="7">
        <v>3587.7</v>
      </c>
      <c r="C40" s="8">
        <v>1.2899E-11</v>
      </c>
      <c r="D40" s="8">
        <v>1.2899E-11</v>
      </c>
      <c r="E40" s="8">
        <v>1.2899E-11</v>
      </c>
      <c r="F40" s="1">
        <v>3.1341000000000002E-13</v>
      </c>
      <c r="G40" s="1">
        <v>1.485E-17</v>
      </c>
      <c r="H40" s="1">
        <v>8.2732999999999995E-11</v>
      </c>
      <c r="I40" s="1">
        <v>3.2346000000000001E-11</v>
      </c>
      <c r="J40" s="8"/>
      <c r="K40" s="1"/>
      <c r="L40" s="1"/>
      <c r="M40" s="1"/>
      <c r="N40" s="7"/>
      <c r="O40">
        <f t="shared" si="4"/>
        <v>59.794999999999995</v>
      </c>
      <c r="P40" s="6">
        <f t="shared" si="5"/>
        <v>100.73364971128942</v>
      </c>
      <c r="Q40" s="6">
        <f t="shared" si="0"/>
        <v>65.207538107096823</v>
      </c>
      <c r="R40" s="6">
        <f t="shared" si="1"/>
        <v>25.397894935423395</v>
      </c>
      <c r="S40" s="5">
        <f t="shared" si="2"/>
        <v>0</v>
      </c>
      <c r="T40" s="6">
        <f t="shared" si="6"/>
        <v>10.128216668769207</v>
      </c>
      <c r="U40" s="1">
        <f t="shared" si="6"/>
        <v>10.128216668769207</v>
      </c>
      <c r="V40" s="1">
        <f t="shared" si="6"/>
        <v>10.128216668769207</v>
      </c>
      <c r="X40" s="5"/>
      <c r="Y40" s="5"/>
      <c r="Z40" s="5"/>
      <c r="AA40" s="5"/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>
      <c r="B41" s="7">
        <v>3849.9</v>
      </c>
      <c r="C41" s="8">
        <v>1.0909E-11</v>
      </c>
      <c r="D41" s="8">
        <v>1.0909E-11</v>
      </c>
      <c r="E41" s="8">
        <v>1.0909E-11</v>
      </c>
      <c r="F41" s="1">
        <v>2.6505999999999998E-13</v>
      </c>
      <c r="G41" s="1">
        <v>1.2563E-17</v>
      </c>
      <c r="H41" s="1">
        <v>8.4183999999999996E-11</v>
      </c>
      <c r="I41" s="1">
        <v>3.2921999999999999E-11</v>
      </c>
      <c r="J41" s="8"/>
      <c r="K41" s="1"/>
      <c r="L41" s="1"/>
      <c r="M41" s="1"/>
      <c r="N41" s="7"/>
      <c r="O41">
        <f t="shared" si="4"/>
        <v>64.165000000000006</v>
      </c>
      <c r="P41" s="6">
        <f t="shared" si="5"/>
        <v>100.72473596429955</v>
      </c>
      <c r="Q41" s="6">
        <f t="shared" si="0"/>
        <v>66.308890391029607</v>
      </c>
      <c r="R41" s="6">
        <f t="shared" si="1"/>
        <v>25.850164850764081</v>
      </c>
      <c r="S41" s="5">
        <f t="shared" si="2"/>
        <v>0</v>
      </c>
      <c r="T41" s="6">
        <f t="shared" si="6"/>
        <v>8.565680722505876</v>
      </c>
      <c r="U41" s="1">
        <f t="shared" si="6"/>
        <v>8.565680722505876</v>
      </c>
      <c r="V41" s="1">
        <f t="shared" si="6"/>
        <v>8.565680722505876</v>
      </c>
      <c r="X41" s="5"/>
      <c r="Y41" s="5"/>
      <c r="Z41" s="5"/>
      <c r="AA41" s="5"/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>
      <c r="B42" s="7">
        <v>4112</v>
      </c>
      <c r="C42" s="8">
        <v>9.2259999999999997E-12</v>
      </c>
      <c r="D42" s="8">
        <v>9.2259999999999997E-12</v>
      </c>
      <c r="E42" s="8">
        <v>9.2259999999999997E-12</v>
      </c>
      <c r="F42" s="1">
        <v>2.2418000000000001E-13</v>
      </c>
      <c r="G42" s="1">
        <v>1.066E-17</v>
      </c>
      <c r="H42" s="1">
        <v>8.5411000000000001E-11</v>
      </c>
      <c r="I42" s="1">
        <v>3.3409999999999998E-11</v>
      </c>
      <c r="J42" s="8"/>
      <c r="K42" s="1"/>
      <c r="L42" s="1"/>
      <c r="M42" s="1"/>
      <c r="N42" s="7"/>
      <c r="O42">
        <f t="shared" si="4"/>
        <v>68.533333333333331</v>
      </c>
      <c r="P42" s="6">
        <f t="shared" si="5"/>
        <v>100.71776194786301</v>
      </c>
      <c r="Q42" s="6">
        <f t="shared" si="0"/>
        <v>67.240224630517986</v>
      </c>
      <c r="R42" s="6">
        <f t="shared" si="1"/>
        <v>26.233338000648804</v>
      </c>
      <c r="S42" s="5">
        <f t="shared" si="2"/>
        <v>0</v>
      </c>
      <c r="T42" s="6">
        <f t="shared" si="6"/>
        <v>7.2441993166962328</v>
      </c>
      <c r="U42" s="1">
        <f t="shared" si="6"/>
        <v>7.2441993166962328</v>
      </c>
      <c r="V42" s="1">
        <f t="shared" si="6"/>
        <v>7.2441993166962328</v>
      </c>
      <c r="X42" s="5"/>
      <c r="Y42" s="5"/>
      <c r="Z42" s="5"/>
      <c r="AA42" s="5"/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>
      <c r="B43" s="7">
        <v>4320</v>
      </c>
      <c r="C43" s="8">
        <v>8.0755999999999992E-12</v>
      </c>
      <c r="D43" s="8">
        <v>8.0755999999999992E-12</v>
      </c>
      <c r="E43" s="8">
        <v>8.0755999999999992E-12</v>
      </c>
      <c r="F43" s="1">
        <v>1.9581E-13</v>
      </c>
      <c r="G43" s="1">
        <v>9.3021999999999997E-18</v>
      </c>
      <c r="H43" s="1">
        <v>8.6259999999999995E-11</v>
      </c>
      <c r="I43" s="1">
        <v>3.3748000000000002E-11</v>
      </c>
      <c r="J43" s="8"/>
      <c r="K43" s="1"/>
      <c r="L43" s="1"/>
      <c r="M43" s="1"/>
      <c r="N43" s="7"/>
      <c r="O43">
        <f t="shared" si="4"/>
        <v>72</v>
      </c>
      <c r="P43" s="6">
        <f t="shared" si="5"/>
        <v>100.72422302787632</v>
      </c>
      <c r="Q43" s="6">
        <f t="shared" si="0"/>
        <v>67.884578335835613</v>
      </c>
      <c r="R43" s="6">
        <f t="shared" si="1"/>
        <v>26.498732487194381</v>
      </c>
      <c r="S43" s="5">
        <f t="shared" si="2"/>
        <v>0</v>
      </c>
      <c r="T43" s="6">
        <f t="shared" si="6"/>
        <v>6.3409122048463145</v>
      </c>
      <c r="U43" s="1">
        <f t="shared" si="6"/>
        <v>6.3409122048463145</v>
      </c>
      <c r="V43" s="1">
        <f t="shared" si="6"/>
        <v>6.3409122048463145</v>
      </c>
      <c r="X43" s="5"/>
      <c r="Y43" s="5"/>
      <c r="Z43" s="5"/>
      <c r="AA43" s="5"/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>
      <c r="B44" s="7">
        <v>2961.3</v>
      </c>
      <c r="C44" s="8">
        <v>2.3497E-12</v>
      </c>
      <c r="D44" s="8">
        <v>2.3497E-12</v>
      </c>
      <c r="E44" s="8">
        <v>2.3497E-12</v>
      </c>
      <c r="F44" s="1">
        <v>5.6804000000000001E-14</v>
      </c>
      <c r="G44" s="1">
        <v>1.3920999999999999E-17</v>
      </c>
      <c r="H44" s="1">
        <v>4.2849999999999999E-11</v>
      </c>
      <c r="I44" s="1">
        <v>8.4176000000000005E-11</v>
      </c>
      <c r="J44" s="8"/>
      <c r="K44" s="1"/>
      <c r="L44" s="1"/>
      <c r="M44" s="1"/>
      <c r="N44" s="7"/>
      <c r="P44" s="6"/>
      <c r="Q44" s="6"/>
      <c r="R44" s="6"/>
      <c r="S44" s="5"/>
      <c r="T44" s="6"/>
      <c r="U44" s="1"/>
      <c r="V44" s="1"/>
      <c r="X44" s="5"/>
      <c r="Y44" s="5"/>
      <c r="Z44" s="5"/>
      <c r="AA44" s="5"/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>
      <c r="B45" s="7">
        <v>3092.4</v>
      </c>
      <c r="C45" s="8">
        <v>1.9683E-12</v>
      </c>
      <c r="D45" s="8">
        <v>1.9683E-12</v>
      </c>
      <c r="E45" s="8">
        <v>1.9683E-12</v>
      </c>
      <c r="F45" s="1">
        <v>4.7583999999999997E-14</v>
      </c>
      <c r="G45" s="1">
        <v>1.1697E-17</v>
      </c>
      <c r="H45" s="1">
        <v>4.2980999999999999E-11</v>
      </c>
      <c r="I45" s="1">
        <v>8.4435999999999999E-11</v>
      </c>
      <c r="J45" s="8"/>
      <c r="K45" s="1"/>
      <c r="L45" s="1"/>
      <c r="M45" s="1"/>
      <c r="N45" s="7"/>
      <c r="P45" s="6"/>
      <c r="Q45" s="6"/>
      <c r="R45" s="6"/>
      <c r="S45" s="5"/>
      <c r="T45" s="6"/>
      <c r="U45" s="1"/>
      <c r="V45" s="1"/>
      <c r="X45" s="5"/>
      <c r="Y45" s="5"/>
      <c r="Z45" s="5"/>
      <c r="AA45" s="5"/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>
      <c r="B46" s="7">
        <v>3223.4</v>
      </c>
      <c r="C46" s="8">
        <v>1.6488E-12</v>
      </c>
      <c r="D46" s="8">
        <v>1.6488E-12</v>
      </c>
      <c r="E46" s="8">
        <v>1.6488E-12</v>
      </c>
      <c r="F46" s="1">
        <v>3.9861000000000003E-14</v>
      </c>
      <c r="G46" s="1">
        <v>9.8357000000000007E-18</v>
      </c>
      <c r="H46" s="1">
        <v>4.3090999999999999E-11</v>
      </c>
      <c r="I46" s="1">
        <v>8.4653E-11</v>
      </c>
      <c r="J46" s="8"/>
      <c r="K46" s="1"/>
      <c r="L46" s="1"/>
      <c r="M46" s="1"/>
      <c r="N46" s="7"/>
      <c r="P46" s="6"/>
      <c r="Q46" s="6"/>
      <c r="R46" s="6"/>
      <c r="S46" s="5"/>
      <c r="T46" s="6"/>
      <c r="U46" s="1"/>
      <c r="V46" s="1"/>
      <c r="X46" s="5"/>
      <c r="Y46" s="5"/>
      <c r="Z46" s="5"/>
      <c r="AA46" s="5"/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>
      <c r="B47" s="7">
        <v>3354.5</v>
      </c>
      <c r="C47" s="8">
        <v>1.3812E-12</v>
      </c>
      <c r="D47" s="8">
        <v>1.3812E-12</v>
      </c>
      <c r="E47" s="8">
        <v>1.3812E-12</v>
      </c>
      <c r="F47" s="1">
        <v>3.3391E-14</v>
      </c>
      <c r="G47" s="1">
        <v>8.2205000000000003E-18</v>
      </c>
      <c r="H47" s="1">
        <v>4.3183E-11</v>
      </c>
      <c r="I47" s="1">
        <v>8.4834999999999997E-11</v>
      </c>
      <c r="J47" s="8"/>
      <c r="K47" s="1"/>
      <c r="L47" s="1"/>
      <c r="M47" s="1"/>
      <c r="N47" s="7"/>
      <c r="P47" s="6"/>
      <c r="Q47" s="6"/>
      <c r="R47" s="6"/>
      <c r="S47" s="5"/>
      <c r="T47" s="6"/>
      <c r="U47" s="1"/>
      <c r="V47" s="1"/>
      <c r="X47" s="5"/>
      <c r="Y47" s="5"/>
      <c r="Z47" s="5"/>
      <c r="AA47" s="5"/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>
      <c r="B48" s="7">
        <v>3485.6</v>
      </c>
      <c r="C48" s="8">
        <v>1.157E-12</v>
      </c>
      <c r="D48" s="8">
        <v>1.157E-12</v>
      </c>
      <c r="E48" s="8">
        <v>1.157E-12</v>
      </c>
      <c r="F48" s="1">
        <v>2.7971E-14</v>
      </c>
      <c r="G48" s="1">
        <v>6.8680999999999997E-18</v>
      </c>
      <c r="H48" s="1">
        <v>4.3260000000000001E-11</v>
      </c>
      <c r="I48" s="1">
        <v>8.4988000000000004E-11</v>
      </c>
      <c r="J48" s="8"/>
      <c r="K48" s="1"/>
      <c r="L48" s="1"/>
      <c r="M48" s="1"/>
      <c r="N48" s="7"/>
      <c r="P48" s="6"/>
      <c r="Q48" s="6"/>
      <c r="R48" s="6"/>
      <c r="S48" s="5"/>
      <c r="T48" s="6"/>
      <c r="U48" s="1"/>
      <c r="V48" s="1"/>
      <c r="X48" s="5"/>
      <c r="Y48" s="5"/>
      <c r="Z48" s="5"/>
      <c r="AA48" s="5"/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>
      <c r="B49" s="7">
        <v>3616.7</v>
      </c>
      <c r="C49" s="8">
        <v>9.6921000000000007E-13</v>
      </c>
      <c r="D49" s="8">
        <v>9.6921000000000007E-13</v>
      </c>
      <c r="E49" s="8">
        <v>9.6921000000000007E-13</v>
      </c>
      <c r="F49" s="1">
        <v>2.3431000000000001E-14</v>
      </c>
      <c r="G49" s="1">
        <v>5.7689000000000002E-18</v>
      </c>
      <c r="H49" s="1">
        <v>4.3324000000000001E-11</v>
      </c>
      <c r="I49" s="1">
        <v>8.5116000000000004E-11</v>
      </c>
      <c r="J49" s="8"/>
      <c r="K49" s="1"/>
      <c r="L49" s="1"/>
      <c r="M49" s="1"/>
      <c r="N49" s="7"/>
      <c r="P49" s="6"/>
      <c r="Q49" s="6"/>
      <c r="R49" s="6"/>
      <c r="S49" s="5"/>
      <c r="T49" s="6"/>
      <c r="U49" s="1"/>
      <c r="V49" s="1"/>
      <c r="X49" s="5"/>
      <c r="Y49" s="5"/>
      <c r="Z49" s="5"/>
      <c r="AA49" s="5"/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>
      <c r="B50" s="7">
        <v>3747.7</v>
      </c>
      <c r="C50" s="8">
        <v>8.1188999999999999E-13</v>
      </c>
      <c r="D50" s="8">
        <v>8.1188999999999999E-13</v>
      </c>
      <c r="E50" s="8">
        <v>8.1188999999999999E-13</v>
      </c>
      <c r="F50" s="1">
        <v>1.9628000000000001E-14</v>
      </c>
      <c r="G50" s="1">
        <v>4.8415999999999997E-18</v>
      </c>
      <c r="H50" s="1">
        <v>4.3377999999999999E-11</v>
      </c>
      <c r="I50" s="1">
        <v>8.5223000000000004E-11</v>
      </c>
      <c r="J50" s="8"/>
      <c r="K50" s="1"/>
      <c r="L50" s="1"/>
      <c r="M50" s="1"/>
      <c r="N50" s="7"/>
      <c r="P50" s="6"/>
      <c r="Q50" s="6"/>
      <c r="R50" s="6"/>
      <c r="S50" s="5"/>
      <c r="T50" s="6"/>
      <c r="U50" s="1"/>
      <c r="V50" s="1"/>
      <c r="X50" s="5"/>
      <c r="Y50" s="5"/>
      <c r="Z50" s="5"/>
      <c r="AA50" s="5"/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>
      <c r="B51" s="7">
        <v>3878.8</v>
      </c>
      <c r="C51" s="8">
        <v>6.8011000000000002E-13</v>
      </c>
      <c r="D51" s="8">
        <v>6.8011000000000002E-13</v>
      </c>
      <c r="E51" s="8">
        <v>6.8011000000000002E-13</v>
      </c>
      <c r="F51" s="1">
        <v>1.6442E-14</v>
      </c>
      <c r="G51" s="1">
        <v>4.0556000000000002E-18</v>
      </c>
      <c r="H51" s="1">
        <v>4.3422999999999997E-11</v>
      </c>
      <c r="I51" s="1">
        <v>8.5313E-11</v>
      </c>
      <c r="J51" s="8"/>
      <c r="K51" s="1"/>
      <c r="L51" s="1"/>
      <c r="M51" s="1"/>
      <c r="N51" s="7"/>
      <c r="P51" s="6"/>
      <c r="Q51" s="6"/>
      <c r="R51" s="6"/>
      <c r="S51" s="5"/>
      <c r="T51" s="6"/>
      <c r="U51" s="1"/>
      <c r="V51" s="1"/>
      <c r="X51" s="5"/>
      <c r="Y51" s="5"/>
      <c r="Z51" s="5"/>
      <c r="AA51" s="5"/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>
      <c r="B52" s="7">
        <v>4009.9</v>
      </c>
      <c r="C52" s="8">
        <v>5.6972000000000002E-13</v>
      </c>
      <c r="D52" s="8">
        <v>5.6972000000000002E-13</v>
      </c>
      <c r="E52" s="8">
        <v>5.6972000000000002E-13</v>
      </c>
      <c r="F52" s="1">
        <v>1.3773E-14</v>
      </c>
      <c r="G52" s="1">
        <v>3.3997000000000001E-18</v>
      </c>
      <c r="H52" s="1">
        <v>4.3461E-11</v>
      </c>
      <c r="I52" s="1">
        <v>8.5387999999999998E-11</v>
      </c>
      <c r="J52" s="8"/>
      <c r="K52" s="1"/>
      <c r="L52" s="1"/>
      <c r="M52" s="1"/>
      <c r="N52" s="7"/>
      <c r="P52" s="6"/>
      <c r="Q52" s="6"/>
      <c r="R52" s="6"/>
      <c r="S52" s="5"/>
      <c r="T52" s="6"/>
      <c r="U52" s="1"/>
      <c r="V52" s="1"/>
      <c r="X52" s="5"/>
      <c r="Y52" s="5"/>
      <c r="Z52" s="5"/>
      <c r="AA52" s="5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>
      <c r="B53" s="7">
        <v>4140.8999999999996</v>
      </c>
      <c r="C53" s="8">
        <v>4.7725000000000001E-13</v>
      </c>
      <c r="D53" s="8">
        <v>4.7725000000000001E-13</v>
      </c>
      <c r="E53" s="8">
        <v>4.7725000000000001E-13</v>
      </c>
      <c r="F53" s="1">
        <v>1.1537999999999999E-14</v>
      </c>
      <c r="G53" s="1">
        <v>2.8424E-18</v>
      </c>
      <c r="H53" s="1">
        <v>4.3493000000000003E-11</v>
      </c>
      <c r="I53" s="1">
        <v>8.5450999999999995E-11</v>
      </c>
      <c r="J53" s="8"/>
      <c r="K53" s="1"/>
      <c r="L53" s="1"/>
      <c r="M53" s="1"/>
      <c r="N53" s="7"/>
      <c r="P53" s="6"/>
      <c r="Q53" s="6"/>
      <c r="R53" s="6"/>
      <c r="S53" s="5"/>
      <c r="T53" s="6"/>
      <c r="U53" s="1"/>
      <c r="V53" s="1"/>
      <c r="X53" s="5"/>
      <c r="Y53" s="5"/>
      <c r="Z53" s="5"/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>
      <c r="B54" s="7">
        <v>4272</v>
      </c>
      <c r="C54" s="8">
        <v>3.9977999999999999E-13</v>
      </c>
      <c r="D54" s="8">
        <v>3.9977999999999999E-13</v>
      </c>
      <c r="E54" s="8">
        <v>3.9977999999999999E-13</v>
      </c>
      <c r="F54" s="1">
        <v>9.6648999999999997E-15</v>
      </c>
      <c r="G54" s="1">
        <v>2.3803E-18</v>
      </c>
      <c r="H54" s="1">
        <v>4.3520000000000002E-11</v>
      </c>
      <c r="I54" s="1">
        <v>8.5503999999999998E-11</v>
      </c>
      <c r="J54" s="8"/>
      <c r="K54" s="1"/>
      <c r="L54" s="1"/>
      <c r="M54" s="1"/>
      <c r="N54" s="7"/>
      <c r="P54" s="6"/>
      <c r="Q54" s="6"/>
      <c r="R54" s="6"/>
      <c r="S54" s="5"/>
      <c r="T54" s="6"/>
      <c r="U54" s="1"/>
      <c r="V54" s="1"/>
      <c r="X54" s="5"/>
      <c r="Y54" s="5"/>
      <c r="Z54" s="5"/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>
      <c r="B55" s="7">
        <v>4320</v>
      </c>
      <c r="C55" s="8">
        <v>3.7456999999999999E-13</v>
      </c>
      <c r="D55" s="8">
        <v>3.7456999999999999E-13</v>
      </c>
      <c r="E55" s="8">
        <v>3.7456999999999999E-13</v>
      </c>
      <c r="F55" s="1">
        <v>9.0553999999999996E-15</v>
      </c>
      <c r="G55" s="1">
        <v>2.2316000000000001E-18</v>
      </c>
      <c r="H55" s="1">
        <v>4.3528E-11</v>
      </c>
      <c r="I55" s="1">
        <v>8.5521000000000001E-11</v>
      </c>
      <c r="J55" s="8"/>
      <c r="K55" s="1"/>
      <c r="L55" s="1"/>
      <c r="M55" s="1"/>
      <c r="N55" s="7"/>
      <c r="P55" s="6"/>
      <c r="Q55" s="6"/>
      <c r="R55" s="6"/>
      <c r="S55" s="5"/>
      <c r="T55" s="6"/>
      <c r="U55" s="1"/>
      <c r="V55" s="1"/>
      <c r="X55" s="5"/>
      <c r="Y55" s="5"/>
      <c r="Z55" s="5"/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>
      <c r="B56" s="7">
        <v>180</v>
      </c>
      <c r="C56" s="8">
        <v>1.139E-10</v>
      </c>
      <c r="D56" s="8">
        <v>1.139E-10</v>
      </c>
      <c r="E56" s="8">
        <v>1.139E-10</v>
      </c>
      <c r="J56" s="8"/>
      <c r="K56" s="1"/>
      <c r="L56" s="1"/>
      <c r="N56" s="7"/>
      <c r="P56" s="6"/>
      <c r="Q56" s="6"/>
      <c r="R56" s="6"/>
      <c r="S56" s="5"/>
      <c r="T56" s="6"/>
      <c r="U56" s="1"/>
      <c r="V56" s="1"/>
      <c r="X56" s="5"/>
      <c r="Y56" s="5"/>
      <c r="Z56" s="5"/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>
      <c r="B57" s="7">
        <v>185</v>
      </c>
      <c r="C57" s="8">
        <v>1.136E-10</v>
      </c>
      <c r="D57" s="8">
        <v>1.136E-10</v>
      </c>
      <c r="E57" s="8">
        <v>1.136E-10</v>
      </c>
      <c r="J57" s="8"/>
      <c r="K57" s="1"/>
      <c r="L57" s="1"/>
      <c r="N57" s="7"/>
      <c r="P57" s="6"/>
      <c r="Q57" s="6"/>
      <c r="R57" s="6"/>
      <c r="S57" s="5"/>
      <c r="T57" s="6"/>
      <c r="U57" s="1"/>
      <c r="V57" s="1"/>
      <c r="X57" s="5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>
      <c r="B58" s="7">
        <v>190</v>
      </c>
      <c r="C58" s="8">
        <v>1.133E-10</v>
      </c>
      <c r="D58" s="8">
        <v>1.133E-10</v>
      </c>
      <c r="E58" s="8">
        <v>1.133E-10</v>
      </c>
      <c r="J58" s="8"/>
      <c r="K58" s="1"/>
      <c r="L58" s="1"/>
      <c r="N58" s="7"/>
      <c r="P58" s="6"/>
      <c r="Q58" s="6"/>
      <c r="R58" s="6"/>
      <c r="S58" s="5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>
      <c r="B59" s="7">
        <v>195</v>
      </c>
      <c r="C59" s="8">
        <v>1.13E-10</v>
      </c>
      <c r="D59" s="8">
        <v>1.13E-10</v>
      </c>
      <c r="E59" s="8">
        <v>1.13E-10</v>
      </c>
      <c r="J59" s="8"/>
      <c r="K59" s="1"/>
      <c r="L59" s="1"/>
      <c r="N59" s="7"/>
      <c r="P59" s="6"/>
      <c r="Q59" s="6"/>
      <c r="R59" s="6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>
      <c r="B60" s="7">
        <v>200</v>
      </c>
      <c r="C60" s="8">
        <v>1.127E-10</v>
      </c>
      <c r="D60" s="8">
        <v>1.127E-10</v>
      </c>
      <c r="E60" s="8">
        <v>1.127E-10</v>
      </c>
      <c r="J60" s="8"/>
      <c r="K60" s="1"/>
      <c r="L60" s="1"/>
      <c r="N60" s="7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>
      <c r="B61" s="7">
        <v>205</v>
      </c>
      <c r="C61" s="8">
        <v>1.1241E-10</v>
      </c>
      <c r="D61" s="8">
        <v>1.1241E-10</v>
      </c>
      <c r="E61" s="8">
        <v>1.1241E-10</v>
      </c>
      <c r="J61" s="8"/>
      <c r="K61" s="1"/>
      <c r="L61" s="1"/>
      <c r="N61" s="7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>
      <c r="B62" s="7">
        <v>210</v>
      </c>
      <c r="C62" s="8">
        <v>1.1211E-10</v>
      </c>
      <c r="D62" s="8">
        <v>1.1211E-10</v>
      </c>
      <c r="E62" s="8">
        <v>1.1211E-10</v>
      </c>
      <c r="J62" s="8"/>
      <c r="K62" s="1"/>
      <c r="L62" s="1"/>
      <c r="N62" s="7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>
      <c r="B63" s="7">
        <v>215</v>
      </c>
      <c r="C63" s="8">
        <v>1.1181E-10</v>
      </c>
      <c r="D63" s="8">
        <v>1.1181E-10</v>
      </c>
      <c r="E63" s="8">
        <v>1.1181E-10</v>
      </c>
      <c r="J63" s="8"/>
      <c r="K63" s="1"/>
      <c r="L63" s="1"/>
      <c r="N63" s="7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>
      <c r="B64" s="7">
        <v>220</v>
      </c>
      <c r="C64" s="8">
        <v>1.1152000000000001E-10</v>
      </c>
      <c r="D64" s="8">
        <v>1.1152000000000001E-10</v>
      </c>
      <c r="E64" s="8">
        <v>1.1152000000000001E-10</v>
      </c>
      <c r="J64" s="8"/>
      <c r="K64" s="1"/>
      <c r="L64" s="1"/>
      <c r="N64" s="7"/>
      <c r="P64" s="6"/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2:65">
      <c r="B65" s="7">
        <v>225</v>
      </c>
      <c r="C65" s="8">
        <v>1.1122E-10</v>
      </c>
      <c r="D65" s="8">
        <v>1.1122E-10</v>
      </c>
      <c r="E65" s="8">
        <v>1.1122E-10</v>
      </c>
      <c r="J65" s="8"/>
      <c r="K65" s="1"/>
      <c r="L65" s="1"/>
      <c r="N65" s="7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2:65">
      <c r="B66" s="7">
        <v>230</v>
      </c>
      <c r="C66" s="8">
        <v>1.1093E-10</v>
      </c>
      <c r="D66" s="8">
        <v>1.1093E-10</v>
      </c>
      <c r="E66" s="8">
        <v>1.1093E-10</v>
      </c>
      <c r="J66" s="8"/>
      <c r="K66" s="1"/>
      <c r="L66" s="1"/>
      <c r="N66" s="7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2:65">
      <c r="B67" s="7">
        <v>235</v>
      </c>
      <c r="C67" s="8">
        <v>1.1063E-10</v>
      </c>
      <c r="D67" s="8">
        <v>1.1063E-10</v>
      </c>
      <c r="E67" s="8">
        <v>1.1063E-10</v>
      </c>
      <c r="J67" s="8"/>
      <c r="K67" s="1"/>
      <c r="L67" s="1"/>
      <c r="N67" s="7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2:65">
      <c r="B68" s="7">
        <v>240</v>
      </c>
      <c r="C68" s="8">
        <v>1.1034E-10</v>
      </c>
      <c r="D68" s="8">
        <v>1.1034E-10</v>
      </c>
      <c r="E68" s="8">
        <v>1.1034E-10</v>
      </c>
      <c r="J68" s="8"/>
      <c r="K68" s="1"/>
      <c r="L68" s="1"/>
      <c r="N68" s="7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2:65">
      <c r="B69" s="7">
        <v>245</v>
      </c>
      <c r="C69" s="8">
        <v>1.1005E-10</v>
      </c>
      <c r="D69" s="8">
        <v>1.1005E-10</v>
      </c>
      <c r="E69" s="8">
        <v>1.1005E-10</v>
      </c>
      <c r="J69" s="8"/>
      <c r="K69" s="1"/>
      <c r="L69" s="1"/>
      <c r="N69" s="7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2:65">
      <c r="B70" s="7">
        <v>250</v>
      </c>
      <c r="C70" s="8">
        <v>1.0976E-10</v>
      </c>
      <c r="D70" s="8">
        <v>1.0976E-10</v>
      </c>
      <c r="E70" s="8">
        <v>1.0976E-10</v>
      </c>
      <c r="J70" s="8"/>
      <c r="K70" s="1"/>
      <c r="L70" s="1"/>
      <c r="N70" s="7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2:65">
      <c r="B71" s="7">
        <v>255</v>
      </c>
      <c r="C71" s="8">
        <v>1.0947E-10</v>
      </c>
      <c r="D71" s="8">
        <v>1.0947E-10</v>
      </c>
      <c r="E71" s="8">
        <v>1.0947E-10</v>
      </c>
      <c r="J71" s="8"/>
      <c r="K71" s="1"/>
      <c r="L71" s="1"/>
      <c r="N71" s="7"/>
      <c r="P71" s="6"/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2:65">
      <c r="B72" s="7">
        <v>260</v>
      </c>
      <c r="C72" s="8">
        <v>1.0918E-10</v>
      </c>
      <c r="D72" s="8">
        <v>1.0918E-10</v>
      </c>
      <c r="E72" s="8">
        <v>1.0918E-10</v>
      </c>
      <c r="J72" s="8"/>
      <c r="K72" s="1"/>
      <c r="L72" s="1"/>
      <c r="N72" s="7"/>
      <c r="P72" s="6"/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2:65">
      <c r="B73" s="7">
        <v>265</v>
      </c>
      <c r="C73" s="8">
        <v>1.0889E-10</v>
      </c>
      <c r="D73" s="8">
        <v>1.0889E-10</v>
      </c>
      <c r="E73" s="8">
        <v>1.0889E-10</v>
      </c>
      <c r="J73" s="8"/>
      <c r="K73" s="1"/>
      <c r="L73" s="1"/>
      <c r="N73" s="7"/>
      <c r="P73" s="6"/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2:65">
      <c r="B74" s="7">
        <v>270</v>
      </c>
      <c r="C74" s="8">
        <v>1.086E-10</v>
      </c>
      <c r="D74" s="8">
        <v>1.086E-10</v>
      </c>
      <c r="E74" s="8">
        <v>1.086E-10</v>
      </c>
      <c r="J74" s="8"/>
      <c r="K74" s="1"/>
      <c r="L74" s="1"/>
      <c r="N74" s="7"/>
      <c r="P74" s="6"/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2:65">
      <c r="B75" s="7">
        <v>275</v>
      </c>
      <c r="C75" s="8">
        <v>1.0831E-10</v>
      </c>
      <c r="D75" s="8">
        <v>1.0831E-10</v>
      </c>
      <c r="E75" s="8">
        <v>1.0831E-10</v>
      </c>
      <c r="J75" s="8"/>
      <c r="K75" s="1"/>
      <c r="L75" s="1"/>
      <c r="N75" s="7"/>
      <c r="P75" s="6"/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2:65">
      <c r="B76" s="7">
        <v>280</v>
      </c>
      <c r="C76" s="8">
        <v>1.0802000000000001E-10</v>
      </c>
      <c r="D76" s="8">
        <v>1.0802000000000001E-10</v>
      </c>
      <c r="E76" s="8">
        <v>1.0802000000000001E-10</v>
      </c>
      <c r="J76" s="8"/>
      <c r="K76" s="1"/>
      <c r="L76" s="1"/>
      <c r="N76" s="7"/>
      <c r="P76" s="6"/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2:65">
      <c r="B77" s="7">
        <v>285</v>
      </c>
      <c r="C77" s="8">
        <v>1.0773E-10</v>
      </c>
      <c r="D77" s="8">
        <v>1.0773E-10</v>
      </c>
      <c r="E77" s="8">
        <v>1.0773E-10</v>
      </c>
      <c r="J77" s="8"/>
      <c r="K77" s="1"/>
      <c r="L77" s="1"/>
      <c r="N77" s="7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2:65">
      <c r="B78" s="7">
        <v>290</v>
      </c>
      <c r="C78" s="8">
        <v>1.0745E-10</v>
      </c>
      <c r="D78" s="8">
        <v>1.0745E-10</v>
      </c>
      <c r="E78" s="8">
        <v>1.0745E-10</v>
      </c>
      <c r="J78" s="8"/>
      <c r="K78" s="1"/>
      <c r="L78" s="1"/>
      <c r="N78" s="7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2:65">
      <c r="B79" s="7">
        <v>295</v>
      </c>
      <c r="C79" s="8">
        <v>1.0715999999999999E-10</v>
      </c>
      <c r="D79" s="8">
        <v>1.0715999999999999E-10</v>
      </c>
      <c r="E79" s="8">
        <v>1.0715999999999999E-10</v>
      </c>
      <c r="J79" s="8"/>
      <c r="K79" s="1"/>
      <c r="L79" s="1"/>
      <c r="N79" s="7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2:65">
      <c r="B80" s="7">
        <v>300</v>
      </c>
      <c r="C80" s="8">
        <v>1.0688E-10</v>
      </c>
      <c r="D80" s="8">
        <v>1.0688E-10</v>
      </c>
      <c r="E80" s="8">
        <v>1.0688E-10</v>
      </c>
      <c r="J80" s="8"/>
      <c r="K80" s="1"/>
      <c r="L80" s="1"/>
      <c r="N80" s="7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2:65">
      <c r="B81" s="7">
        <v>310</v>
      </c>
      <c r="C81" s="8">
        <v>1.0631000000000001E-10</v>
      </c>
      <c r="D81" s="8">
        <v>1.0631000000000001E-10</v>
      </c>
      <c r="E81" s="8">
        <v>1.0631000000000001E-10</v>
      </c>
      <c r="J81" s="8"/>
      <c r="K81" s="1"/>
      <c r="L81" s="1"/>
      <c r="N81" s="7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2:65">
      <c r="B82" s="7">
        <v>320</v>
      </c>
      <c r="C82" s="8">
        <v>1.0575E-10</v>
      </c>
      <c r="D82" s="8">
        <v>1.0575E-10</v>
      </c>
      <c r="E82" s="8">
        <v>1.0575E-10</v>
      </c>
      <c r="J82" s="8"/>
      <c r="K82" s="1"/>
      <c r="L82" s="1"/>
      <c r="N82" s="7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2:65">
      <c r="B83" s="7">
        <v>330</v>
      </c>
      <c r="C83" s="8">
        <v>1.0518000000000001E-10</v>
      </c>
      <c r="D83" s="8">
        <v>1.0518000000000001E-10</v>
      </c>
      <c r="E83" s="8">
        <v>1.0518000000000001E-10</v>
      </c>
      <c r="J83" s="8"/>
      <c r="K83" s="1"/>
      <c r="L83" s="1"/>
      <c r="N83" s="7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2:65">
      <c r="B84" s="7">
        <v>340</v>
      </c>
      <c r="C84" s="8">
        <v>1.0463E-10</v>
      </c>
      <c r="D84" s="8">
        <v>1.0463E-10</v>
      </c>
      <c r="E84" s="8">
        <v>1.0463E-10</v>
      </c>
      <c r="J84" s="8"/>
      <c r="K84" s="1"/>
      <c r="L84" s="1"/>
      <c r="N84" s="7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2:65">
      <c r="B85" s="7">
        <v>350</v>
      </c>
      <c r="C85" s="8">
        <v>1.0407E-10</v>
      </c>
      <c r="D85" s="8">
        <v>1.0407E-10</v>
      </c>
      <c r="E85" s="8">
        <v>1.0407E-10</v>
      </c>
      <c r="J85" s="8"/>
      <c r="K85" s="1"/>
      <c r="L85" s="1"/>
      <c r="N85" s="7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2:65">
      <c r="B86" s="7">
        <v>360</v>
      </c>
      <c r="C86" s="8">
        <v>1.0352E-10</v>
      </c>
      <c r="D86" s="8">
        <v>1.0352E-10</v>
      </c>
      <c r="E86" s="8">
        <v>1.0352E-10</v>
      </c>
      <c r="J86" s="8"/>
      <c r="K86" s="1"/>
      <c r="L86" s="1"/>
      <c r="N86" s="7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2:65">
      <c r="B87" s="7">
        <v>370</v>
      </c>
      <c r="C87" s="8">
        <v>1.0296999999999999E-10</v>
      </c>
      <c r="D87" s="8">
        <v>1.0296999999999999E-10</v>
      </c>
      <c r="E87" s="8">
        <v>1.0296999999999999E-10</v>
      </c>
      <c r="J87" s="8"/>
      <c r="K87" s="1"/>
      <c r="L87" s="1"/>
      <c r="N87" s="7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2:65">
      <c r="B88" s="7">
        <v>380</v>
      </c>
      <c r="C88" s="8">
        <v>1.0241999999999999E-10</v>
      </c>
      <c r="D88" s="8">
        <v>1.0241999999999999E-10</v>
      </c>
      <c r="E88" s="8">
        <v>1.0241999999999999E-10</v>
      </c>
      <c r="J88" s="8"/>
      <c r="K88" s="1"/>
      <c r="L88" s="1"/>
      <c r="N88" s="7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2:65">
      <c r="B89" s="7">
        <v>390</v>
      </c>
      <c r="C89" s="8">
        <v>1.0188E-10</v>
      </c>
      <c r="D89" s="8">
        <v>1.0188E-10</v>
      </c>
      <c r="E89" s="8">
        <v>1.0188E-10</v>
      </c>
      <c r="J89" s="8"/>
      <c r="K89" s="1"/>
      <c r="L89" s="1"/>
      <c r="N89" s="7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2:65">
      <c r="B90" s="7">
        <v>400</v>
      </c>
      <c r="C90" s="8">
        <v>1.0133E-10</v>
      </c>
      <c r="D90" s="8">
        <v>1.0133E-10</v>
      </c>
      <c r="E90" s="8">
        <v>1.0133E-10</v>
      </c>
      <c r="J90" s="8"/>
      <c r="K90" s="1"/>
      <c r="L90" s="1"/>
      <c r="N90" s="7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2:65">
      <c r="B91" s="7">
        <v>410</v>
      </c>
      <c r="C91" s="8">
        <v>1.008E-10</v>
      </c>
      <c r="D91" s="8">
        <v>1.008E-10</v>
      </c>
      <c r="E91" s="8">
        <v>1.008E-10</v>
      </c>
      <c r="J91" s="8"/>
      <c r="K91" s="1"/>
      <c r="L91" s="1"/>
      <c r="N91" s="7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2:65">
      <c r="B92" s="7">
        <v>420</v>
      </c>
      <c r="C92" s="8">
        <v>1.0026E-10</v>
      </c>
      <c r="D92" s="8">
        <v>1.0026E-10</v>
      </c>
      <c r="E92" s="8">
        <v>1.0026E-10</v>
      </c>
      <c r="J92" s="8"/>
      <c r="K92" s="1"/>
      <c r="L92" s="1"/>
      <c r="N92" s="7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2:65">
      <c r="B93" s="7">
        <v>430</v>
      </c>
      <c r="C93" s="8">
        <v>9.9727999999999997E-11</v>
      </c>
      <c r="D93" s="8">
        <v>9.9727999999999997E-11</v>
      </c>
      <c r="E93" s="8">
        <v>9.9727999999999997E-11</v>
      </c>
      <c r="J93" s="8"/>
      <c r="K93" s="1"/>
      <c r="L93" s="1"/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2:65">
      <c r="B94" s="7">
        <v>440</v>
      </c>
      <c r="C94" s="8">
        <v>9.9198E-11</v>
      </c>
      <c r="D94" s="8">
        <v>9.9198E-11</v>
      </c>
      <c r="E94" s="8">
        <v>9.9198E-11</v>
      </c>
      <c r="J94" s="8"/>
      <c r="K94" s="1"/>
      <c r="L94" s="1"/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2:65">
      <c r="B95" s="7">
        <v>450</v>
      </c>
      <c r="C95" s="8">
        <v>9.8671000000000002E-11</v>
      </c>
      <c r="D95" s="8">
        <v>9.8671000000000002E-11</v>
      </c>
      <c r="E95" s="8">
        <v>9.8671000000000002E-11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2:65">
      <c r="B96" s="7">
        <v>460</v>
      </c>
      <c r="C96" s="8">
        <v>9.8147000000000005E-11</v>
      </c>
      <c r="D96" s="8">
        <v>9.8147000000000005E-11</v>
      </c>
      <c r="E96" s="8">
        <v>9.8147000000000005E-11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>
      <c r="B97" s="7">
        <v>470</v>
      </c>
      <c r="C97" s="8">
        <v>9.7625999999999995E-11</v>
      </c>
      <c r="D97" s="8">
        <v>9.7625999999999995E-11</v>
      </c>
      <c r="E97" s="8">
        <v>9.7625999999999995E-11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>
      <c r="B98" s="7">
        <v>480</v>
      </c>
      <c r="C98" s="8">
        <v>9.7107000000000001E-11</v>
      </c>
      <c r="D98" s="8">
        <v>9.7107000000000001E-11</v>
      </c>
      <c r="E98" s="8">
        <v>9.7107000000000001E-11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>
      <c r="B99" s="7">
        <v>490</v>
      </c>
      <c r="C99" s="8">
        <v>9.6590999999999995E-11</v>
      </c>
      <c r="D99" s="8">
        <v>9.6590999999999995E-11</v>
      </c>
      <c r="E99" s="8">
        <v>9.6590999999999995E-11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>
      <c r="B100" s="7">
        <v>500</v>
      </c>
      <c r="C100" s="8">
        <v>9.6078000000000002E-11</v>
      </c>
      <c r="D100" s="8">
        <v>9.6078000000000002E-11</v>
      </c>
      <c r="E100" s="8">
        <v>9.6078000000000002E-11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>
      <c r="B101" s="7">
        <v>510</v>
      </c>
      <c r="C101" s="8">
        <v>9.5567999999999995E-11</v>
      </c>
      <c r="D101" s="8">
        <v>9.5567999999999995E-11</v>
      </c>
      <c r="E101" s="8">
        <v>9.5567999999999995E-11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>
      <c r="B102" s="7">
        <v>520</v>
      </c>
      <c r="C102" s="8">
        <v>9.5060000000000006E-11</v>
      </c>
      <c r="D102" s="8">
        <v>9.5060000000000006E-11</v>
      </c>
      <c r="E102" s="8">
        <v>9.5060000000000006E-11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>
      <c r="B103" s="7">
        <v>530</v>
      </c>
      <c r="C103" s="8">
        <v>9.4555999999999999E-11</v>
      </c>
      <c r="D103" s="8">
        <v>9.4555999999999999E-11</v>
      </c>
      <c r="E103" s="8">
        <v>9.4555999999999999E-11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>
      <c r="B104" s="7">
        <v>540</v>
      </c>
      <c r="C104" s="8">
        <v>9.4053000000000001E-11</v>
      </c>
      <c r="D104" s="8">
        <v>9.4053000000000001E-11</v>
      </c>
      <c r="E104" s="8">
        <v>9.4053000000000001E-11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>
      <c r="B105" s="7">
        <v>550</v>
      </c>
      <c r="C105" s="8">
        <v>9.3553999999999998E-11</v>
      </c>
      <c r="D105" s="8">
        <v>9.3553999999999998E-11</v>
      </c>
      <c r="E105" s="8">
        <v>9.3553999999999998E-11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>
      <c r="B106" s="7">
        <v>560</v>
      </c>
      <c r="C106" s="8">
        <v>9.3057E-11</v>
      </c>
      <c r="D106" s="8">
        <v>9.3057E-11</v>
      </c>
      <c r="E106" s="8">
        <v>9.3057E-11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>
      <c r="B107" s="7">
        <v>570</v>
      </c>
      <c r="C107" s="8">
        <v>9.2563000000000001E-11</v>
      </c>
      <c r="D107" s="8">
        <v>9.2563000000000001E-11</v>
      </c>
      <c r="E107" s="8">
        <v>9.2563000000000001E-11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>
      <c r="B108" s="7">
        <v>580</v>
      </c>
      <c r="C108" s="8">
        <v>9.2072000000000003E-11</v>
      </c>
      <c r="D108" s="8">
        <v>9.2072000000000003E-11</v>
      </c>
      <c r="E108" s="8">
        <v>9.2072000000000003E-11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>
      <c r="B109" s="7">
        <v>590</v>
      </c>
      <c r="C109" s="8">
        <v>9.1582999999999995E-11</v>
      </c>
      <c r="D109" s="8">
        <v>9.1582999999999995E-11</v>
      </c>
      <c r="E109" s="8">
        <v>9.1582999999999995E-11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>
      <c r="B110" s="7">
        <v>600</v>
      </c>
      <c r="C110" s="8">
        <v>9.1097000000000001E-11</v>
      </c>
      <c r="D110" s="8">
        <v>9.1097000000000001E-11</v>
      </c>
      <c r="E110" s="8">
        <v>9.1097000000000001E-11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>
      <c r="B111" s="7">
        <v>610</v>
      </c>
      <c r="C111" s="8">
        <v>9.0612999999999998E-11</v>
      </c>
      <c r="D111" s="8">
        <v>9.0612999999999998E-11</v>
      </c>
      <c r="E111" s="8">
        <v>9.0612999999999998E-11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>
      <c r="B112" s="7">
        <v>620</v>
      </c>
      <c r="C112" s="8">
        <v>9.0131999999999994E-11</v>
      </c>
      <c r="D112" s="8">
        <v>9.0131999999999994E-11</v>
      </c>
      <c r="E112" s="8">
        <v>9.0131999999999994E-11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>
      <c r="B113" s="7">
        <v>630</v>
      </c>
      <c r="C113" s="8">
        <v>8.9654000000000004E-11</v>
      </c>
      <c r="D113" s="8">
        <v>8.9654000000000004E-11</v>
      </c>
      <c r="E113" s="8">
        <v>8.9654000000000004E-11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>
      <c r="B114" s="7">
        <v>640</v>
      </c>
      <c r="C114" s="8">
        <v>8.9178000000000005E-11</v>
      </c>
      <c r="D114" s="8">
        <v>8.9178000000000005E-11</v>
      </c>
      <c r="E114" s="8">
        <v>8.9178000000000005E-11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>
      <c r="B115" s="7">
        <v>650</v>
      </c>
      <c r="C115" s="8">
        <v>8.8705000000000005E-11</v>
      </c>
      <c r="D115" s="8">
        <v>8.8705000000000005E-11</v>
      </c>
      <c r="E115" s="8">
        <v>8.8705000000000005E-11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>
      <c r="B116" s="7">
        <v>660</v>
      </c>
      <c r="C116" s="8">
        <v>8.8233999999999997E-11</v>
      </c>
      <c r="D116" s="8">
        <v>8.8233999999999997E-11</v>
      </c>
      <c r="E116" s="8">
        <v>8.8233999999999997E-11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>
      <c r="B117" s="7">
        <v>670</v>
      </c>
      <c r="C117" s="8">
        <v>8.7766000000000002E-11</v>
      </c>
      <c r="D117" s="8">
        <v>8.7766000000000002E-11</v>
      </c>
      <c r="E117" s="8">
        <v>8.7766000000000002E-11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>
      <c r="B118" s="7">
        <v>680</v>
      </c>
      <c r="C118" s="8">
        <v>8.7299999999999998E-11</v>
      </c>
      <c r="D118" s="8">
        <v>8.7299999999999998E-11</v>
      </c>
      <c r="E118" s="8">
        <v>8.7299999999999998E-11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>
      <c r="B119" s="7">
        <v>690</v>
      </c>
      <c r="C119" s="8">
        <v>8.6836999999999994E-11</v>
      </c>
      <c r="D119" s="8">
        <v>8.6836999999999994E-11</v>
      </c>
      <c r="E119" s="8">
        <v>8.6836999999999994E-11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>
      <c r="B120" s="7">
        <v>700</v>
      </c>
      <c r="C120" s="8">
        <v>8.6375999999999995E-11</v>
      </c>
      <c r="D120" s="8">
        <v>8.6375999999999995E-11</v>
      </c>
      <c r="E120" s="8">
        <v>8.6375999999999995E-11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>
      <c r="B121" s="7">
        <v>720</v>
      </c>
      <c r="C121" s="8">
        <v>8.5461000000000003E-11</v>
      </c>
      <c r="D121" s="8">
        <v>8.5461000000000003E-11</v>
      </c>
      <c r="E121" s="8">
        <v>8.5461000000000003E-11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>
      <c r="B122" s="7">
        <v>740</v>
      </c>
      <c r="C122" s="8">
        <v>8.4561999999999995E-11</v>
      </c>
      <c r="D122" s="8">
        <v>8.4561999999999995E-11</v>
      </c>
      <c r="E122" s="8">
        <v>8.4561999999999995E-11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>
      <c r="B123" s="7">
        <v>760</v>
      </c>
      <c r="C123" s="8">
        <v>8.3671000000000002E-11</v>
      </c>
      <c r="D123" s="8">
        <v>8.3671000000000002E-11</v>
      </c>
      <c r="E123" s="8">
        <v>8.3671000000000002E-11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>
      <c r="B124" s="7">
        <v>780</v>
      </c>
      <c r="C124" s="8">
        <v>8.2791000000000001E-11</v>
      </c>
      <c r="D124" s="8">
        <v>8.2791000000000001E-11</v>
      </c>
      <c r="E124" s="8">
        <v>8.2791000000000001E-11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>
      <c r="B125" s="7">
        <v>800</v>
      </c>
      <c r="C125" s="8">
        <v>8.1916000000000004E-11</v>
      </c>
      <c r="D125" s="8">
        <v>8.1916000000000004E-11</v>
      </c>
      <c r="E125" s="8">
        <v>8.1916000000000004E-11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>
      <c r="B126" s="7">
        <v>820</v>
      </c>
      <c r="C126" s="8">
        <v>8.1049999999999994E-11</v>
      </c>
      <c r="D126" s="8">
        <v>8.1049999999999994E-11</v>
      </c>
      <c r="E126" s="8">
        <v>8.1049999999999994E-11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>
      <c r="B127" s="7">
        <v>840</v>
      </c>
      <c r="C127" s="8">
        <v>8.0192000000000001E-11</v>
      </c>
      <c r="D127" s="8">
        <v>8.0192000000000001E-11</v>
      </c>
      <c r="E127" s="8">
        <v>8.0192000000000001E-11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>
      <c r="B128" s="7">
        <v>860</v>
      </c>
      <c r="C128" s="8">
        <v>7.9344000000000003E-11</v>
      </c>
      <c r="D128" s="8">
        <v>7.9344000000000003E-11</v>
      </c>
      <c r="E128" s="8">
        <v>7.9344000000000003E-11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>
      <c r="B129" s="7">
        <v>880</v>
      </c>
      <c r="C129" s="8">
        <v>7.8503999999999996E-11</v>
      </c>
      <c r="D129" s="8">
        <v>7.8503999999999996E-11</v>
      </c>
      <c r="E129" s="8">
        <v>7.8503999999999996E-11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>
      <c r="B130" s="7">
        <v>900</v>
      </c>
      <c r="C130" s="8">
        <v>7.7673999999999997E-11</v>
      </c>
      <c r="D130" s="8">
        <v>7.7673999999999997E-11</v>
      </c>
      <c r="E130" s="8">
        <v>7.7673999999999997E-11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>
      <c r="B131" s="7">
        <v>920</v>
      </c>
      <c r="C131" s="8">
        <v>7.6852000000000003E-11</v>
      </c>
      <c r="D131" s="8">
        <v>7.6852000000000003E-11</v>
      </c>
      <c r="E131" s="8">
        <v>7.6852000000000003E-11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>
      <c r="B132" s="7">
        <v>940</v>
      </c>
      <c r="C132" s="8">
        <v>7.6038999999999995E-11</v>
      </c>
      <c r="D132" s="8">
        <v>7.6038999999999995E-11</v>
      </c>
      <c r="E132" s="8">
        <v>7.6038999999999995E-11</v>
      </c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>
      <c r="B133" s="7">
        <v>960</v>
      </c>
      <c r="C133" s="8">
        <v>7.5234999999999999E-11</v>
      </c>
      <c r="D133" s="8">
        <v>7.5234999999999999E-11</v>
      </c>
      <c r="E133" s="8">
        <v>7.5234999999999999E-11</v>
      </c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>
      <c r="B134" s="7">
        <v>980</v>
      </c>
      <c r="C134" s="8">
        <v>7.4438999999999995E-11</v>
      </c>
      <c r="D134" s="8">
        <v>7.4438999999999995E-11</v>
      </c>
      <c r="E134" s="8">
        <v>7.4438999999999995E-11</v>
      </c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>
      <c r="B135" s="7">
        <v>1000</v>
      </c>
      <c r="C135" s="8">
        <v>7.3650999999999995E-11</v>
      </c>
      <c r="D135" s="8">
        <v>7.3650999999999995E-11</v>
      </c>
      <c r="E135" s="8">
        <v>7.3650999999999995E-11</v>
      </c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>
      <c r="B136" s="7">
        <v>1020</v>
      </c>
      <c r="C136" s="8">
        <v>7.2871999999999994E-11</v>
      </c>
      <c r="D136" s="8">
        <v>7.2871999999999994E-11</v>
      </c>
      <c r="E136" s="8">
        <v>7.2871999999999994E-11</v>
      </c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>
      <c r="B137" s="7">
        <v>1040</v>
      </c>
      <c r="C137" s="8">
        <v>7.2102000000000006E-11</v>
      </c>
      <c r="D137" s="8">
        <v>7.2102000000000006E-11</v>
      </c>
      <c r="E137" s="8">
        <v>7.2102000000000006E-11</v>
      </c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>
      <c r="B138" s="7">
        <v>1060</v>
      </c>
      <c r="C138" s="8">
        <v>7.1339E-11</v>
      </c>
      <c r="D138" s="8">
        <v>7.1339E-11</v>
      </c>
      <c r="E138" s="8">
        <v>7.1339E-11</v>
      </c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>
      <c r="B139" s="7">
        <v>1080</v>
      </c>
      <c r="C139" s="8">
        <v>7.0583999999999999E-11</v>
      </c>
      <c r="D139" s="8">
        <v>7.0583999999999999E-11</v>
      </c>
      <c r="E139" s="8">
        <v>7.0583999999999999E-11</v>
      </c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>
      <c r="B140" s="7">
        <v>1100</v>
      </c>
      <c r="C140" s="8">
        <v>6.9837999999999997E-11</v>
      </c>
      <c r="D140" s="8">
        <v>6.9837999999999997E-11</v>
      </c>
      <c r="E140" s="8">
        <v>6.9837999999999997E-11</v>
      </c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>
      <c r="B141" s="7">
        <v>1120</v>
      </c>
      <c r="C141" s="8">
        <v>6.9099000000000004E-11</v>
      </c>
      <c r="D141" s="8">
        <v>6.9099000000000004E-11</v>
      </c>
      <c r="E141" s="8">
        <v>6.9099000000000004E-11</v>
      </c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>
      <c r="B142" s="7">
        <v>1140</v>
      </c>
      <c r="C142" s="8">
        <v>6.8368000000000001E-11</v>
      </c>
      <c r="D142" s="8">
        <v>6.8368000000000001E-11</v>
      </c>
      <c r="E142" s="8">
        <v>6.8368000000000001E-11</v>
      </c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>
      <c r="B143" s="7">
        <v>1160</v>
      </c>
      <c r="C143" s="8">
        <v>6.7645000000000003E-11</v>
      </c>
      <c r="D143" s="8">
        <v>6.7645000000000003E-11</v>
      </c>
      <c r="E143" s="8">
        <v>6.7645000000000003E-11</v>
      </c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>
      <c r="B144" s="7">
        <v>1180</v>
      </c>
      <c r="C144" s="8">
        <v>6.6929999999999995E-11</v>
      </c>
      <c r="D144" s="8">
        <v>6.6929999999999995E-11</v>
      </c>
      <c r="E144" s="8">
        <v>6.6929999999999995E-11</v>
      </c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>
      <c r="B145" s="7">
        <v>1200</v>
      </c>
      <c r="C145" s="8">
        <v>6.6221999999999996E-11</v>
      </c>
      <c r="D145" s="8">
        <v>6.6221999999999996E-11</v>
      </c>
      <c r="E145" s="8">
        <v>6.6221999999999996E-11</v>
      </c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>
      <c r="B146" s="7">
        <v>1220</v>
      </c>
      <c r="C146" s="8">
        <v>6.5522000000000001E-11</v>
      </c>
      <c r="D146" s="8">
        <v>6.5522000000000001E-11</v>
      </c>
      <c r="E146" s="8">
        <v>6.5522000000000001E-11</v>
      </c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>
      <c r="B147" s="7">
        <v>1240</v>
      </c>
      <c r="C147" s="8">
        <v>6.4829000000000002E-11</v>
      </c>
      <c r="D147" s="8">
        <v>6.4829000000000002E-11</v>
      </c>
      <c r="E147" s="8">
        <v>6.4829000000000002E-11</v>
      </c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>
      <c r="B148" s="7">
        <v>1260</v>
      </c>
      <c r="C148" s="8">
        <v>6.4142999999999998E-11</v>
      </c>
      <c r="D148" s="8">
        <v>6.4142999999999998E-11</v>
      </c>
      <c r="E148" s="8">
        <v>6.4142999999999998E-11</v>
      </c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>
      <c r="B149" s="7">
        <v>1280</v>
      </c>
      <c r="C149" s="8">
        <v>6.3464999999999997E-11</v>
      </c>
      <c r="D149" s="8">
        <v>6.3464999999999997E-11</v>
      </c>
      <c r="E149" s="8">
        <v>6.3464999999999997E-11</v>
      </c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>
      <c r="B150" s="7">
        <v>1300</v>
      </c>
      <c r="C150" s="8">
        <v>6.2794000000000006E-11</v>
      </c>
      <c r="D150" s="8">
        <v>6.2794000000000006E-11</v>
      </c>
      <c r="E150" s="8">
        <v>6.2794000000000006E-11</v>
      </c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>
      <c r="B151" s="7">
        <v>1320</v>
      </c>
      <c r="C151" s="8">
        <v>6.2129999999999996E-11</v>
      </c>
      <c r="D151" s="8">
        <v>6.2129999999999996E-11</v>
      </c>
      <c r="E151" s="8">
        <v>6.2129999999999996E-11</v>
      </c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>
      <c r="B152" s="7">
        <v>1340</v>
      </c>
      <c r="C152" s="8">
        <v>6.1472E-11</v>
      </c>
      <c r="D152" s="8">
        <v>6.1472E-11</v>
      </c>
      <c r="E152" s="8">
        <v>6.1472E-11</v>
      </c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>
      <c r="B153" s="7">
        <v>1360</v>
      </c>
      <c r="C153" s="8">
        <v>6.0821999999999994E-11</v>
      </c>
      <c r="D153" s="8">
        <v>6.0821999999999994E-11</v>
      </c>
      <c r="E153" s="8">
        <v>6.0821999999999994E-11</v>
      </c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>
      <c r="B154" s="7">
        <v>1380</v>
      </c>
      <c r="C154" s="8">
        <v>6.0178999999999997E-11</v>
      </c>
      <c r="D154" s="8">
        <v>6.0178999999999997E-11</v>
      </c>
      <c r="E154" s="8">
        <v>6.0178999999999997E-11</v>
      </c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>
      <c r="B155" s="7">
        <v>1400</v>
      </c>
      <c r="C155" s="8">
        <v>5.9542999999999995E-11</v>
      </c>
      <c r="D155" s="8">
        <v>5.9542999999999995E-11</v>
      </c>
      <c r="E155" s="8">
        <v>5.9542999999999995E-11</v>
      </c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>
      <c r="B156" s="7">
        <v>1420</v>
      </c>
      <c r="C156" s="8">
        <v>5.8913000000000006E-11</v>
      </c>
      <c r="D156" s="8">
        <v>5.8913000000000006E-11</v>
      </c>
      <c r="E156" s="8">
        <v>5.8913000000000006E-11</v>
      </c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>
      <c r="B157" s="7">
        <v>1440</v>
      </c>
      <c r="C157" s="8">
        <v>5.829E-11</v>
      </c>
      <c r="D157" s="8">
        <v>5.829E-11</v>
      </c>
      <c r="E157" s="8">
        <v>5.829E-11</v>
      </c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>
      <c r="B158" s="7">
        <v>1460</v>
      </c>
      <c r="C158" s="8">
        <v>5.7674000000000002E-11</v>
      </c>
      <c r="D158" s="8">
        <v>5.7674000000000002E-11</v>
      </c>
      <c r="E158" s="8">
        <v>5.7674000000000002E-11</v>
      </c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>
      <c r="B159" s="7">
        <v>1480</v>
      </c>
      <c r="C159" s="8">
        <v>5.7064000000000003E-11</v>
      </c>
      <c r="D159" s="8">
        <v>5.7064000000000003E-11</v>
      </c>
      <c r="E159" s="8">
        <v>5.7064000000000003E-11</v>
      </c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>
      <c r="B160" s="7">
        <v>1500</v>
      </c>
      <c r="C160" s="8">
        <v>5.6459999999999998E-11</v>
      </c>
      <c r="D160" s="8">
        <v>5.6459999999999998E-11</v>
      </c>
      <c r="E160" s="8">
        <v>5.6459999999999998E-11</v>
      </c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>
      <c r="B161" s="7">
        <v>1520</v>
      </c>
      <c r="C161" s="8">
        <v>5.5863000000000001E-11</v>
      </c>
      <c r="D161" s="8">
        <v>5.5863000000000001E-11</v>
      </c>
      <c r="E161" s="8">
        <v>5.5863000000000001E-11</v>
      </c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>
      <c r="B162" s="7">
        <v>1560</v>
      </c>
      <c r="C162" s="8">
        <v>5.4688000000000003E-11</v>
      </c>
      <c r="D162" s="8">
        <v>5.4688000000000003E-11</v>
      </c>
      <c r="E162" s="8">
        <v>5.4688000000000003E-11</v>
      </c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>
      <c r="B163" s="7">
        <v>1600</v>
      </c>
      <c r="C163" s="8">
        <v>5.3536999999999997E-11</v>
      </c>
      <c r="D163" s="8">
        <v>5.3536999999999997E-11</v>
      </c>
      <c r="E163" s="8">
        <v>5.3536999999999997E-11</v>
      </c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>
      <c r="B164" s="7">
        <v>1640</v>
      </c>
      <c r="C164" s="8">
        <v>5.2410999999999999E-11</v>
      </c>
      <c r="D164" s="8">
        <v>5.2410999999999999E-11</v>
      </c>
      <c r="E164" s="8">
        <v>5.2410999999999999E-11</v>
      </c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>
      <c r="B165" s="7">
        <v>1680</v>
      </c>
      <c r="C165" s="8">
        <v>5.1307999999999997E-11</v>
      </c>
      <c r="D165" s="8">
        <v>5.1307999999999997E-11</v>
      </c>
      <c r="E165" s="8">
        <v>5.1307999999999997E-11</v>
      </c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>
      <c r="B166" s="7">
        <v>1720</v>
      </c>
      <c r="C166" s="8">
        <v>5.0229000000000002E-11</v>
      </c>
      <c r="D166" s="8">
        <v>5.0229000000000002E-11</v>
      </c>
      <c r="E166" s="8">
        <v>5.0229000000000002E-11</v>
      </c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>
      <c r="B167" s="7">
        <v>1760</v>
      </c>
      <c r="C167" s="8">
        <v>4.9172000000000001E-11</v>
      </c>
      <c r="D167" s="8">
        <v>4.9172000000000001E-11</v>
      </c>
      <c r="E167" s="8">
        <v>4.9172000000000001E-11</v>
      </c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>
      <c r="B168" s="7">
        <v>1800</v>
      </c>
      <c r="C168" s="8">
        <v>4.8137999999999997E-11</v>
      </c>
      <c r="D168" s="8">
        <v>4.8137999999999997E-11</v>
      </c>
      <c r="E168" s="8">
        <v>4.8137999999999997E-11</v>
      </c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>
      <c r="B169" s="7">
        <v>1840</v>
      </c>
      <c r="C169" s="8">
        <v>4.7124999999999999E-11</v>
      </c>
      <c r="D169" s="8">
        <v>4.7124999999999999E-11</v>
      </c>
      <c r="E169" s="8">
        <v>4.7124999999999999E-11</v>
      </c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>
      <c r="B170" s="7">
        <v>1880</v>
      </c>
      <c r="C170" s="8">
        <v>4.6133E-11</v>
      </c>
      <c r="D170" s="8">
        <v>4.6133E-11</v>
      </c>
      <c r="E170" s="8">
        <v>4.6133E-11</v>
      </c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>
      <c r="B171" s="7">
        <v>1920</v>
      </c>
      <c r="C171" s="8">
        <v>4.5163000000000002E-11</v>
      </c>
      <c r="D171" s="8">
        <v>4.5163000000000002E-11</v>
      </c>
      <c r="E171" s="8">
        <v>4.5163000000000002E-11</v>
      </c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>
      <c r="B172" s="7">
        <v>1960</v>
      </c>
      <c r="C172" s="8">
        <v>4.4213000000000002E-11</v>
      </c>
      <c r="D172" s="8">
        <v>4.4213000000000002E-11</v>
      </c>
      <c r="E172" s="8">
        <v>4.4213000000000002E-11</v>
      </c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>
      <c r="B173" s="7">
        <v>2000</v>
      </c>
      <c r="C173" s="8">
        <v>4.3282000000000002E-11</v>
      </c>
      <c r="D173" s="8">
        <v>4.3282000000000002E-11</v>
      </c>
      <c r="E173" s="8">
        <v>4.3282000000000002E-11</v>
      </c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>
      <c r="B174" s="7">
        <v>2040</v>
      </c>
      <c r="C174" s="8">
        <v>4.2372000000000002E-11</v>
      </c>
      <c r="D174" s="8">
        <v>4.2372000000000002E-11</v>
      </c>
      <c r="E174" s="8">
        <v>4.2372000000000002E-11</v>
      </c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>
      <c r="B175" s="7">
        <v>2080</v>
      </c>
      <c r="C175" s="8">
        <v>4.1480000000000002E-11</v>
      </c>
      <c r="D175" s="8">
        <v>4.1480000000000002E-11</v>
      </c>
      <c r="E175" s="8">
        <v>4.1480000000000002E-11</v>
      </c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>
      <c r="B176" s="7">
        <v>2120</v>
      </c>
      <c r="C176" s="8">
        <v>4.0607999999999998E-11</v>
      </c>
      <c r="D176" s="8">
        <v>4.0607999999999998E-11</v>
      </c>
      <c r="E176" s="8">
        <v>4.0607999999999998E-11</v>
      </c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>
      <c r="B177" s="7">
        <v>2160</v>
      </c>
      <c r="C177" s="8">
        <v>3.9752999999999998E-11</v>
      </c>
      <c r="D177" s="8">
        <v>3.9752999999999998E-11</v>
      </c>
      <c r="E177" s="8">
        <v>3.9752999999999998E-11</v>
      </c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>
      <c r="B178" s="7">
        <v>2200</v>
      </c>
      <c r="C178" s="8">
        <v>3.8917E-11</v>
      </c>
      <c r="D178" s="8">
        <v>3.8917E-11</v>
      </c>
      <c r="E178" s="8">
        <v>3.8917E-11</v>
      </c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>
      <c r="B179" s="7">
        <v>2240</v>
      </c>
      <c r="C179" s="8">
        <v>3.8097999999999999E-11</v>
      </c>
      <c r="D179" s="8">
        <v>3.8097999999999999E-11</v>
      </c>
      <c r="E179" s="8">
        <v>3.8097999999999999E-11</v>
      </c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>
      <c r="B180" s="7">
        <v>2280</v>
      </c>
      <c r="C180" s="8">
        <v>3.7297000000000003E-11</v>
      </c>
      <c r="D180" s="8">
        <v>3.7297000000000003E-11</v>
      </c>
      <c r="E180" s="8">
        <v>3.7297000000000003E-11</v>
      </c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>
      <c r="B181" s="7">
        <v>2320</v>
      </c>
      <c r="C181" s="8">
        <v>3.6512000000000003E-11</v>
      </c>
      <c r="D181" s="8">
        <v>3.6512000000000003E-11</v>
      </c>
      <c r="E181" s="8">
        <v>3.6512000000000003E-11</v>
      </c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>
      <c r="B182" s="7">
        <v>2360</v>
      </c>
      <c r="C182" s="8">
        <v>3.5744E-11</v>
      </c>
      <c r="D182" s="8">
        <v>3.5744E-11</v>
      </c>
      <c r="E182" s="8">
        <v>3.5744E-11</v>
      </c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>
      <c r="B183" s="7">
        <v>2400</v>
      </c>
      <c r="C183" s="8">
        <v>3.4991999999999998E-11</v>
      </c>
      <c r="D183" s="8">
        <v>3.4991999999999998E-11</v>
      </c>
      <c r="E183" s="8">
        <v>3.4991999999999998E-11</v>
      </c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>
      <c r="B184" s="7">
        <v>2440</v>
      </c>
      <c r="C184" s="8">
        <v>3.4255999999999998E-11</v>
      </c>
      <c r="D184" s="8">
        <v>3.4255999999999998E-11</v>
      </c>
      <c r="E184" s="8">
        <v>3.4255999999999998E-11</v>
      </c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>
      <c r="B185" s="7">
        <v>2480</v>
      </c>
      <c r="C185" s="8">
        <v>3.3534999999999997E-11</v>
      </c>
      <c r="D185" s="8">
        <v>3.3534999999999997E-11</v>
      </c>
      <c r="E185" s="8">
        <v>3.3534999999999997E-11</v>
      </c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>
      <c r="B186" s="7">
        <v>2520</v>
      </c>
      <c r="C186" s="8">
        <v>3.2829999999999998E-11</v>
      </c>
      <c r="D186" s="8">
        <v>3.2829999999999998E-11</v>
      </c>
      <c r="E186" s="8">
        <v>3.2829999999999998E-11</v>
      </c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>
      <c r="B187" s="7">
        <v>2560</v>
      </c>
      <c r="C187" s="8">
        <v>3.2139000000000003E-11</v>
      </c>
      <c r="D187" s="8">
        <v>3.2139000000000003E-11</v>
      </c>
      <c r="E187" s="8">
        <v>3.2139000000000003E-11</v>
      </c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>
      <c r="B188" s="7">
        <v>2600</v>
      </c>
      <c r="C188" s="8">
        <v>3.1463E-11</v>
      </c>
      <c r="D188" s="8">
        <v>3.1463E-11</v>
      </c>
      <c r="E188" s="8">
        <v>3.1463E-11</v>
      </c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>
      <c r="B189" s="7">
        <v>2640</v>
      </c>
      <c r="C189" s="8">
        <v>3.0801000000000002E-11</v>
      </c>
      <c r="D189" s="8">
        <v>3.0801000000000002E-11</v>
      </c>
      <c r="E189" s="8">
        <v>3.0801000000000002E-11</v>
      </c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>
      <c r="B190" s="7">
        <v>2680</v>
      </c>
      <c r="C190" s="8">
        <v>3.0153E-11</v>
      </c>
      <c r="D190" s="8">
        <v>3.0153E-11</v>
      </c>
      <c r="E190" s="8">
        <v>3.0153E-11</v>
      </c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>
      <c r="B191" s="7">
        <v>2720</v>
      </c>
      <c r="C191" s="8">
        <v>2.9518000000000001E-11</v>
      </c>
      <c r="D191" s="8">
        <v>2.9518000000000001E-11</v>
      </c>
      <c r="E191" s="8">
        <v>2.9518000000000001E-11</v>
      </c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>
      <c r="B192" s="7">
        <v>2760</v>
      </c>
      <c r="C192" s="8">
        <v>2.8896999999999999E-11</v>
      </c>
      <c r="D192" s="8">
        <v>2.8896999999999999E-11</v>
      </c>
      <c r="E192" s="8">
        <v>2.8896999999999999E-11</v>
      </c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>
      <c r="B193" s="7">
        <v>2800</v>
      </c>
      <c r="C193" s="8">
        <v>2.8289000000000001E-11</v>
      </c>
      <c r="D193" s="8">
        <v>2.8289000000000001E-11</v>
      </c>
      <c r="E193" s="8">
        <v>2.8289000000000001E-11</v>
      </c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>
      <c r="B194" s="7">
        <v>2840</v>
      </c>
      <c r="C194" s="8">
        <v>2.7693999999999999E-11</v>
      </c>
      <c r="D194" s="8">
        <v>2.7693999999999999E-11</v>
      </c>
      <c r="E194" s="8">
        <v>2.7693999999999999E-11</v>
      </c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>
      <c r="B195" s="7">
        <v>2880</v>
      </c>
      <c r="C195" s="8">
        <v>2.7112000000000002E-11</v>
      </c>
      <c r="D195" s="8">
        <v>2.7112000000000002E-11</v>
      </c>
      <c r="E195" s="8">
        <v>2.7112000000000002E-11</v>
      </c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>
      <c r="B196" s="7">
        <v>2920</v>
      </c>
      <c r="C196" s="8">
        <v>2.6540999999999998E-11</v>
      </c>
      <c r="D196" s="8">
        <v>2.6540999999999998E-11</v>
      </c>
      <c r="E196" s="8">
        <v>2.6540999999999998E-11</v>
      </c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>
      <c r="B197" s="7">
        <v>2960</v>
      </c>
      <c r="C197" s="8">
        <v>2.5983E-11</v>
      </c>
      <c r="D197" s="8">
        <v>2.5983E-11</v>
      </c>
      <c r="E197" s="8">
        <v>2.5983E-11</v>
      </c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>
      <c r="B198" s="7">
        <v>3000</v>
      </c>
      <c r="C198" s="8">
        <v>2.5435999999999999E-11</v>
      </c>
      <c r="D198" s="8">
        <v>2.5435999999999999E-11</v>
      </c>
      <c r="E198" s="8">
        <v>2.5435999999999999E-11</v>
      </c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>
      <c r="B199" s="7">
        <v>3040</v>
      </c>
      <c r="C199" s="8">
        <v>2.4901000000000001E-11</v>
      </c>
      <c r="D199" s="8">
        <v>2.4901000000000001E-11</v>
      </c>
      <c r="E199" s="8">
        <v>2.4901000000000001E-11</v>
      </c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>
      <c r="B200" s="7">
        <v>3080</v>
      </c>
      <c r="C200" s="8">
        <v>2.4377000000000001E-11</v>
      </c>
      <c r="D200" s="8">
        <v>2.4377000000000001E-11</v>
      </c>
      <c r="E200" s="8">
        <v>2.4377000000000001E-11</v>
      </c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>
      <c r="B201" s="7">
        <v>3120</v>
      </c>
      <c r="C201" s="8">
        <v>2.3864000000000001E-11</v>
      </c>
      <c r="D201" s="8">
        <v>2.3864000000000001E-11</v>
      </c>
      <c r="E201" s="8">
        <v>2.3864000000000001E-11</v>
      </c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>
      <c r="B202" s="7">
        <v>3160</v>
      </c>
      <c r="C202" s="8">
        <v>2.3361999999999998E-11</v>
      </c>
      <c r="D202" s="8">
        <v>2.3361999999999998E-11</v>
      </c>
      <c r="E202" s="8">
        <v>2.3361999999999998E-11</v>
      </c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>
      <c r="B203" s="7">
        <v>3200</v>
      </c>
      <c r="C203" s="8">
        <v>2.2871E-11</v>
      </c>
      <c r="D203" s="8">
        <v>2.2871E-11</v>
      </c>
      <c r="E203" s="8">
        <v>2.2871E-11</v>
      </c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>
      <c r="B204" s="7">
        <v>3240</v>
      </c>
      <c r="C204" s="8">
        <v>2.239E-11</v>
      </c>
      <c r="D204" s="8">
        <v>2.239E-11</v>
      </c>
      <c r="E204" s="8">
        <v>2.239E-11</v>
      </c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>
      <c r="B205" s="7">
        <v>3280</v>
      </c>
      <c r="C205" s="8">
        <v>2.1919000000000001E-11</v>
      </c>
      <c r="D205" s="8">
        <v>2.1919000000000001E-11</v>
      </c>
      <c r="E205" s="8">
        <v>2.1919000000000001E-11</v>
      </c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>
      <c r="B206" s="7">
        <v>3320</v>
      </c>
      <c r="C206" s="8">
        <v>2.1457E-11</v>
      </c>
      <c r="D206" s="8">
        <v>2.1457E-11</v>
      </c>
      <c r="E206" s="8">
        <v>2.1457E-11</v>
      </c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>
      <c r="B207" s="7">
        <v>3360</v>
      </c>
      <c r="C207" s="8">
        <v>2.1006000000000002E-11</v>
      </c>
      <c r="D207" s="8">
        <v>2.1006000000000002E-11</v>
      </c>
      <c r="E207" s="8">
        <v>2.1006000000000002E-11</v>
      </c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>
      <c r="B208" s="7">
        <v>3400</v>
      </c>
      <c r="C208" s="8">
        <v>2.0564E-11</v>
      </c>
      <c r="D208" s="8">
        <v>2.0564E-11</v>
      </c>
      <c r="E208" s="8">
        <v>2.0564E-11</v>
      </c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>
      <c r="B209" s="7">
        <v>3440</v>
      </c>
      <c r="C209" s="8">
        <v>2.0131000000000001E-11</v>
      </c>
      <c r="D209" s="8">
        <v>2.0131000000000001E-11</v>
      </c>
      <c r="E209" s="8">
        <v>2.0131000000000001E-11</v>
      </c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>
      <c r="B210" s="7">
        <v>3480</v>
      </c>
      <c r="C210" s="8">
        <v>1.9708000000000001E-11</v>
      </c>
      <c r="D210" s="8">
        <v>1.9708000000000001E-11</v>
      </c>
      <c r="E210" s="8">
        <v>1.9708000000000001E-11</v>
      </c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>
      <c r="B211" s="7">
        <v>3520</v>
      </c>
      <c r="C211" s="8">
        <v>1.9292999999999999E-11</v>
      </c>
      <c r="D211" s="8">
        <v>1.9292999999999999E-11</v>
      </c>
      <c r="E211" s="8">
        <v>1.9292999999999999E-11</v>
      </c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>
      <c r="B212" s="7">
        <v>3560</v>
      </c>
      <c r="C212" s="8">
        <v>1.8886999999999999E-11</v>
      </c>
      <c r="D212" s="8">
        <v>1.8886999999999999E-11</v>
      </c>
      <c r="E212" s="8">
        <v>1.8886999999999999E-11</v>
      </c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>
      <c r="B213" s="7">
        <v>3600</v>
      </c>
      <c r="C213" s="8">
        <v>1.8489999999999999E-11</v>
      </c>
      <c r="D213" s="8">
        <v>1.8489999999999999E-11</v>
      </c>
      <c r="E213" s="8">
        <v>1.8489999999999999E-11</v>
      </c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>
      <c r="B214" s="7">
        <v>3640</v>
      </c>
      <c r="C214" s="8">
        <v>1.8101E-11</v>
      </c>
      <c r="D214" s="8">
        <v>1.8101E-11</v>
      </c>
      <c r="E214" s="8">
        <v>1.8101E-11</v>
      </c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>
      <c r="B215" s="7">
        <v>3680</v>
      </c>
      <c r="C215" s="8">
        <v>1.7720000000000001E-11</v>
      </c>
      <c r="D215" s="8">
        <v>1.7720000000000001E-11</v>
      </c>
      <c r="E215" s="8">
        <v>1.7720000000000001E-11</v>
      </c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>
      <c r="B216" s="7">
        <v>3720</v>
      </c>
      <c r="C216" s="8">
        <v>1.7347E-11</v>
      </c>
      <c r="D216" s="8">
        <v>1.7347E-11</v>
      </c>
      <c r="E216" s="8">
        <v>1.7347E-11</v>
      </c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>
      <c r="B217" s="7">
        <v>3760</v>
      </c>
      <c r="C217" s="8">
        <v>1.6982E-11</v>
      </c>
      <c r="D217" s="8">
        <v>1.6982E-11</v>
      </c>
      <c r="E217" s="8">
        <v>1.6982E-11</v>
      </c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>
      <c r="B218" s="7">
        <v>3800</v>
      </c>
      <c r="C218" s="8">
        <v>1.6625000000000001E-11</v>
      </c>
      <c r="D218" s="8">
        <v>1.6625000000000001E-11</v>
      </c>
      <c r="E218" s="8">
        <v>1.6625000000000001E-11</v>
      </c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>
      <c r="B219" s="7">
        <v>3840</v>
      </c>
      <c r="C219" s="8">
        <v>1.6275E-11</v>
      </c>
      <c r="D219" s="8">
        <v>1.6275E-11</v>
      </c>
      <c r="E219" s="8">
        <v>1.6275E-11</v>
      </c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>
      <c r="B220" s="7">
        <v>3880</v>
      </c>
      <c r="C220" s="8">
        <v>1.5933E-11</v>
      </c>
      <c r="D220" s="8">
        <v>1.5933E-11</v>
      </c>
      <c r="E220" s="8">
        <v>1.5933E-11</v>
      </c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>
      <c r="B221" s="7">
        <v>3920</v>
      </c>
      <c r="C221" s="8">
        <v>1.5597999999999999E-11</v>
      </c>
      <c r="D221" s="8">
        <v>1.5597999999999999E-11</v>
      </c>
      <c r="E221" s="8">
        <v>1.5597999999999999E-11</v>
      </c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>
      <c r="B222" s="7">
        <v>3960</v>
      </c>
      <c r="C222" s="8">
        <v>1.5269999999999999E-11</v>
      </c>
      <c r="D222" s="8">
        <v>1.5269999999999999E-11</v>
      </c>
      <c r="E222" s="8">
        <v>1.5269999999999999E-11</v>
      </c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>
      <c r="B223" s="7">
        <v>4000</v>
      </c>
      <c r="C223" s="8">
        <v>1.4948E-11</v>
      </c>
      <c r="D223" s="8">
        <v>1.4948E-11</v>
      </c>
      <c r="E223" s="8">
        <v>1.4948E-11</v>
      </c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>
      <c r="B224" s="7">
        <v>4040</v>
      </c>
      <c r="C224" s="8">
        <v>1.4634000000000001E-11</v>
      </c>
      <c r="D224" s="8">
        <v>1.4634000000000001E-11</v>
      </c>
      <c r="E224" s="8">
        <v>1.4634000000000001E-11</v>
      </c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>
      <c r="B225" s="7">
        <v>4080</v>
      </c>
      <c r="C225" s="8">
        <v>1.4326E-11</v>
      </c>
      <c r="D225" s="8">
        <v>1.4326E-11</v>
      </c>
      <c r="E225" s="8">
        <v>1.4326E-11</v>
      </c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>
      <c r="B226" s="7">
        <v>4120</v>
      </c>
      <c r="C226" s="8">
        <v>1.4025E-11</v>
      </c>
      <c r="D226" s="8">
        <v>1.4025E-11</v>
      </c>
      <c r="E226" s="8">
        <v>1.4025E-11</v>
      </c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>
      <c r="B227" s="7">
        <v>4160</v>
      </c>
      <c r="C227" s="8">
        <v>1.3730000000000001E-11</v>
      </c>
      <c r="D227" s="8">
        <v>1.3730000000000001E-11</v>
      </c>
      <c r="E227" s="8">
        <v>1.3730000000000001E-11</v>
      </c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>
      <c r="B228" s="7">
        <v>4200</v>
      </c>
      <c r="C228" s="8">
        <v>1.3441E-11</v>
      </c>
      <c r="D228" s="8">
        <v>1.3441E-11</v>
      </c>
      <c r="E228" s="8">
        <v>1.3441E-11</v>
      </c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>
      <c r="B229" s="7">
        <v>4240</v>
      </c>
      <c r="C229" s="8">
        <v>1.3158E-11</v>
      </c>
      <c r="D229" s="8">
        <v>1.3158E-11</v>
      </c>
      <c r="E229" s="8">
        <v>1.3158E-11</v>
      </c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>
      <c r="B230" s="7">
        <v>4280</v>
      </c>
      <c r="C230" s="8">
        <v>1.2881000000000001E-11</v>
      </c>
      <c r="D230" s="8">
        <v>1.2881000000000001E-11</v>
      </c>
      <c r="E230" s="8">
        <v>1.2881000000000001E-11</v>
      </c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>
      <c r="B231" s="7">
        <v>4320</v>
      </c>
      <c r="C231" s="8">
        <v>1.2610000000000001E-11</v>
      </c>
      <c r="D231" s="8">
        <v>1.2610000000000001E-11</v>
      </c>
      <c r="E231" s="8">
        <v>1.2610000000000001E-11</v>
      </c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10.Document" shapeId="18435" r:id="rId4">
          <objectPr defaultSize="0" r:id="rId5">
            <anchor moveWithCells="1">
              <from>
                <xdr:col>23</xdr:col>
                <xdr:colOff>0</xdr:colOff>
                <xdr:row>18</xdr:row>
                <xdr:rowOff>0</xdr:rowOff>
              </from>
              <to>
                <xdr:col>28</xdr:col>
                <xdr:colOff>711200</xdr:colOff>
                <xdr:row>32</xdr:row>
                <xdr:rowOff>25400</xdr:rowOff>
              </to>
            </anchor>
          </objectPr>
        </oleObject>
      </mc:Choice>
      <mc:Fallback>
        <oleObject progId="Prism10.Document" shapeId="18435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DC8F-0E8C-4F5B-B7F7-888F8BDD1D30}">
  <dimension ref="A1:BM602"/>
  <sheetViews>
    <sheetView topLeftCell="G1" zoomScaleNormal="100" workbookViewId="0">
      <selection activeCell="O48" sqref="O48:V231"/>
    </sheetView>
  </sheetViews>
  <sheetFormatPr baseColWidth="10" defaultColWidth="8.83203125" defaultRowHeight="17"/>
  <cols>
    <col min="6" max="9" width="13.1640625" bestFit="1" customWidth="1"/>
    <col min="11" max="11" width="9.1640625" bestFit="1" customWidth="1"/>
    <col min="13" max="13" width="13.1640625" bestFit="1" customWidth="1"/>
    <col min="16" max="16" width="13.5" customWidth="1"/>
    <col min="17" max="17" width="9.83203125" bestFit="1" customWidth="1"/>
    <col min="18" max="18" width="9.5" bestFit="1" customWidth="1"/>
    <col min="20" max="20" width="11" bestFit="1" customWidth="1"/>
    <col min="21" max="21" width="9.5" bestFit="1" customWidth="1"/>
    <col min="22" max="22" width="13.33203125" bestFit="1" customWidth="1"/>
    <col min="29" max="29" width="9.5" bestFit="1" customWidth="1"/>
    <col min="33" max="34" width="9.1640625" bestFit="1" customWidth="1"/>
    <col min="35" max="35" width="9.1640625" customWidth="1"/>
    <col min="46" max="46" width="7.5" customWidth="1"/>
    <col min="47" max="47" width="15" customWidth="1"/>
    <col min="48" max="48" width="11" bestFit="1" customWidth="1"/>
    <col min="49" max="49" width="9.1640625" bestFit="1" customWidth="1"/>
    <col min="51" max="56" width="9.1640625" bestFit="1" customWidth="1"/>
  </cols>
  <sheetData>
    <row r="1" spans="1:65">
      <c r="A1" s="1">
        <f>K2</f>
        <v>1.2735707007309603E-10</v>
      </c>
      <c r="B1" s="7" t="s">
        <v>0</v>
      </c>
      <c r="C1" s="7" t="s">
        <v>114</v>
      </c>
      <c r="D1" s="7" t="s">
        <v>114</v>
      </c>
      <c r="E1" s="7" t="s">
        <v>114</v>
      </c>
      <c r="F1" t="s">
        <v>114</v>
      </c>
      <c r="G1" t="s">
        <v>114</v>
      </c>
      <c r="H1" t="s">
        <v>115</v>
      </c>
      <c r="I1" t="s">
        <v>116</v>
      </c>
      <c r="J1" s="7"/>
      <c r="N1" s="7"/>
      <c r="O1" t="s">
        <v>35</v>
      </c>
      <c r="P1" t="s">
        <v>5</v>
      </c>
      <c r="Q1" t="s">
        <v>30</v>
      </c>
      <c r="R1" t="s">
        <v>38</v>
      </c>
      <c r="S1" s="3" t="s">
        <v>11</v>
      </c>
      <c r="T1" t="s">
        <v>32</v>
      </c>
      <c r="U1" t="s">
        <v>3</v>
      </c>
      <c r="V1" s="4" t="s">
        <v>4</v>
      </c>
      <c r="X1" s="3"/>
      <c r="Y1" s="3" t="s">
        <v>12</v>
      </c>
      <c r="Z1" s="3" t="s">
        <v>36</v>
      </c>
      <c r="AA1" s="3" t="s">
        <v>37</v>
      </c>
      <c r="AB1" s="3" t="s">
        <v>39</v>
      </c>
      <c r="AC1" s="3" t="s">
        <v>13</v>
      </c>
      <c r="AF1" s="35" t="s">
        <v>85</v>
      </c>
      <c r="AJ1" s="7"/>
      <c r="AK1" s="7"/>
    </row>
    <row r="2" spans="1:65">
      <c r="B2" s="7">
        <v>0</v>
      </c>
      <c r="C2" s="8">
        <v>1.2710000000000001E-10</v>
      </c>
      <c r="D2" s="8">
        <v>1.2710000000000001E-10</v>
      </c>
      <c r="E2" s="8">
        <v>1.2710000000000001E-10</v>
      </c>
      <c r="F2" s="1">
        <v>2.5706999999999998E-13</v>
      </c>
      <c r="G2" s="1">
        <v>7.3095999999999998E-20</v>
      </c>
      <c r="H2" s="1">
        <v>0</v>
      </c>
      <c r="I2" s="1">
        <v>0</v>
      </c>
      <c r="J2" s="8"/>
      <c r="K2" s="1">
        <f>SUM(C2,F2,G2)</f>
        <v>1.2735707007309603E-10</v>
      </c>
      <c r="M2" s="1"/>
      <c r="N2" s="7"/>
      <c r="O2">
        <f>B2/60</f>
        <v>0</v>
      </c>
      <c r="P2" s="6">
        <f>(SUM(F2:J2)+C2)/$A$1*100</f>
        <v>99.999999999999972</v>
      </c>
      <c r="Q2" s="6">
        <f t="shared" ref="Q2:Q65" si="0">(H2+F2)/$A$1*100</f>
        <v>0.20184980688740389</v>
      </c>
      <c r="R2" s="6">
        <f t="shared" ref="R2:R65" si="1">(G2+I2)/$A$1*100</f>
        <v>5.7394536446266293E-8</v>
      </c>
      <c r="S2" s="5">
        <f t="shared" ref="S2:S65" si="2">J2/$A$1*100</f>
        <v>0</v>
      </c>
      <c r="T2" s="6">
        <f t="shared" ref="T2:V17" si="3">C2/$A$1*100</f>
        <v>99.798150135718046</v>
      </c>
      <c r="U2" s="1">
        <f t="shared" si="3"/>
        <v>99.798150135718046</v>
      </c>
      <c r="V2" s="1">
        <f t="shared" si="3"/>
        <v>99.798150135718046</v>
      </c>
      <c r="X2" s="9" t="s">
        <v>26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" t="s">
        <v>84</v>
      </c>
      <c r="AG2" t="s">
        <v>81</v>
      </c>
      <c r="AH2" s="7" t="s">
        <v>82</v>
      </c>
      <c r="AI2" s="7" t="s">
        <v>83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>
      <c r="B3" s="7">
        <v>2.0760000000000001</v>
      </c>
      <c r="C3" s="8">
        <v>1.2484999999999999E-10</v>
      </c>
      <c r="D3" s="8">
        <v>1.2484999999999999E-10</v>
      </c>
      <c r="E3" s="8">
        <v>1.2484999999999999E-10</v>
      </c>
      <c r="F3" s="1">
        <v>2.3627E-12</v>
      </c>
      <c r="G3" s="1">
        <v>1.0392E-17</v>
      </c>
      <c r="H3" s="1">
        <v>8.6877000000000002E-14</v>
      </c>
      <c r="I3" s="1">
        <v>1.651E-15</v>
      </c>
      <c r="J3" s="8"/>
      <c r="K3" s="1"/>
      <c r="L3" s="1"/>
      <c r="M3" s="1"/>
      <c r="N3" s="7"/>
      <c r="O3">
        <f t="shared" ref="O3:O66" si="4">B3/60</f>
        <v>3.4599999999999999E-2</v>
      </c>
      <c r="P3" s="6">
        <f t="shared" ref="P3:P66" si="5">(SUM(F3:J3)+C3)/$A$1*100</f>
        <v>99.956161302184483</v>
      </c>
      <c r="Q3" s="6">
        <f t="shared" si="0"/>
        <v>1.9233930229347111</v>
      </c>
      <c r="R3" s="6">
        <f t="shared" si="1"/>
        <v>1.3045149350926898E-3</v>
      </c>
      <c r="S3" s="5">
        <f t="shared" si="2"/>
        <v>0</v>
      </c>
      <c r="T3" s="6">
        <f t="shared" si="3"/>
        <v>98.03146376431468</v>
      </c>
      <c r="U3" s="1">
        <f t="shared" si="3"/>
        <v>98.03146376431468</v>
      </c>
      <c r="V3" s="1">
        <f t="shared" si="3"/>
        <v>98.03146376431468</v>
      </c>
      <c r="X3" s="9"/>
      <c r="Y3" s="2"/>
      <c r="Z3" s="2"/>
      <c r="AA3" s="2"/>
      <c r="AB3" s="2"/>
      <c r="AC3" s="2"/>
      <c r="AD3" s="1"/>
      <c r="AE3" s="1"/>
      <c r="AF3" t="s">
        <v>40</v>
      </c>
      <c r="AG3" t="s">
        <v>41</v>
      </c>
      <c r="AH3" s="7" t="s">
        <v>42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B4" s="7">
        <v>4.5335999999999999</v>
      </c>
      <c r="C4" s="8">
        <v>1.2417E-10</v>
      </c>
      <c r="D4" s="8">
        <v>1.2417E-10</v>
      </c>
      <c r="E4" s="8">
        <v>1.2417E-10</v>
      </c>
      <c r="F4" s="1">
        <v>2.8101999999999999E-12</v>
      </c>
      <c r="G4" s="1">
        <v>1.3988E-17</v>
      </c>
      <c r="H4" s="1">
        <v>3.1552E-13</v>
      </c>
      <c r="I4" s="1">
        <v>6.2066000000000003E-15</v>
      </c>
      <c r="J4" s="8"/>
      <c r="K4" s="1"/>
      <c r="L4" s="1"/>
      <c r="M4" s="1"/>
      <c r="N4" s="7"/>
      <c r="O4">
        <f t="shared" si="4"/>
        <v>7.5560000000000002E-2</v>
      </c>
      <c r="P4" s="6">
        <f t="shared" si="5"/>
        <v>99.956712662230373</v>
      </c>
      <c r="Q4" s="6">
        <f t="shared" si="0"/>
        <v>2.4542964110323884</v>
      </c>
      <c r="R4" s="6">
        <f t="shared" si="1"/>
        <v>4.884368018540094E-3</v>
      </c>
      <c r="S4" s="5">
        <f t="shared" si="2"/>
        <v>0</v>
      </c>
      <c r="T4" s="6">
        <f t="shared" si="3"/>
        <v>97.497531883179462</v>
      </c>
      <c r="U4" s="1">
        <f t="shared" si="3"/>
        <v>97.497531883179462</v>
      </c>
      <c r="V4" s="1">
        <f t="shared" si="3"/>
        <v>97.497531883179462</v>
      </c>
      <c r="X4" s="9" t="s">
        <v>27</v>
      </c>
      <c r="Y4" s="2">
        <v>7141</v>
      </c>
      <c r="Z4" s="2">
        <v>4953</v>
      </c>
      <c r="AA4" s="2">
        <v>606.4</v>
      </c>
      <c r="AB4" s="2">
        <v>0</v>
      </c>
      <c r="AC4" s="2">
        <v>1580</v>
      </c>
      <c r="AD4" s="1"/>
      <c r="AE4" s="1"/>
      <c r="AF4" t="s">
        <v>43</v>
      </c>
      <c r="AG4" t="s">
        <v>44</v>
      </c>
      <c r="AH4" s="1" t="s">
        <v>45</v>
      </c>
      <c r="AI4" s="1" t="s">
        <v>46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B5" s="7">
        <v>6.3768000000000002</v>
      </c>
      <c r="C5" s="8">
        <v>1.2384999999999999E-10</v>
      </c>
      <c r="D5" s="8">
        <v>1.2384999999999999E-10</v>
      </c>
      <c r="E5" s="8">
        <v>1.2384999999999999E-10</v>
      </c>
      <c r="F5" s="1">
        <v>2.9210000000000002E-12</v>
      </c>
      <c r="G5" s="1">
        <v>1.6907000000000001E-17</v>
      </c>
      <c r="H5" s="1">
        <v>5.0905999999999995E-13</v>
      </c>
      <c r="I5" s="1">
        <v>1.0520000000000001E-14</v>
      </c>
      <c r="J5" s="8"/>
      <c r="K5" s="1"/>
      <c r="L5" s="1"/>
      <c r="M5" s="1"/>
      <c r="N5" s="7"/>
      <c r="O5">
        <f t="shared" si="4"/>
        <v>0.10628</v>
      </c>
      <c r="P5" s="6">
        <f t="shared" si="5"/>
        <v>99.947805672619609</v>
      </c>
      <c r="Q5" s="6">
        <f t="shared" si="0"/>
        <v>2.6932623355981198</v>
      </c>
      <c r="R5" s="6">
        <f t="shared" si="1"/>
        <v>8.2735155527309083E-3</v>
      </c>
      <c r="S5" s="5">
        <f t="shared" si="2"/>
        <v>0</v>
      </c>
      <c r="T5" s="6">
        <f t="shared" si="3"/>
        <v>97.246269821468758</v>
      </c>
      <c r="U5" s="1">
        <f t="shared" si="3"/>
        <v>97.246269821468758</v>
      </c>
      <c r="V5" s="1">
        <f t="shared" si="3"/>
        <v>97.246269821468758</v>
      </c>
      <c r="X5" s="9" t="s">
        <v>28</v>
      </c>
      <c r="Y5" s="2">
        <v>7141</v>
      </c>
      <c r="Z5" s="2">
        <v>4953</v>
      </c>
      <c r="AA5" s="2">
        <v>606.4</v>
      </c>
      <c r="AB5" s="2">
        <v>0</v>
      </c>
      <c r="AC5" s="2">
        <v>1580</v>
      </c>
      <c r="AD5" s="1"/>
      <c r="AE5" s="1"/>
      <c r="AF5" s="40" t="s">
        <v>60</v>
      </c>
      <c r="AG5" s="39" t="s">
        <v>92</v>
      </c>
      <c r="AH5" s="39" t="s">
        <v>92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B6" s="7">
        <v>9.1416000000000004</v>
      </c>
      <c r="C6" s="8">
        <v>1.2348E-10</v>
      </c>
      <c r="D6" s="8">
        <v>1.2348E-10</v>
      </c>
      <c r="E6" s="8">
        <v>1.2348E-10</v>
      </c>
      <c r="F6" s="1">
        <v>2.9811999999999999E-12</v>
      </c>
      <c r="G6" s="1">
        <v>2.1259000000000001E-17</v>
      </c>
      <c r="H6" s="1">
        <v>8.0993999999999998E-13</v>
      </c>
      <c r="I6" s="1">
        <v>1.8636000000000001E-14</v>
      </c>
      <c r="J6" s="8"/>
      <c r="K6" s="1"/>
      <c r="L6" s="1"/>
      <c r="M6" s="1"/>
      <c r="N6" s="7"/>
      <c r="O6">
        <f t="shared" si="4"/>
        <v>0.15236</v>
      </c>
      <c r="P6" s="6">
        <f t="shared" si="5"/>
        <v>99.947177793853598</v>
      </c>
      <c r="Q6" s="6">
        <f t="shared" si="0"/>
        <v>2.9767801644809286</v>
      </c>
      <c r="R6" s="6">
        <f t="shared" si="1"/>
        <v>1.4649566756907763E-2</v>
      </c>
      <c r="S6" s="5">
        <f t="shared" si="2"/>
        <v>0</v>
      </c>
      <c r="T6" s="6">
        <f t="shared" si="3"/>
        <v>96.955748062615754</v>
      </c>
      <c r="U6" s="1">
        <f t="shared" si="3"/>
        <v>96.955748062615754</v>
      </c>
      <c r="V6" s="1">
        <f t="shared" si="3"/>
        <v>96.955748062615754</v>
      </c>
      <c r="X6" s="9" t="s">
        <v>29</v>
      </c>
      <c r="Y6" s="2">
        <v>1</v>
      </c>
      <c r="Z6" s="2">
        <v>1</v>
      </c>
      <c r="AA6" s="2">
        <v>1</v>
      </c>
      <c r="AB6" s="2">
        <v>23</v>
      </c>
      <c r="AC6" s="2">
        <v>1</v>
      </c>
      <c r="AD6" s="1"/>
      <c r="AE6" s="1"/>
      <c r="AF6" t="s">
        <v>18</v>
      </c>
      <c r="AG6">
        <v>0.5</v>
      </c>
      <c r="AH6" s="1">
        <v>0.5</v>
      </c>
      <c r="AI6" s="1" t="s">
        <v>47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B7" s="7">
        <v>10.984999999999999</v>
      </c>
      <c r="C7" s="8">
        <v>1.2324999999999999E-10</v>
      </c>
      <c r="D7" s="8">
        <v>1.2324999999999999E-10</v>
      </c>
      <c r="E7" s="8">
        <v>1.2324999999999999E-10</v>
      </c>
      <c r="F7" s="1">
        <v>2.9930999999999998E-12</v>
      </c>
      <c r="G7" s="1">
        <v>2.4913999999999999E-17</v>
      </c>
      <c r="H7" s="1">
        <v>1.0138E-12</v>
      </c>
      <c r="I7" s="1">
        <v>2.5243000000000001E-14</v>
      </c>
      <c r="J7" s="8"/>
      <c r="K7" s="1"/>
      <c r="L7" s="1"/>
      <c r="M7" s="1"/>
      <c r="N7" s="7"/>
      <c r="O7">
        <f t="shared" si="4"/>
        <v>0.18308333333333332</v>
      </c>
      <c r="P7" s="6">
        <f t="shared" si="5"/>
        <v>99.9411872783717</v>
      </c>
      <c r="Q7" s="6">
        <f t="shared" si="0"/>
        <v>3.1461936095893672</v>
      </c>
      <c r="R7" s="6">
        <f t="shared" si="1"/>
        <v>1.9840213021151944E-2</v>
      </c>
      <c r="S7" s="5">
        <f t="shared" si="2"/>
        <v>0</v>
      </c>
      <c r="T7" s="6">
        <f t="shared" si="3"/>
        <v>96.775153455761185</v>
      </c>
      <c r="U7" s="1">
        <f t="shared" si="3"/>
        <v>96.775153455761185</v>
      </c>
      <c r="V7" s="1">
        <f t="shared" si="3"/>
        <v>96.775153455761185</v>
      </c>
      <c r="X7" s="9"/>
      <c r="Y7" s="2"/>
      <c r="Z7" s="2"/>
      <c r="AA7" s="2"/>
      <c r="AB7" s="2"/>
      <c r="AC7" s="2"/>
      <c r="AD7" s="1"/>
      <c r="AE7" s="1"/>
      <c r="AF7" t="s">
        <v>48</v>
      </c>
      <c r="AG7" t="s">
        <v>94</v>
      </c>
      <c r="AH7" s="1" t="s">
        <v>95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B8" s="7">
        <v>12.827999999999999</v>
      </c>
      <c r="C8" s="8">
        <v>1.2304E-10</v>
      </c>
      <c r="D8" s="8">
        <v>1.2304E-10</v>
      </c>
      <c r="E8" s="8">
        <v>1.2304E-10</v>
      </c>
      <c r="F8" s="1">
        <v>2.9949000000000001E-12</v>
      </c>
      <c r="G8" s="1">
        <v>2.896E-17</v>
      </c>
      <c r="H8" s="1">
        <v>1.2186000000000001E-12</v>
      </c>
      <c r="I8" s="1">
        <v>3.2906000000000003E-14</v>
      </c>
      <c r="J8" s="8"/>
      <c r="K8" s="1"/>
      <c r="L8" s="1"/>
      <c r="M8" s="1"/>
      <c r="N8" s="7"/>
      <c r="O8">
        <f t="shared" si="4"/>
        <v>0.21379999999999999</v>
      </c>
      <c r="P8" s="6">
        <f t="shared" si="5"/>
        <v>99.944537737044755</v>
      </c>
      <c r="Q8" s="6">
        <f t="shared" si="0"/>
        <v>3.3084146781813373</v>
      </c>
      <c r="R8" s="6">
        <f t="shared" si="1"/>
        <v>2.5860331099873079E-2</v>
      </c>
      <c r="S8" s="5">
        <f t="shared" si="2"/>
        <v>0</v>
      </c>
      <c r="T8" s="6">
        <f t="shared" si="3"/>
        <v>96.610262727763555</v>
      </c>
      <c r="U8" s="1">
        <f t="shared" si="3"/>
        <v>96.610262727763555</v>
      </c>
      <c r="V8" s="1">
        <f t="shared" si="3"/>
        <v>96.610262727763555</v>
      </c>
      <c r="X8" s="9"/>
      <c r="Y8" s="2">
        <f>Y4/$Y$4*100</f>
        <v>100</v>
      </c>
      <c r="Z8" s="10">
        <f>Z4/$Y$4*100</f>
        <v>69.360033608738263</v>
      </c>
      <c r="AA8" s="10">
        <f>AA4/$Y$4*100</f>
        <v>8.4918078700462107</v>
      </c>
      <c r="AB8" s="10">
        <f>AB4/$Y$4*100</f>
        <v>0</v>
      </c>
      <c r="AC8" s="10">
        <f>AC4/$Y$4*100</f>
        <v>22.125752695700882</v>
      </c>
      <c r="AD8" s="1"/>
      <c r="AE8" s="1"/>
      <c r="AF8" s="1" t="s">
        <v>20</v>
      </c>
      <c r="AG8" s="1">
        <v>0</v>
      </c>
      <c r="AH8" s="1">
        <v>0</v>
      </c>
      <c r="AI8" s="1" t="s">
        <v>49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>
      <c r="B9" s="7">
        <v>14.670999999999999</v>
      </c>
      <c r="C9" s="8">
        <v>1.2282E-10</v>
      </c>
      <c r="D9" s="8">
        <v>1.2282E-10</v>
      </c>
      <c r="E9" s="8">
        <v>1.2282E-10</v>
      </c>
      <c r="F9" s="1">
        <v>2.9923000000000001E-12</v>
      </c>
      <c r="G9" s="1">
        <v>3.2860999999999998E-17</v>
      </c>
      <c r="H9" s="1">
        <v>1.4238000000000001E-12</v>
      </c>
      <c r="I9" s="1">
        <v>4.1674E-14</v>
      </c>
      <c r="J9" s="8"/>
      <c r="K9" s="1"/>
      <c r="L9" s="1"/>
      <c r="M9" s="1"/>
      <c r="N9" s="7"/>
      <c r="O9">
        <f t="shared" si="4"/>
        <v>0.24451666666666666</v>
      </c>
      <c r="P9" s="6">
        <f t="shared" si="5"/>
        <v>99.937763005971689</v>
      </c>
      <c r="Q9" s="6">
        <f t="shared" si="0"/>
        <v>3.4674949710019236</v>
      </c>
      <c r="R9" s="6">
        <f t="shared" si="1"/>
        <v>3.2747974632317253E-2</v>
      </c>
      <c r="S9" s="5">
        <f t="shared" si="2"/>
        <v>0</v>
      </c>
      <c r="T9" s="6">
        <f t="shared" si="3"/>
        <v>96.437520060337448</v>
      </c>
      <c r="U9" s="1">
        <f t="shared" si="3"/>
        <v>96.437520060337448</v>
      </c>
      <c r="V9" s="1">
        <f t="shared" si="3"/>
        <v>96.437520060337448</v>
      </c>
      <c r="X9" s="9"/>
      <c r="Y9" s="2"/>
      <c r="Z9" s="2"/>
      <c r="AA9" s="2"/>
      <c r="AB9" s="2"/>
      <c r="AC9" s="2"/>
      <c r="AD9" s="1"/>
      <c r="AE9" s="1"/>
      <c r="AF9" s="1" t="s">
        <v>22</v>
      </c>
      <c r="AG9" s="1">
        <v>0</v>
      </c>
      <c r="AH9" s="1">
        <v>0</v>
      </c>
      <c r="AI9" s="1" t="s">
        <v>50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8" thickBot="1">
      <c r="B10" s="7">
        <v>18.358000000000001</v>
      </c>
      <c r="C10" s="8">
        <v>1.2239E-10</v>
      </c>
      <c r="D10" s="8">
        <v>1.2239E-10</v>
      </c>
      <c r="E10" s="8">
        <v>1.2239E-10</v>
      </c>
      <c r="F10" s="1">
        <v>2.9835E-12</v>
      </c>
      <c r="G10" s="1">
        <v>3.9969E-17</v>
      </c>
      <c r="H10" s="1">
        <v>1.8342E-12</v>
      </c>
      <c r="I10" s="1">
        <v>6.2575000000000001E-14</v>
      </c>
      <c r="J10" s="8"/>
      <c r="K10" s="1"/>
      <c r="L10" s="1"/>
      <c r="M10" s="1"/>
      <c r="N10" s="7"/>
      <c r="O10">
        <f t="shared" si="4"/>
        <v>0.30596666666666666</v>
      </c>
      <c r="P10" s="6">
        <f t="shared" si="5"/>
        <v>99.931880417752836</v>
      </c>
      <c r="Q10" s="6">
        <f t="shared" si="0"/>
        <v>3.7828288584488492</v>
      </c>
      <c r="R10" s="6">
        <f t="shared" si="1"/>
        <v>4.9164894390285846E-2</v>
      </c>
      <c r="S10" s="5">
        <f t="shared" si="2"/>
        <v>0</v>
      </c>
      <c r="T10" s="6">
        <f t="shared" si="3"/>
        <v>96.099886664913697</v>
      </c>
      <c r="U10" s="1">
        <f t="shared" si="3"/>
        <v>96.099886664913697</v>
      </c>
      <c r="V10" s="1">
        <f t="shared" si="3"/>
        <v>96.099886664913697</v>
      </c>
      <c r="X10" s="9"/>
      <c r="Y10" s="2"/>
      <c r="Z10" s="2"/>
      <c r="AA10" s="2"/>
      <c r="AB10" s="2"/>
      <c r="AC10" s="2"/>
      <c r="AD10" s="1"/>
      <c r="AE10" s="1"/>
      <c r="AF10" s="1" t="s">
        <v>24</v>
      </c>
      <c r="AG10" s="1">
        <v>0</v>
      </c>
      <c r="AH10" s="1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>
      <c r="B11" s="7">
        <v>22.044</v>
      </c>
      <c r="C11" s="8">
        <v>1.2196000000000001E-10</v>
      </c>
      <c r="D11" s="8">
        <v>1.2196000000000001E-10</v>
      </c>
      <c r="E11" s="8">
        <v>1.2196000000000001E-10</v>
      </c>
      <c r="F11" s="1">
        <v>2.9722000000000002E-12</v>
      </c>
      <c r="G11" s="1">
        <v>4.7219000000000001E-17</v>
      </c>
      <c r="H11" s="1">
        <v>2.2441000000000001E-12</v>
      </c>
      <c r="I11" s="1">
        <v>8.7839999999999995E-14</v>
      </c>
      <c r="J11" s="8"/>
      <c r="K11" s="1"/>
      <c r="L11" s="1"/>
      <c r="M11" s="1"/>
      <c r="N11" s="7"/>
      <c r="O11">
        <f t="shared" si="4"/>
        <v>0.3674</v>
      </c>
      <c r="P11" s="6">
        <f t="shared" si="5"/>
        <v>99.927068945569559</v>
      </c>
      <c r="Q11" s="6">
        <f t="shared" si="0"/>
        <v>4.0958071640672387</v>
      </c>
      <c r="R11" s="6">
        <f t="shared" si="1"/>
        <v>6.9008512012373957E-2</v>
      </c>
      <c r="S11" s="5">
        <f t="shared" si="2"/>
        <v>0</v>
      </c>
      <c r="T11" s="6">
        <f t="shared" si="3"/>
        <v>95.762253269489946</v>
      </c>
      <c r="U11" s="1">
        <f t="shared" si="3"/>
        <v>95.762253269489946</v>
      </c>
      <c r="V11" s="1">
        <f t="shared" si="3"/>
        <v>95.762253269489946</v>
      </c>
      <c r="X11" s="9"/>
      <c r="Y11" s="2"/>
      <c r="Z11" s="2"/>
      <c r="AA11" s="16"/>
      <c r="AB11" s="11" t="s">
        <v>33</v>
      </c>
      <c r="AC11" s="2"/>
      <c r="AD11" s="1"/>
      <c r="AE11" s="1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B12" s="7">
        <v>25.73</v>
      </c>
      <c r="C12" s="8">
        <v>1.2152999999999999E-10</v>
      </c>
      <c r="D12" s="8">
        <v>1.2152999999999999E-10</v>
      </c>
      <c r="E12" s="8">
        <v>1.2152999999999999E-10</v>
      </c>
      <c r="F12" s="1">
        <v>2.9605000000000002E-12</v>
      </c>
      <c r="G12" s="1">
        <v>5.4276000000000003E-17</v>
      </c>
      <c r="H12" s="1">
        <v>2.6530000000000001E-12</v>
      </c>
      <c r="I12" s="1">
        <v>1.1713E-13</v>
      </c>
      <c r="J12" s="8"/>
      <c r="K12" s="1"/>
      <c r="L12" s="1"/>
      <c r="M12" s="1"/>
      <c r="N12" s="7"/>
      <c r="O12">
        <f t="shared" si="4"/>
        <v>0.42883333333333334</v>
      </c>
      <c r="P12" s="6">
        <f t="shared" si="5"/>
        <v>99.924318455943819</v>
      </c>
      <c r="Q12" s="6">
        <f t="shared" si="0"/>
        <v>4.4076861981656421</v>
      </c>
      <c r="R12" s="6">
        <f t="shared" si="1"/>
        <v>9.2012383711986001E-2</v>
      </c>
      <c r="S12" s="5">
        <f t="shared" si="2"/>
        <v>0</v>
      </c>
      <c r="T12" s="6">
        <f t="shared" si="3"/>
        <v>95.424619874066181</v>
      </c>
      <c r="U12" s="1">
        <f t="shared" si="3"/>
        <v>95.424619874066181</v>
      </c>
      <c r="V12" s="1">
        <f t="shared" si="3"/>
        <v>95.424619874066181</v>
      </c>
      <c r="X12" s="9"/>
      <c r="Y12" s="2"/>
      <c r="Z12" s="2"/>
      <c r="AA12" s="12" t="s">
        <v>32</v>
      </c>
      <c r="AB12" s="17">
        <f>AC8</f>
        <v>22.125752695700882</v>
      </c>
      <c r="AC12" s="2"/>
      <c r="AD12" s="1"/>
      <c r="AE12" s="1"/>
      <c r="AF12" s="1" t="s">
        <v>51</v>
      </c>
      <c r="AG12" s="1" t="s">
        <v>52</v>
      </c>
      <c r="AH12" s="1" t="s">
        <v>53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>
      <c r="B13" s="7">
        <v>29.417000000000002</v>
      </c>
      <c r="C13" s="8">
        <v>1.211E-10</v>
      </c>
      <c r="D13" s="8">
        <v>1.211E-10</v>
      </c>
      <c r="E13" s="8">
        <v>1.211E-10</v>
      </c>
      <c r="F13" s="1">
        <v>2.9489000000000001E-12</v>
      </c>
      <c r="G13" s="1">
        <v>6.0044999999999998E-17</v>
      </c>
      <c r="H13" s="1">
        <v>3.0607000000000001E-12</v>
      </c>
      <c r="I13" s="1">
        <v>1.4996E-13</v>
      </c>
      <c r="J13" s="8"/>
      <c r="K13" s="1"/>
      <c r="L13" s="1"/>
      <c r="M13" s="1"/>
      <c r="N13" s="7"/>
      <c r="O13">
        <f t="shared" si="4"/>
        <v>0.49028333333333335</v>
      </c>
      <c r="P13" s="6">
        <f t="shared" si="5"/>
        <v>99.923482828208833</v>
      </c>
      <c r="Q13" s="6">
        <f t="shared" si="0"/>
        <v>4.7187015189269177</v>
      </c>
      <c r="R13" s="6">
        <f t="shared" si="1"/>
        <v>0.11779483063947425</v>
      </c>
      <c r="S13" s="5">
        <f t="shared" si="2"/>
        <v>0</v>
      </c>
      <c r="T13" s="6">
        <f t="shared" si="3"/>
        <v>95.086986478642444</v>
      </c>
      <c r="U13" s="1">
        <f t="shared" si="3"/>
        <v>95.086986478642444</v>
      </c>
      <c r="V13" s="1">
        <f t="shared" si="3"/>
        <v>95.086986478642444</v>
      </c>
      <c r="X13" s="9"/>
      <c r="Y13" s="2"/>
      <c r="Z13" s="2"/>
      <c r="AA13" s="13" t="s">
        <v>31</v>
      </c>
      <c r="AB13" s="18">
        <f>AA8</f>
        <v>8.4918078700462107</v>
      </c>
      <c r="AC13" s="2"/>
      <c r="AD13" s="1"/>
      <c r="AE13" s="1"/>
      <c r="AF13" s="1" t="s">
        <v>54</v>
      </c>
      <c r="AG13" s="1" t="s">
        <v>55</v>
      </c>
      <c r="AH13" s="1" t="s">
        <v>56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>
      <c r="B14" s="7">
        <v>36.79</v>
      </c>
      <c r="C14" s="8">
        <v>1.2022E-10</v>
      </c>
      <c r="D14" s="8">
        <v>1.2022E-10</v>
      </c>
      <c r="E14" s="8">
        <v>1.2022E-10</v>
      </c>
      <c r="F14" s="1">
        <v>2.9263000000000002E-12</v>
      </c>
      <c r="G14" s="1">
        <v>6.7608999999999998E-17</v>
      </c>
      <c r="H14" s="1">
        <v>3.8726999999999998E-12</v>
      </c>
      <c r="I14" s="1">
        <v>2.2403000000000001E-13</v>
      </c>
      <c r="J14" s="8"/>
      <c r="K14" s="1"/>
      <c r="L14" s="1"/>
      <c r="M14" s="1"/>
      <c r="N14" s="7"/>
      <c r="O14">
        <f t="shared" si="4"/>
        <v>0.61316666666666664</v>
      </c>
      <c r="P14" s="6">
        <f t="shared" si="5"/>
        <v>99.910509511540582</v>
      </c>
      <c r="Q14" s="6">
        <f t="shared" si="0"/>
        <v>5.3385336174094959</v>
      </c>
      <c r="R14" s="6">
        <f t="shared" si="1"/>
        <v>0.17596008519305614</v>
      </c>
      <c r="S14" s="5">
        <f t="shared" si="2"/>
        <v>0</v>
      </c>
      <c r="T14" s="6">
        <f t="shared" si="3"/>
        <v>94.396015808938017</v>
      </c>
      <c r="U14" s="1">
        <f t="shared" si="3"/>
        <v>94.396015808938017</v>
      </c>
      <c r="V14" s="1">
        <f t="shared" si="3"/>
        <v>94.396015808938017</v>
      </c>
      <c r="X14" s="9"/>
      <c r="Y14" s="2"/>
      <c r="Z14" s="2"/>
      <c r="AA14" s="14" t="s">
        <v>30</v>
      </c>
      <c r="AB14" s="19">
        <f>Z8</f>
        <v>69.360033608738263</v>
      </c>
      <c r="AC14" s="2"/>
      <c r="AD14" s="1"/>
      <c r="AE14" s="1"/>
      <c r="AF14" s="1" t="s">
        <v>57</v>
      </c>
      <c r="AG14" s="1" t="s">
        <v>58</v>
      </c>
      <c r="AH14" s="1" t="s">
        <v>59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8" thickBot="1">
      <c r="B15" s="7">
        <v>44.161999999999999</v>
      </c>
      <c r="C15" s="8">
        <v>1.1935000000000001E-10</v>
      </c>
      <c r="D15" s="8">
        <v>1.1935000000000001E-10</v>
      </c>
      <c r="E15" s="8">
        <v>1.1935000000000001E-10</v>
      </c>
      <c r="F15" s="1">
        <v>2.9041000000000001E-12</v>
      </c>
      <c r="G15" s="1">
        <v>7.3185E-17</v>
      </c>
      <c r="H15" s="1">
        <v>4.6796000000000004E-12</v>
      </c>
      <c r="I15" s="1">
        <v>3.0668000000000001E-13</v>
      </c>
      <c r="J15" s="8"/>
      <c r="K15" s="1"/>
      <c r="L15" s="1"/>
      <c r="M15" s="1"/>
      <c r="N15" s="7"/>
      <c r="O15">
        <f t="shared" si="4"/>
        <v>0.73603333333333332</v>
      </c>
      <c r="P15" s="6">
        <f t="shared" si="5"/>
        <v>99.908433125833469</v>
      </c>
      <c r="Q15" s="6">
        <f t="shared" si="0"/>
        <v>5.9546753043607001</v>
      </c>
      <c r="R15" s="6">
        <f t="shared" si="1"/>
        <v>0.24086074281069783</v>
      </c>
      <c r="S15" s="5">
        <f t="shared" si="2"/>
        <v>0</v>
      </c>
      <c r="T15" s="6">
        <f t="shared" si="3"/>
        <v>93.712897078662067</v>
      </c>
      <c r="U15" s="1">
        <f t="shared" si="3"/>
        <v>93.712897078662067</v>
      </c>
      <c r="V15" s="1">
        <f t="shared" si="3"/>
        <v>93.712897078662067</v>
      </c>
      <c r="X15" s="1"/>
      <c r="Y15" s="5"/>
      <c r="Z15" s="1"/>
      <c r="AA15" s="15" t="s">
        <v>11</v>
      </c>
      <c r="AB15" s="20">
        <f>AB8</f>
        <v>0</v>
      </c>
      <c r="AC15" s="1"/>
      <c r="AD15" s="1"/>
      <c r="AE15" s="1"/>
      <c r="AF15" s="1" t="s">
        <v>19</v>
      </c>
      <c r="AG15" s="1">
        <v>0.1</v>
      </c>
      <c r="AH15" s="1">
        <v>0.1</v>
      </c>
      <c r="AI15" s="1" t="s">
        <v>47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>
      <c r="B16" s="7">
        <v>51.534999999999997</v>
      </c>
      <c r="C16" s="8">
        <v>1.1847000000000001E-10</v>
      </c>
      <c r="D16" s="8">
        <v>1.1847000000000001E-10</v>
      </c>
      <c r="E16" s="8">
        <v>1.1847000000000001E-10</v>
      </c>
      <c r="F16" s="1">
        <v>2.8821E-12</v>
      </c>
      <c r="G16" s="1">
        <v>7.7968999999999995E-17</v>
      </c>
      <c r="H16" s="1">
        <v>5.4813000000000001E-12</v>
      </c>
      <c r="I16" s="1">
        <v>3.9514000000000002E-13</v>
      </c>
      <c r="J16" s="8"/>
      <c r="K16" s="1"/>
      <c r="L16" s="1"/>
      <c r="M16" s="1"/>
      <c r="N16" s="7"/>
      <c r="O16">
        <f t="shared" si="4"/>
        <v>0.85891666666666666</v>
      </c>
      <c r="P16" s="6">
        <f t="shared" si="5"/>
        <v>99.899140185917986</v>
      </c>
      <c r="Q16" s="6">
        <f t="shared" si="0"/>
        <v>6.566891021597673</v>
      </c>
      <c r="R16" s="6">
        <f t="shared" si="1"/>
        <v>0.31032275536267162</v>
      </c>
      <c r="S16" s="5">
        <f t="shared" si="2"/>
        <v>0</v>
      </c>
      <c r="T16" s="6">
        <f t="shared" si="3"/>
        <v>93.02192640895764</v>
      </c>
      <c r="U16" s="1">
        <f t="shared" si="3"/>
        <v>93.02192640895764</v>
      </c>
      <c r="V16" s="1">
        <f t="shared" si="3"/>
        <v>93.02192640895764</v>
      </c>
      <c r="X16" s="1"/>
      <c r="AD16" s="1"/>
      <c r="AE16" s="1"/>
      <c r="AF16" s="1" t="s">
        <v>63</v>
      </c>
      <c r="AG16" s="1" t="s">
        <v>64</v>
      </c>
      <c r="AH16" s="1" t="s">
        <v>65</v>
      </c>
      <c r="AI16" s="1" t="s">
        <v>66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>
      <c r="B17" s="7">
        <v>58.908000000000001</v>
      </c>
      <c r="C17" s="8">
        <v>1.1759E-10</v>
      </c>
      <c r="D17" s="8">
        <v>1.1759E-10</v>
      </c>
      <c r="E17" s="8">
        <v>1.1759E-10</v>
      </c>
      <c r="F17" s="1">
        <v>2.8603999999999998E-12</v>
      </c>
      <c r="G17" s="1">
        <v>8.0658000000000003E-17</v>
      </c>
      <c r="H17" s="1">
        <v>6.2777000000000002E-12</v>
      </c>
      <c r="I17" s="1">
        <v>4.8736999999999997E-13</v>
      </c>
      <c r="J17" s="8"/>
      <c r="K17" s="1"/>
      <c r="L17" s="1"/>
      <c r="M17" s="1"/>
      <c r="N17" s="7"/>
      <c r="O17">
        <f t="shared" si="4"/>
        <v>0.98180000000000001</v>
      </c>
      <c r="P17" s="6">
        <f t="shared" si="5"/>
        <v>99.888879812471501</v>
      </c>
      <c r="Q17" s="6">
        <f t="shared" si="0"/>
        <v>7.1751807691204181</v>
      </c>
      <c r="R17" s="6">
        <f t="shared" si="1"/>
        <v>0.38274330409786417</v>
      </c>
      <c r="S17" s="5">
        <f t="shared" si="2"/>
        <v>0</v>
      </c>
      <c r="T17" s="6">
        <f t="shared" si="3"/>
        <v>92.330955739253213</v>
      </c>
      <c r="U17" s="1">
        <f t="shared" si="3"/>
        <v>92.330955739253213</v>
      </c>
      <c r="V17" s="1">
        <f t="shared" si="3"/>
        <v>92.330955739253213</v>
      </c>
      <c r="X17" s="5"/>
      <c r="Y17" s="5"/>
      <c r="Z17" s="5"/>
      <c r="AA17" s="5"/>
      <c r="AB17" s="5"/>
      <c r="AC17" s="1"/>
      <c r="AD17" s="5"/>
      <c r="AE17" s="5"/>
      <c r="AF17" s="1" t="s">
        <v>67</v>
      </c>
      <c r="AG17" s="1">
        <v>0.7</v>
      </c>
      <c r="AH17" s="1">
        <v>0.7</v>
      </c>
      <c r="AI17" s="1" t="s">
        <v>68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>
      <c r="B18" s="7">
        <v>66.281000000000006</v>
      </c>
      <c r="C18" s="8">
        <v>1.1672000000000001E-10</v>
      </c>
      <c r="D18" s="8">
        <v>1.1672000000000001E-10</v>
      </c>
      <c r="E18" s="8">
        <v>1.1672000000000001E-10</v>
      </c>
      <c r="F18" s="1">
        <v>2.8388999999999999E-12</v>
      </c>
      <c r="G18" s="1">
        <v>8.2064999999999996E-17</v>
      </c>
      <c r="H18" s="1">
        <v>7.0686E-12</v>
      </c>
      <c r="I18" s="1">
        <v>5.8190999999999999E-13</v>
      </c>
      <c r="J18" s="8"/>
      <c r="K18" s="1"/>
      <c r="L18" s="1"/>
      <c r="M18" s="1"/>
      <c r="N18" s="7"/>
      <c r="O18">
        <f t="shared" si="4"/>
        <v>1.1046833333333335</v>
      </c>
      <c r="P18" s="6">
        <f t="shared" si="5"/>
        <v>99.884122641945751</v>
      </c>
      <c r="Q18" s="6">
        <f t="shared" si="0"/>
        <v>7.7793089887460765</v>
      </c>
      <c r="R18" s="6">
        <f t="shared" si="1"/>
        <v>0.45697664422239637</v>
      </c>
      <c r="S18" s="5">
        <f t="shared" si="2"/>
        <v>0</v>
      </c>
      <c r="T18" s="6">
        <f t="shared" ref="T18:V81" si="6">C18/$A$1*100</f>
        <v>91.647837008977262</v>
      </c>
      <c r="U18" s="1">
        <f t="shared" si="6"/>
        <v>91.647837008977262</v>
      </c>
      <c r="V18" s="1">
        <f t="shared" si="6"/>
        <v>91.647837008977262</v>
      </c>
      <c r="X18" s="5"/>
      <c r="Y18" s="5"/>
      <c r="Z18" s="5"/>
      <c r="AA18" s="5"/>
      <c r="AB18" s="5"/>
      <c r="AC18" s="1"/>
      <c r="AD18" s="5"/>
      <c r="AE18" s="5"/>
      <c r="AF18" t="s">
        <v>69</v>
      </c>
      <c r="AG18" s="1" t="s">
        <v>70</v>
      </c>
      <c r="AH18" s="1" t="s">
        <v>71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>
      <c r="B19" s="7">
        <v>73.653999999999996</v>
      </c>
      <c r="C19" s="8">
        <v>1.1585000000000001E-10</v>
      </c>
      <c r="D19" s="8">
        <v>1.1585000000000001E-10</v>
      </c>
      <c r="E19" s="8">
        <v>1.1585000000000001E-10</v>
      </c>
      <c r="F19" s="1">
        <v>2.8176E-12</v>
      </c>
      <c r="G19" s="1">
        <v>8.2845000000000006E-17</v>
      </c>
      <c r="H19" s="1">
        <v>7.8539999999999995E-12</v>
      </c>
      <c r="I19" s="1">
        <v>6.7776000000000003E-13</v>
      </c>
      <c r="J19" s="8"/>
      <c r="K19" s="1"/>
      <c r="L19" s="1"/>
      <c r="M19" s="1"/>
      <c r="N19" s="7"/>
      <c r="O19">
        <f t="shared" si="4"/>
        <v>1.2275666666666667</v>
      </c>
      <c r="P19" s="6">
        <f t="shared" si="5"/>
        <v>99.876232055271402</v>
      </c>
      <c r="Q19" s="6">
        <f t="shared" si="0"/>
        <v>8.3792756804746542</v>
      </c>
      <c r="R19" s="6">
        <f t="shared" si="1"/>
        <v>0.53223809609545436</v>
      </c>
      <c r="S19" s="5">
        <f t="shared" si="2"/>
        <v>0</v>
      </c>
      <c r="T19" s="6">
        <f t="shared" si="6"/>
        <v>90.964718278701312</v>
      </c>
      <c r="U19" s="1">
        <f t="shared" si="6"/>
        <v>90.964718278701312</v>
      </c>
      <c r="V19" s="1">
        <f t="shared" si="6"/>
        <v>90.964718278701312</v>
      </c>
      <c r="X19" s="5"/>
      <c r="Y19" s="5"/>
      <c r="Z19" s="5"/>
      <c r="AA19" s="5"/>
      <c r="AB19" s="5"/>
      <c r="AC19" s="1"/>
      <c r="AD19" s="5"/>
      <c r="AE19" s="5"/>
      <c r="AF19" t="s">
        <v>72</v>
      </c>
      <c r="AG19" s="1" t="s">
        <v>73</v>
      </c>
      <c r="AH19" s="1" t="s">
        <v>74</v>
      </c>
      <c r="AI19" s="1" t="s">
        <v>75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>
      <c r="B20" s="7">
        <v>88.399000000000001</v>
      </c>
      <c r="C20" s="8">
        <v>1.1413E-10</v>
      </c>
      <c r="D20" s="8">
        <v>1.1413E-10</v>
      </c>
      <c r="E20" s="8">
        <v>1.1413E-10</v>
      </c>
      <c r="F20" s="1">
        <v>2.7755E-12</v>
      </c>
      <c r="G20" s="1">
        <v>8.1382E-17</v>
      </c>
      <c r="H20" s="1">
        <v>9.4080000000000003E-12</v>
      </c>
      <c r="I20" s="1">
        <v>8.7078999999999997E-13</v>
      </c>
      <c r="J20" s="8"/>
      <c r="K20" s="1"/>
      <c r="L20" s="1"/>
      <c r="M20" s="1"/>
      <c r="N20" s="7"/>
      <c r="O20">
        <f t="shared" si="4"/>
        <v>1.4733166666666666</v>
      </c>
      <c r="P20" s="6">
        <f t="shared" si="5"/>
        <v>99.864398033813984</v>
      </c>
      <c r="Q20" s="6">
        <f t="shared" si="0"/>
        <v>9.5664104026634202</v>
      </c>
      <c r="R20" s="6">
        <f t="shared" si="1"/>
        <v>0.68380293414426641</v>
      </c>
      <c r="S20" s="5">
        <f t="shared" si="2"/>
        <v>0</v>
      </c>
      <c r="T20" s="6">
        <f t="shared" si="6"/>
        <v>89.614184697006294</v>
      </c>
      <c r="U20" s="1">
        <f t="shared" si="6"/>
        <v>89.614184697006294</v>
      </c>
      <c r="V20" s="1">
        <f t="shared" si="6"/>
        <v>89.614184697006294</v>
      </c>
      <c r="X20" s="5"/>
      <c r="Y20" s="5"/>
      <c r="Z20" s="5"/>
      <c r="AA20" s="5"/>
      <c r="AB20" s="5"/>
      <c r="AC20" s="1"/>
      <c r="AD20" s="5"/>
      <c r="AE20" s="5"/>
      <c r="AF20" t="s">
        <v>76</v>
      </c>
      <c r="AG20" s="1" t="s">
        <v>77</v>
      </c>
      <c r="AH20" s="1" t="s">
        <v>78</v>
      </c>
      <c r="AI20" s="1" t="s">
        <v>79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>
      <c r="B21" s="7">
        <v>103.14</v>
      </c>
      <c r="C21" s="8">
        <v>1.1243000000000001E-10</v>
      </c>
      <c r="D21" s="8">
        <v>1.1243000000000001E-10</v>
      </c>
      <c r="E21" s="8">
        <v>1.1243000000000001E-10</v>
      </c>
      <c r="F21" s="1">
        <v>2.7340999999999998E-12</v>
      </c>
      <c r="G21" s="1">
        <v>8.0361000000000006E-17</v>
      </c>
      <c r="H21" s="1">
        <v>1.094E-11</v>
      </c>
      <c r="I21" s="1">
        <v>1.0637E-12</v>
      </c>
      <c r="J21" s="8"/>
      <c r="K21" s="1"/>
      <c r="L21" s="1"/>
      <c r="M21" s="1"/>
      <c r="N21" s="7"/>
      <c r="O21">
        <f t="shared" si="4"/>
        <v>1.7190000000000001</v>
      </c>
      <c r="P21" s="6">
        <f t="shared" si="5"/>
        <v>99.851449384013435</v>
      </c>
      <c r="Q21" s="6">
        <f t="shared" si="0"/>
        <v>10.736820493869567</v>
      </c>
      <c r="R21" s="6">
        <f t="shared" si="1"/>
        <v>0.8352738959756596</v>
      </c>
      <c r="S21" s="5">
        <f t="shared" si="2"/>
        <v>0</v>
      </c>
      <c r="T21" s="6">
        <f t="shared" si="6"/>
        <v>88.279354994168216</v>
      </c>
      <c r="U21" s="1">
        <f t="shared" si="6"/>
        <v>88.279354994168216</v>
      </c>
      <c r="V21" s="1">
        <f t="shared" si="6"/>
        <v>88.279354994168216</v>
      </c>
      <c r="X21" s="5"/>
      <c r="Y21" s="5"/>
      <c r="Z21" s="5"/>
      <c r="AA21" s="5"/>
      <c r="AB21" s="5"/>
      <c r="AC21" s="1"/>
      <c r="AD21" s="5"/>
      <c r="AE21" s="5"/>
      <c r="AF21" t="s">
        <v>80</v>
      </c>
      <c r="AG21" s="1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49"/>
      <c r="AW21" s="49"/>
      <c r="AX21" s="49"/>
      <c r="AY21" s="49"/>
      <c r="AZ21" s="49"/>
      <c r="BA21" s="49"/>
      <c r="BB21" s="49"/>
      <c r="BC21" s="49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>
      <c r="B22" s="7">
        <v>117.89</v>
      </c>
      <c r="C22" s="8">
        <v>1.1075000000000001E-10</v>
      </c>
      <c r="D22" s="8">
        <v>1.1075000000000001E-10</v>
      </c>
      <c r="E22" s="8">
        <v>1.1075000000000001E-10</v>
      </c>
      <c r="F22" s="1">
        <v>2.6932999999999998E-12</v>
      </c>
      <c r="G22" s="1">
        <v>8.1047999999999996E-17</v>
      </c>
      <c r="H22" s="1">
        <v>1.2449000000000001E-11</v>
      </c>
      <c r="I22" s="1">
        <v>1.255E-12</v>
      </c>
      <c r="J22" s="8"/>
      <c r="K22" s="1"/>
      <c r="L22" s="1"/>
      <c r="M22" s="1"/>
      <c r="N22" s="7"/>
      <c r="O22">
        <f t="shared" si="4"/>
        <v>1.9648333333333334</v>
      </c>
      <c r="P22" s="6">
        <f t="shared" si="5"/>
        <v>99.835353447613329</v>
      </c>
      <c r="Q22" s="6">
        <f t="shared" si="0"/>
        <v>11.889642240755967</v>
      </c>
      <c r="R22" s="6">
        <f t="shared" si="1"/>
        <v>0.9854820366703253</v>
      </c>
      <c r="S22" s="5">
        <f t="shared" si="2"/>
        <v>0</v>
      </c>
      <c r="T22" s="6">
        <f t="shared" si="6"/>
        <v>86.960229170187048</v>
      </c>
      <c r="U22" s="1">
        <f t="shared" si="6"/>
        <v>86.960229170187048</v>
      </c>
      <c r="V22" s="1">
        <f t="shared" si="6"/>
        <v>86.960229170187048</v>
      </c>
      <c r="X22" s="5"/>
      <c r="Y22" s="5"/>
      <c r="Z22" s="5"/>
      <c r="AA22" s="5"/>
      <c r="AB22" s="5"/>
      <c r="AC22" s="1"/>
      <c r="AD22" s="5"/>
      <c r="AE22" s="5"/>
      <c r="AF22" s="1" t="s">
        <v>144</v>
      </c>
      <c r="AG22" s="1" t="s">
        <v>145</v>
      </c>
      <c r="AH22" s="1" t="s">
        <v>146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>
      <c r="B23" s="7">
        <v>132.63999999999999</v>
      </c>
      <c r="C23" s="8">
        <v>1.091E-10</v>
      </c>
      <c r="D23" s="8">
        <v>1.091E-10</v>
      </c>
      <c r="E23" s="8">
        <v>1.091E-10</v>
      </c>
      <c r="F23" s="1">
        <v>2.6531000000000001E-12</v>
      </c>
      <c r="G23" s="1">
        <v>8.0290999999999999E-17</v>
      </c>
      <c r="H23" s="1">
        <v>1.3936E-11</v>
      </c>
      <c r="I23" s="1">
        <v>1.4439999999999999E-12</v>
      </c>
      <c r="J23" s="8"/>
      <c r="K23" s="1"/>
      <c r="L23" s="1"/>
      <c r="M23" s="1"/>
      <c r="N23" s="7"/>
      <c r="O23">
        <f t="shared" si="4"/>
        <v>2.2106666666666666</v>
      </c>
      <c r="P23" s="6">
        <f t="shared" si="5"/>
        <v>99.824203099233102</v>
      </c>
      <c r="Q23" s="6">
        <f t="shared" si="0"/>
        <v>13.025660837265463</v>
      </c>
      <c r="R23" s="6">
        <f t="shared" si="1"/>
        <v>1.1338830974763916</v>
      </c>
      <c r="S23" s="5">
        <f t="shared" si="2"/>
        <v>0</v>
      </c>
      <c r="T23" s="6">
        <f t="shared" si="6"/>
        <v>85.664659164491255</v>
      </c>
      <c r="U23" s="1">
        <f t="shared" si="6"/>
        <v>85.664659164491255</v>
      </c>
      <c r="V23" s="1">
        <f t="shared" si="6"/>
        <v>85.664659164491255</v>
      </c>
      <c r="X23" s="5"/>
      <c r="Y23" s="5"/>
      <c r="Z23" s="5"/>
      <c r="AA23" s="5"/>
      <c r="AB23" s="5"/>
      <c r="AC23" s="1"/>
      <c r="AD23" s="5"/>
      <c r="AE23" s="5"/>
      <c r="AF23" s="1" t="s">
        <v>147</v>
      </c>
      <c r="AG23" s="1" t="s">
        <v>148</v>
      </c>
      <c r="AH23" s="1" t="s">
        <v>149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>
      <c r="B24" s="7">
        <v>162.13</v>
      </c>
      <c r="C24" s="8">
        <v>1.0587000000000001E-10</v>
      </c>
      <c r="D24" s="8">
        <v>1.0587000000000001E-10</v>
      </c>
      <c r="E24" s="8">
        <v>1.0587000000000001E-10</v>
      </c>
      <c r="F24" s="1">
        <v>2.5745E-12</v>
      </c>
      <c r="G24" s="1">
        <v>7.5670999999999997E-17</v>
      </c>
      <c r="H24" s="1">
        <v>1.6843999999999999E-11</v>
      </c>
      <c r="I24" s="1">
        <v>1.8139999999999999E-12</v>
      </c>
      <c r="J24" s="8"/>
      <c r="K24" s="1"/>
      <c r="L24" s="1"/>
      <c r="M24" s="1"/>
      <c r="N24" s="7"/>
      <c r="O24">
        <f t="shared" si="4"/>
        <v>2.7021666666666664</v>
      </c>
      <c r="P24" s="6">
        <f t="shared" si="5"/>
        <v>99.800172536985997</v>
      </c>
      <c r="Q24" s="6">
        <f t="shared" si="0"/>
        <v>15.247288579153743</v>
      </c>
      <c r="R24" s="6">
        <f t="shared" si="1"/>
        <v>1.4244012287333709</v>
      </c>
      <c r="S24" s="5">
        <f t="shared" si="2"/>
        <v>0</v>
      </c>
      <c r="T24" s="6">
        <f t="shared" si="6"/>
        <v>83.128482729098891</v>
      </c>
      <c r="U24" s="1">
        <f t="shared" si="6"/>
        <v>83.128482729098891</v>
      </c>
      <c r="V24" s="1">
        <f t="shared" si="6"/>
        <v>83.128482729098891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>
      <c r="B25" s="7">
        <v>221.11</v>
      </c>
      <c r="C25" s="8">
        <v>9.9855999999999996E-11</v>
      </c>
      <c r="D25" s="8">
        <v>9.9855999999999996E-11</v>
      </c>
      <c r="E25" s="8">
        <v>9.9855999999999996E-11</v>
      </c>
      <c r="F25" s="1">
        <v>2.4283000000000001E-12</v>
      </c>
      <c r="G25" s="1">
        <v>7.1568E-17</v>
      </c>
      <c r="H25" s="1">
        <v>2.241E-11</v>
      </c>
      <c r="I25" s="1">
        <v>2.522E-12</v>
      </c>
      <c r="J25" s="8"/>
      <c r="K25" s="1"/>
      <c r="L25" s="1"/>
      <c r="M25" s="1"/>
      <c r="N25" s="7"/>
      <c r="O25">
        <f t="shared" si="4"/>
        <v>3.6851666666666669</v>
      </c>
      <c r="P25" s="6">
        <f t="shared" si="5"/>
        <v>99.889524386031113</v>
      </c>
      <c r="Q25" s="6">
        <f t="shared" si="0"/>
        <v>19.502882710590129</v>
      </c>
      <c r="R25" s="6">
        <f t="shared" si="1"/>
        <v>1.9803153186175437</v>
      </c>
      <c r="S25" s="5">
        <f t="shared" si="2"/>
        <v>0</v>
      </c>
      <c r="T25" s="6">
        <f t="shared" si="6"/>
        <v>78.406326356823442</v>
      </c>
      <c r="U25" s="1">
        <f t="shared" si="6"/>
        <v>78.406326356823442</v>
      </c>
      <c r="V25" s="1">
        <f t="shared" si="6"/>
        <v>78.406326356823442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>
      <c r="B26" s="7">
        <v>280.08999999999997</v>
      </c>
      <c r="C26" s="8">
        <v>9.4186000000000004E-11</v>
      </c>
      <c r="D26" s="8">
        <v>9.4186000000000004E-11</v>
      </c>
      <c r="E26" s="8">
        <v>9.4186000000000004E-11</v>
      </c>
      <c r="F26" s="1">
        <v>2.2904E-12</v>
      </c>
      <c r="G26" s="1">
        <v>6.9852000000000001E-17</v>
      </c>
      <c r="H26" s="1">
        <v>2.7661E-11</v>
      </c>
      <c r="I26" s="1">
        <v>3.1900999999999999E-12</v>
      </c>
      <c r="J26" s="8"/>
      <c r="K26" s="1"/>
      <c r="L26" s="1"/>
      <c r="M26" s="1"/>
      <c r="N26" s="7"/>
      <c r="O26">
        <f t="shared" si="4"/>
        <v>4.6681666666666661</v>
      </c>
      <c r="P26" s="6">
        <f t="shared" si="5"/>
        <v>99.976836605082795</v>
      </c>
      <c r="Q26" s="6">
        <f t="shared" si="0"/>
        <v>23.517657859755666</v>
      </c>
      <c r="R26" s="6">
        <f t="shared" si="1"/>
        <v>2.5049020444401053</v>
      </c>
      <c r="S26" s="5">
        <f t="shared" si="2"/>
        <v>0</v>
      </c>
      <c r="T26" s="6">
        <f t="shared" si="6"/>
        <v>73.954276700887007</v>
      </c>
      <c r="U26" s="1">
        <f t="shared" si="6"/>
        <v>73.954276700887007</v>
      </c>
      <c r="V26" s="1">
        <f t="shared" si="6"/>
        <v>73.954276700887007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>
      <c r="B27" s="7">
        <v>339.07</v>
      </c>
      <c r="C27" s="8">
        <v>8.8839000000000005E-11</v>
      </c>
      <c r="D27" s="8">
        <v>8.8839000000000005E-11</v>
      </c>
      <c r="E27" s="8">
        <v>8.8839000000000005E-11</v>
      </c>
      <c r="F27" s="1">
        <v>2.1604E-12</v>
      </c>
      <c r="G27" s="1">
        <v>6.5848000000000003E-17</v>
      </c>
      <c r="H27" s="1">
        <v>3.2612999999999998E-11</v>
      </c>
      <c r="I27" s="1">
        <v>3.8206000000000001E-12</v>
      </c>
      <c r="J27" s="8"/>
      <c r="K27" s="1"/>
      <c r="L27" s="1"/>
      <c r="M27" s="1"/>
      <c r="N27" s="7"/>
      <c r="O27">
        <f t="shared" si="4"/>
        <v>5.6511666666666667</v>
      </c>
      <c r="P27" s="6">
        <f t="shared" si="5"/>
        <v>100.05967142213647</v>
      </c>
      <c r="Q27" s="6">
        <f t="shared" si="0"/>
        <v>27.30386305215875</v>
      </c>
      <c r="R27" s="6">
        <f t="shared" si="1"/>
        <v>2.9999636814879187</v>
      </c>
      <c r="S27" s="5">
        <f t="shared" si="2"/>
        <v>0</v>
      </c>
      <c r="T27" s="6">
        <f t="shared" si="6"/>
        <v>69.755844688489816</v>
      </c>
      <c r="U27" s="1">
        <f t="shared" si="6"/>
        <v>69.755844688489816</v>
      </c>
      <c r="V27" s="1">
        <f t="shared" si="6"/>
        <v>69.755844688489816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>
      <c r="B28" s="7">
        <v>457.04</v>
      </c>
      <c r="C28" s="8">
        <v>7.8845E-11</v>
      </c>
      <c r="D28" s="8">
        <v>7.8845E-11</v>
      </c>
      <c r="E28" s="8">
        <v>7.8845E-11</v>
      </c>
      <c r="F28" s="1">
        <v>1.9173999999999999E-12</v>
      </c>
      <c r="G28" s="1">
        <v>5.6233999999999998E-17</v>
      </c>
      <c r="H28" s="1">
        <v>4.1688000000000003E-11</v>
      </c>
      <c r="I28" s="1">
        <v>4.9754E-12</v>
      </c>
      <c r="J28" s="8"/>
      <c r="K28" s="1"/>
      <c r="L28" s="1"/>
      <c r="M28" s="1"/>
      <c r="N28" s="7"/>
      <c r="O28">
        <f t="shared" si="4"/>
        <v>7.6173333333333337</v>
      </c>
      <c r="P28" s="6">
        <f t="shared" si="5"/>
        <v>100.05401047689344</v>
      </c>
      <c r="Q28" s="6">
        <f t="shared" si="0"/>
        <v>34.238695955374034</v>
      </c>
      <c r="R28" s="6">
        <f t="shared" si="1"/>
        <v>3.9066980978318351</v>
      </c>
      <c r="S28" s="5">
        <f t="shared" si="2"/>
        <v>0</v>
      </c>
      <c r="T28" s="6">
        <f t="shared" si="6"/>
        <v>61.908616423687555</v>
      </c>
      <c r="U28" s="1">
        <f t="shared" si="6"/>
        <v>61.908616423687555</v>
      </c>
      <c r="V28" s="1">
        <f t="shared" si="6"/>
        <v>61.908616423687555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>
      <c r="B29" s="7">
        <v>575</v>
      </c>
      <c r="C29" s="8">
        <v>6.9905999999999999E-11</v>
      </c>
      <c r="D29" s="8">
        <v>6.9905999999999999E-11</v>
      </c>
      <c r="E29" s="8">
        <v>6.9905999999999999E-11</v>
      </c>
      <c r="F29" s="1">
        <v>1.7E-12</v>
      </c>
      <c r="G29" s="1">
        <v>4.9561000000000003E-17</v>
      </c>
      <c r="H29" s="1">
        <v>4.9738000000000003E-11</v>
      </c>
      <c r="I29" s="1">
        <v>5.9987999999999998E-12</v>
      </c>
      <c r="J29" s="8"/>
      <c r="K29" s="1"/>
      <c r="L29" s="1"/>
      <c r="M29" s="1"/>
      <c r="N29" s="7"/>
      <c r="O29">
        <f t="shared" si="4"/>
        <v>9.5833333333333339</v>
      </c>
      <c r="P29" s="6">
        <f t="shared" si="5"/>
        <v>99.988834140038023</v>
      </c>
      <c r="Q29" s="6">
        <f t="shared" si="0"/>
        <v>40.38880603210908</v>
      </c>
      <c r="R29" s="6">
        <f t="shared" si="1"/>
        <v>4.7102603393411817</v>
      </c>
      <c r="S29" s="5">
        <f t="shared" si="2"/>
        <v>0</v>
      </c>
      <c r="T29" s="6">
        <f t="shared" si="6"/>
        <v>54.889767768587774</v>
      </c>
      <c r="U29" s="1">
        <f t="shared" si="6"/>
        <v>54.889767768587774</v>
      </c>
      <c r="V29" s="1">
        <f t="shared" si="6"/>
        <v>54.889767768587774</v>
      </c>
      <c r="X29" s="5"/>
      <c r="Y29" s="5"/>
      <c r="Z29" s="5"/>
      <c r="AA29" s="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>
      <c r="B30" s="7">
        <v>810.93</v>
      </c>
      <c r="C30" s="8">
        <v>5.4807000000000003E-11</v>
      </c>
      <c r="D30" s="8">
        <v>5.4807000000000003E-11</v>
      </c>
      <c r="E30" s="8">
        <v>5.4807000000000003E-11</v>
      </c>
      <c r="F30" s="1">
        <v>1.3327999999999999E-12</v>
      </c>
      <c r="G30" s="1">
        <v>3.9612000000000002E-17</v>
      </c>
      <c r="H30" s="1">
        <v>6.3235999999999998E-11</v>
      </c>
      <c r="I30" s="1">
        <v>7.7153999999999992E-12</v>
      </c>
      <c r="J30" s="8"/>
      <c r="K30" s="1"/>
      <c r="L30" s="1"/>
      <c r="M30" s="1"/>
      <c r="N30" s="7"/>
      <c r="O30">
        <f t="shared" si="4"/>
        <v>13.515499999999999</v>
      </c>
      <c r="P30" s="6">
        <f t="shared" si="5"/>
        <v>99.791271532123446</v>
      </c>
      <c r="Q30" s="6">
        <f t="shared" si="0"/>
        <v>50.699030656830459</v>
      </c>
      <c r="R30" s="6">
        <f t="shared" si="1"/>
        <v>6.0581164497359721</v>
      </c>
      <c r="S30" s="5">
        <f t="shared" si="2"/>
        <v>0</v>
      </c>
      <c r="T30" s="6">
        <f t="shared" si="6"/>
        <v>43.034124425557032</v>
      </c>
      <c r="U30" s="1">
        <f t="shared" si="6"/>
        <v>43.034124425557032</v>
      </c>
      <c r="V30" s="1">
        <f t="shared" si="6"/>
        <v>43.034124425557032</v>
      </c>
      <c r="X30" s="5"/>
      <c r="Y30" s="5"/>
      <c r="Z30" s="5"/>
      <c r="AA30" s="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>
      <c r="B31" s="7">
        <v>1046.9000000000001</v>
      </c>
      <c r="C31" s="8">
        <v>4.2899E-11</v>
      </c>
      <c r="D31" s="8">
        <v>4.2899E-11</v>
      </c>
      <c r="E31" s="8">
        <v>4.2899E-11</v>
      </c>
      <c r="F31" s="1">
        <v>1.0432E-12</v>
      </c>
      <c r="G31" s="1">
        <v>3.1318999999999998E-17</v>
      </c>
      <c r="H31" s="1">
        <v>7.3810999999999997E-11</v>
      </c>
      <c r="I31" s="1">
        <v>9.0613999999999993E-12</v>
      </c>
      <c r="J31" s="8"/>
      <c r="K31" s="1"/>
      <c r="L31" s="1"/>
      <c r="M31" s="1"/>
      <c r="N31" s="7"/>
      <c r="O31">
        <f t="shared" si="4"/>
        <v>17.448333333333334</v>
      </c>
      <c r="P31" s="6">
        <f t="shared" si="5"/>
        <v>99.574080375918911</v>
      </c>
      <c r="Q31" s="6">
        <f t="shared" si="0"/>
        <v>58.775064436578006</v>
      </c>
      <c r="R31" s="6">
        <f t="shared" si="1"/>
        <v>7.1149809851932293</v>
      </c>
      <c r="S31" s="5">
        <f t="shared" si="2"/>
        <v>0</v>
      </c>
      <c r="T31" s="6">
        <f t="shared" si="6"/>
        <v>33.684034954147663</v>
      </c>
      <c r="U31" s="1">
        <f t="shared" si="6"/>
        <v>33.684034954147663</v>
      </c>
      <c r="V31" s="1">
        <f t="shared" si="6"/>
        <v>33.684034954147663</v>
      </c>
      <c r="X31" s="5"/>
      <c r="Y31" s="5"/>
      <c r="Z31" s="5"/>
      <c r="AA31" s="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>
      <c r="B32" s="7">
        <v>1282.8</v>
      </c>
      <c r="C32" s="8">
        <v>3.3553999999999999E-11</v>
      </c>
      <c r="D32" s="8">
        <v>3.3553999999999999E-11</v>
      </c>
      <c r="E32" s="8">
        <v>3.3553999999999999E-11</v>
      </c>
      <c r="F32" s="1">
        <v>8.1597000000000001E-13</v>
      </c>
      <c r="G32" s="1">
        <v>2.4333000000000001E-17</v>
      </c>
      <c r="H32" s="1">
        <v>8.2086000000000002E-11</v>
      </c>
      <c r="I32" s="1">
        <v>1.0115E-11</v>
      </c>
      <c r="J32" s="8"/>
      <c r="K32" s="1"/>
      <c r="L32" s="1"/>
      <c r="M32" s="1"/>
      <c r="N32" s="7"/>
      <c r="O32">
        <f t="shared" si="4"/>
        <v>21.38</v>
      </c>
      <c r="P32" s="6">
        <f t="shared" si="5"/>
        <v>99.382778090258469</v>
      </c>
      <c r="Q32" s="6">
        <f t="shared" si="0"/>
        <v>65.094124693995226</v>
      </c>
      <c r="R32" s="6">
        <f t="shared" si="1"/>
        <v>7.9422558380108201</v>
      </c>
      <c r="S32" s="5">
        <f t="shared" si="2"/>
        <v>0</v>
      </c>
      <c r="T32" s="6">
        <f t="shared" si="6"/>
        <v>26.34639755825242</v>
      </c>
      <c r="U32" s="1">
        <f t="shared" si="6"/>
        <v>26.34639755825242</v>
      </c>
      <c r="V32" s="1">
        <f t="shared" si="6"/>
        <v>26.34639755825242</v>
      </c>
      <c r="X32" s="5"/>
      <c r="Y32" s="5"/>
      <c r="Z32" s="5"/>
      <c r="AA32" s="5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>
      <c r="B33" s="7">
        <v>1518.7</v>
      </c>
      <c r="C33" s="8">
        <v>2.6237000000000001E-11</v>
      </c>
      <c r="D33" s="8">
        <v>2.6237000000000001E-11</v>
      </c>
      <c r="E33" s="8">
        <v>2.6237000000000001E-11</v>
      </c>
      <c r="F33" s="1">
        <v>6.3802999999999996E-13</v>
      </c>
      <c r="G33" s="1">
        <v>1.886E-17</v>
      </c>
      <c r="H33" s="1">
        <v>8.8557000000000002E-11</v>
      </c>
      <c r="I33" s="1">
        <v>1.0938E-11</v>
      </c>
      <c r="J33" s="8"/>
      <c r="K33" s="1"/>
      <c r="L33" s="1"/>
      <c r="M33" s="1"/>
      <c r="N33" s="7"/>
      <c r="O33">
        <f t="shared" si="4"/>
        <v>25.311666666666667</v>
      </c>
      <c r="P33" s="6">
        <f t="shared" si="5"/>
        <v>99.224996922016558</v>
      </c>
      <c r="Q33" s="6">
        <f t="shared" si="0"/>
        <v>70.035397287961246</v>
      </c>
      <c r="R33" s="6">
        <f t="shared" si="1"/>
        <v>8.5884661556065733</v>
      </c>
      <c r="S33" s="5">
        <f t="shared" si="2"/>
        <v>0</v>
      </c>
      <c r="T33" s="6">
        <f t="shared" si="6"/>
        <v>20.601133478448734</v>
      </c>
      <c r="U33" s="1">
        <f t="shared" si="6"/>
        <v>20.601133478448734</v>
      </c>
      <c r="V33" s="1">
        <f t="shared" si="6"/>
        <v>20.601133478448734</v>
      </c>
      <c r="X33" s="5"/>
      <c r="Y33" s="5"/>
      <c r="Z33" s="5"/>
      <c r="AA33" s="5"/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>
      <c r="B34" s="7">
        <v>1731.1</v>
      </c>
      <c r="C34" s="8">
        <v>2.1039E-11</v>
      </c>
      <c r="D34" s="8">
        <v>2.1039E-11</v>
      </c>
      <c r="E34" s="8">
        <v>2.1039E-11</v>
      </c>
      <c r="F34" s="1">
        <v>5.1161999999999999E-13</v>
      </c>
      <c r="G34" s="1">
        <v>1.5143999999999999E-17</v>
      </c>
      <c r="H34" s="1">
        <v>9.3163000000000004E-11</v>
      </c>
      <c r="I34" s="1">
        <v>1.1524E-11</v>
      </c>
      <c r="J34" s="8"/>
      <c r="K34" s="1"/>
      <c r="L34" s="1"/>
      <c r="M34" s="1"/>
      <c r="N34" s="7"/>
      <c r="O34">
        <f t="shared" si="4"/>
        <v>28.851666666666667</v>
      </c>
      <c r="P34" s="6">
        <f t="shared" si="5"/>
        <v>99.121026474263644</v>
      </c>
      <c r="Q34" s="6">
        <f t="shared" si="0"/>
        <v>73.552744222394466</v>
      </c>
      <c r="R34" s="6">
        <f t="shared" si="1"/>
        <v>9.0485868883335971</v>
      </c>
      <c r="S34" s="5">
        <f t="shared" si="2"/>
        <v>0</v>
      </c>
      <c r="T34" s="6">
        <f t="shared" si="6"/>
        <v>16.519695363535579</v>
      </c>
      <c r="U34" s="1">
        <f t="shared" si="6"/>
        <v>16.519695363535579</v>
      </c>
      <c r="V34" s="1">
        <f t="shared" si="6"/>
        <v>16.519695363535579</v>
      </c>
      <c r="X34" s="5"/>
      <c r="Y34" s="5"/>
      <c r="Z34" s="5"/>
      <c r="AA34" s="5"/>
      <c r="AB34" s="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>
      <c r="B35" s="7">
        <v>1943.4</v>
      </c>
      <c r="C35" s="8">
        <v>1.6872999999999999E-11</v>
      </c>
      <c r="D35" s="8">
        <v>1.6872999999999999E-11</v>
      </c>
      <c r="E35" s="8">
        <v>1.6872999999999999E-11</v>
      </c>
      <c r="F35" s="1">
        <v>4.1032000000000001E-13</v>
      </c>
      <c r="G35" s="1">
        <v>1.2251000000000001E-17</v>
      </c>
      <c r="H35" s="1">
        <v>9.6855999999999994E-11</v>
      </c>
      <c r="I35" s="1">
        <v>1.1994000000000001E-11</v>
      </c>
      <c r="J35" s="8"/>
      <c r="K35" s="1"/>
      <c r="L35" s="1"/>
      <c r="M35" s="1"/>
      <c r="N35" s="7"/>
      <c r="O35">
        <f t="shared" si="4"/>
        <v>32.39</v>
      </c>
      <c r="P35" s="6">
        <f t="shared" si="5"/>
        <v>99.039128474458721</v>
      </c>
      <c r="Q35" s="6">
        <f t="shared" si="0"/>
        <v>76.372925306914198</v>
      </c>
      <c r="R35" s="6">
        <f t="shared" si="1"/>
        <v>9.4176257699051114</v>
      </c>
      <c r="S35" s="5">
        <f t="shared" si="2"/>
        <v>0</v>
      </c>
      <c r="T35" s="6">
        <f t="shared" si="6"/>
        <v>13.248577397639421</v>
      </c>
      <c r="U35" s="1">
        <f t="shared" si="6"/>
        <v>13.248577397639421</v>
      </c>
      <c r="V35" s="1">
        <f t="shared" si="6"/>
        <v>13.248577397639421</v>
      </c>
      <c r="X35" s="5"/>
      <c r="Y35" s="5"/>
      <c r="Z35" s="5"/>
      <c r="AA35" s="5"/>
      <c r="AB35" s="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>
      <c r="B36" s="7">
        <v>2155.6999999999998</v>
      </c>
      <c r="C36" s="8">
        <v>1.3533000000000001E-11</v>
      </c>
      <c r="D36" s="8">
        <v>1.3533000000000001E-11</v>
      </c>
      <c r="E36" s="8">
        <v>1.3533000000000001E-11</v>
      </c>
      <c r="F36" s="1">
        <v>3.2909999999999998E-13</v>
      </c>
      <c r="G36" s="1">
        <v>9.8340000000000002E-18</v>
      </c>
      <c r="H36" s="1">
        <v>9.9816999999999998E-11</v>
      </c>
      <c r="I36" s="1">
        <v>1.237E-11</v>
      </c>
      <c r="J36" s="8"/>
      <c r="K36" s="1"/>
      <c r="L36" s="1"/>
      <c r="M36" s="1"/>
      <c r="N36" s="7"/>
      <c r="O36">
        <f t="shared" si="4"/>
        <v>35.928333333333327</v>
      </c>
      <c r="P36" s="6">
        <f t="shared" si="5"/>
        <v>98.972997542778486</v>
      </c>
      <c r="Q36" s="6">
        <f t="shared" si="0"/>
        <v>78.634111119643052</v>
      </c>
      <c r="R36" s="6">
        <f t="shared" si="1"/>
        <v>9.7128567946014215</v>
      </c>
      <c r="S36" s="5">
        <f t="shared" si="2"/>
        <v>0</v>
      </c>
      <c r="T36" s="6">
        <f t="shared" si="6"/>
        <v>10.626029628534008</v>
      </c>
      <c r="U36" s="1">
        <f t="shared" si="6"/>
        <v>10.626029628534008</v>
      </c>
      <c r="V36" s="1">
        <f t="shared" si="6"/>
        <v>10.626029628534008</v>
      </c>
      <c r="X36" s="5"/>
      <c r="Y36" s="5"/>
      <c r="Z36" s="5"/>
      <c r="AA36" s="5"/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>
      <c r="B37" s="7">
        <v>2368.1</v>
      </c>
      <c r="C37" s="8">
        <v>1.0854999999999999E-11</v>
      </c>
      <c r="D37" s="8">
        <v>1.0854999999999999E-11</v>
      </c>
      <c r="E37" s="8">
        <v>1.0854999999999999E-11</v>
      </c>
      <c r="F37" s="1">
        <v>2.6396000000000002E-13</v>
      </c>
      <c r="G37" s="1">
        <v>7.8423000000000002E-18</v>
      </c>
      <c r="H37" s="1">
        <v>1.0219E-10</v>
      </c>
      <c r="I37" s="1">
        <v>1.2673E-11</v>
      </c>
      <c r="J37" s="8"/>
      <c r="K37" s="1"/>
      <c r="L37" s="1"/>
      <c r="M37" s="1"/>
      <c r="N37" s="7"/>
      <c r="O37">
        <f t="shared" si="4"/>
        <v>39.468333333333334</v>
      </c>
      <c r="P37" s="6">
        <f t="shared" si="5"/>
        <v>98.920278057585037</v>
      </c>
      <c r="Q37" s="6">
        <f t="shared" si="0"/>
        <v>80.446228812579463</v>
      </c>
      <c r="R37" s="6">
        <f t="shared" si="1"/>
        <v>9.950768995412961</v>
      </c>
      <c r="S37" s="5">
        <f t="shared" si="2"/>
        <v>0</v>
      </c>
      <c r="T37" s="6">
        <f t="shared" si="6"/>
        <v>8.523280249592597</v>
      </c>
      <c r="U37" s="1">
        <f t="shared" si="6"/>
        <v>8.523280249592597</v>
      </c>
      <c r="V37" s="1">
        <f t="shared" si="6"/>
        <v>8.523280249592597</v>
      </c>
      <c r="X37" s="5"/>
      <c r="Y37" s="5"/>
      <c r="Z37" s="5"/>
      <c r="AA37" s="5"/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>
      <c r="B38" s="7">
        <v>2580.4</v>
      </c>
      <c r="C38" s="8">
        <v>8.7063999999999993E-12</v>
      </c>
      <c r="D38" s="8">
        <v>8.7063999999999993E-12</v>
      </c>
      <c r="E38" s="8">
        <v>8.7063999999999993E-12</v>
      </c>
      <c r="F38" s="1">
        <v>2.1172000000000001E-13</v>
      </c>
      <c r="G38" s="1">
        <v>6.2613999999999997E-18</v>
      </c>
      <c r="H38" s="1">
        <v>1.0409999999999999E-10</v>
      </c>
      <c r="I38" s="1">
        <v>1.2915E-11</v>
      </c>
      <c r="J38" s="8"/>
      <c r="K38" s="1"/>
      <c r="L38" s="1"/>
      <c r="M38" s="1"/>
      <c r="N38" s="7"/>
      <c r="O38">
        <f t="shared" si="4"/>
        <v>43.006666666666668</v>
      </c>
      <c r="P38" s="6">
        <f t="shared" si="5"/>
        <v>98.881927944103325</v>
      </c>
      <c r="Q38" s="6">
        <f t="shared" si="0"/>
        <v>81.904930711840933</v>
      </c>
      <c r="R38" s="6">
        <f t="shared" si="1"/>
        <v>10.140784688268575</v>
      </c>
      <c r="S38" s="5">
        <f t="shared" si="2"/>
        <v>0</v>
      </c>
      <c r="T38" s="6">
        <f t="shared" si="6"/>
        <v>6.8362125439938275</v>
      </c>
      <c r="U38" s="1">
        <f t="shared" si="6"/>
        <v>6.8362125439938275</v>
      </c>
      <c r="V38" s="1">
        <f t="shared" si="6"/>
        <v>6.8362125439938275</v>
      </c>
      <c r="X38" s="5"/>
      <c r="Y38" s="5"/>
      <c r="Z38" s="5"/>
      <c r="AA38" s="5"/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>
      <c r="B39" s="7">
        <v>2792.7</v>
      </c>
      <c r="C39" s="8">
        <v>6.9832999999999999E-12</v>
      </c>
      <c r="D39" s="8">
        <v>6.9832999999999999E-12</v>
      </c>
      <c r="E39" s="8">
        <v>6.9832999999999999E-12</v>
      </c>
      <c r="F39" s="1">
        <v>1.6982E-13</v>
      </c>
      <c r="G39" s="1">
        <v>5.0384999999999998E-18</v>
      </c>
      <c r="H39" s="1">
        <v>1.0563E-10</v>
      </c>
      <c r="I39" s="1">
        <v>1.311E-11</v>
      </c>
      <c r="J39" s="8"/>
      <c r="K39" s="1"/>
      <c r="L39" s="1"/>
      <c r="M39" s="1"/>
      <c r="N39" s="7"/>
      <c r="O39">
        <f t="shared" si="4"/>
        <v>46.544999999999995</v>
      </c>
      <c r="P39" s="6">
        <f t="shared" si="5"/>
        <v>98.850519226175834</v>
      </c>
      <c r="Q39" s="6">
        <f t="shared" si="0"/>
        <v>83.073377818189968</v>
      </c>
      <c r="R39" s="6">
        <f t="shared" si="1"/>
        <v>10.293896546909858</v>
      </c>
      <c r="S39" s="5">
        <f t="shared" si="2"/>
        <v>0</v>
      </c>
      <c r="T39" s="6">
        <f t="shared" si="6"/>
        <v>5.4832448610760007</v>
      </c>
      <c r="U39" s="1">
        <f t="shared" si="6"/>
        <v>5.4832448610760007</v>
      </c>
      <c r="V39" s="1">
        <f t="shared" si="6"/>
        <v>5.4832448610760007</v>
      </c>
      <c r="X39" s="5"/>
      <c r="Y39" s="5"/>
      <c r="Z39" s="5"/>
      <c r="AA39" s="5"/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>
      <c r="B40" s="7">
        <v>3005.1</v>
      </c>
      <c r="C40" s="8">
        <v>5.6013000000000004E-12</v>
      </c>
      <c r="D40" s="8">
        <v>5.6013000000000004E-12</v>
      </c>
      <c r="E40" s="8">
        <v>5.6013000000000004E-12</v>
      </c>
      <c r="F40" s="1">
        <v>1.3621000000000001E-13</v>
      </c>
      <c r="G40" s="1">
        <v>4.0621000000000001E-18</v>
      </c>
      <c r="H40" s="1">
        <v>1.0685E-10</v>
      </c>
      <c r="I40" s="1">
        <v>1.3265000000000001E-11</v>
      </c>
      <c r="J40" s="8"/>
      <c r="K40" s="1"/>
      <c r="L40" s="1"/>
      <c r="M40" s="1"/>
      <c r="N40" s="7"/>
      <c r="O40">
        <f t="shared" si="4"/>
        <v>50.085000000000001</v>
      </c>
      <c r="P40" s="6">
        <f t="shared" si="5"/>
        <v>98.81863173349349</v>
      </c>
      <c r="Q40" s="6">
        <f t="shared" si="0"/>
        <v>84.004924060042939</v>
      </c>
      <c r="R40" s="6">
        <f t="shared" si="1"/>
        <v>10.415600841387612</v>
      </c>
      <c r="S40" s="5">
        <f t="shared" si="2"/>
        <v>0</v>
      </c>
      <c r="T40" s="6">
        <f t="shared" si="6"/>
        <v>4.3981068320629229</v>
      </c>
      <c r="U40" s="1">
        <f t="shared" si="6"/>
        <v>4.3981068320629229</v>
      </c>
      <c r="V40" s="1">
        <f t="shared" si="6"/>
        <v>4.3981068320629229</v>
      </c>
      <c r="X40" s="5"/>
      <c r="Y40" s="5"/>
      <c r="Z40" s="5"/>
      <c r="AA40" s="5"/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>
      <c r="B41" s="7">
        <v>3217.4</v>
      </c>
      <c r="C41" s="8">
        <v>4.4927E-12</v>
      </c>
      <c r="D41" s="8">
        <v>4.4927E-12</v>
      </c>
      <c r="E41" s="8">
        <v>4.4927E-12</v>
      </c>
      <c r="F41" s="1">
        <v>1.0925E-13</v>
      </c>
      <c r="G41" s="1">
        <v>3.2489000000000001E-18</v>
      </c>
      <c r="H41" s="1">
        <v>1.0784E-10</v>
      </c>
      <c r="I41" s="1">
        <v>1.3391000000000001E-11</v>
      </c>
      <c r="J41" s="8"/>
      <c r="K41" s="1"/>
      <c r="L41" s="1"/>
      <c r="M41" s="1"/>
      <c r="N41" s="7"/>
      <c r="O41">
        <f t="shared" si="4"/>
        <v>53.623333333333335</v>
      </c>
      <c r="P41" s="6">
        <f t="shared" si="5"/>
        <v>98.803272701451732</v>
      </c>
      <c r="Q41" s="6">
        <f t="shared" si="0"/>
        <v>84.76109723476128</v>
      </c>
      <c r="R41" s="6">
        <f t="shared" si="1"/>
        <v>10.514534639666486</v>
      </c>
      <c r="S41" s="5">
        <f t="shared" si="2"/>
        <v>0</v>
      </c>
      <c r="T41" s="6">
        <f t="shared" si="6"/>
        <v>3.5276408270239217</v>
      </c>
      <c r="U41" s="1">
        <f t="shared" si="6"/>
        <v>3.5276408270239217</v>
      </c>
      <c r="V41" s="1">
        <f t="shared" si="6"/>
        <v>3.5276408270239217</v>
      </c>
      <c r="X41" s="5"/>
      <c r="Y41" s="5"/>
      <c r="Z41" s="5"/>
      <c r="AA41" s="5"/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>
      <c r="B42" s="7">
        <v>3429.8</v>
      </c>
      <c r="C42" s="8">
        <v>3.6036000000000001E-12</v>
      </c>
      <c r="D42" s="8">
        <v>3.6036000000000001E-12</v>
      </c>
      <c r="E42" s="8">
        <v>3.6036000000000001E-12</v>
      </c>
      <c r="F42" s="1">
        <v>8.7631999999999995E-14</v>
      </c>
      <c r="G42" s="1">
        <v>2.5939000000000001E-18</v>
      </c>
      <c r="H42" s="1">
        <v>1.0862E-10</v>
      </c>
      <c r="I42" s="1">
        <v>1.3491000000000001E-11</v>
      </c>
      <c r="J42" s="8"/>
      <c r="K42" s="1"/>
      <c r="L42" s="1"/>
      <c r="M42" s="1"/>
      <c r="N42" s="7"/>
      <c r="O42">
        <f t="shared" si="4"/>
        <v>57.163333333333334</v>
      </c>
      <c r="P42" s="6">
        <f t="shared" si="5"/>
        <v>98.779152599613312</v>
      </c>
      <c r="Q42" s="6">
        <f t="shared" si="0"/>
        <v>85.356574187524672</v>
      </c>
      <c r="R42" s="6">
        <f t="shared" si="1"/>
        <v>10.593053519649045</v>
      </c>
      <c r="S42" s="5">
        <f t="shared" si="2"/>
        <v>0</v>
      </c>
      <c r="T42" s="6">
        <f t="shared" si="6"/>
        <v>2.8295248924396033</v>
      </c>
      <c r="U42" s="1">
        <f t="shared" si="6"/>
        <v>2.8295248924396033</v>
      </c>
      <c r="V42" s="1">
        <f t="shared" si="6"/>
        <v>2.8295248924396033</v>
      </c>
      <c r="X42" s="5"/>
      <c r="Y42" s="5"/>
      <c r="Z42" s="5"/>
      <c r="AA42" s="5"/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>
      <c r="B43" s="7">
        <v>3642.1</v>
      </c>
      <c r="C43" s="8">
        <v>2.8903999999999999E-12</v>
      </c>
      <c r="D43" s="8">
        <v>2.8903999999999999E-12</v>
      </c>
      <c r="E43" s="8">
        <v>2.8903999999999999E-12</v>
      </c>
      <c r="F43" s="1">
        <v>7.0289E-14</v>
      </c>
      <c r="G43" s="1">
        <v>2.0861E-18</v>
      </c>
      <c r="H43" s="1">
        <v>1.0926000000000001E-10</v>
      </c>
      <c r="I43" s="1">
        <v>1.3571E-11</v>
      </c>
      <c r="J43" s="8"/>
      <c r="K43" s="1"/>
      <c r="L43" s="1"/>
      <c r="M43" s="1"/>
      <c r="N43" s="7"/>
      <c r="O43">
        <f t="shared" si="4"/>
        <v>60.701666666666668</v>
      </c>
      <c r="P43" s="6">
        <f t="shared" si="5"/>
        <v>98.770873901152427</v>
      </c>
      <c r="Q43" s="6">
        <f t="shared" si="0"/>
        <v>85.845480692395299</v>
      </c>
      <c r="R43" s="6">
        <f t="shared" si="1"/>
        <v>10.655868636355237</v>
      </c>
      <c r="S43" s="5">
        <f t="shared" si="2"/>
        <v>0</v>
      </c>
      <c r="T43" s="6">
        <f t="shared" si="6"/>
        <v>2.2695245724018838</v>
      </c>
      <c r="U43" s="1">
        <f t="shared" si="6"/>
        <v>2.2695245724018838</v>
      </c>
      <c r="V43" s="1">
        <f t="shared" si="6"/>
        <v>2.2695245724018838</v>
      </c>
      <c r="X43" s="5"/>
      <c r="Y43" s="5"/>
      <c r="Z43" s="5"/>
      <c r="AA43" s="5"/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>
      <c r="B44" s="7">
        <v>3854.4</v>
      </c>
      <c r="C44" s="8">
        <v>2.3183999999999999E-12</v>
      </c>
      <c r="D44" s="8">
        <v>2.3183999999999999E-12</v>
      </c>
      <c r="E44" s="8">
        <v>2.3183999999999999E-12</v>
      </c>
      <c r="F44" s="1">
        <v>5.6378000000000002E-14</v>
      </c>
      <c r="G44" s="1">
        <v>1.6814E-18</v>
      </c>
      <c r="H44" s="1">
        <v>1.0976E-10</v>
      </c>
      <c r="I44" s="1">
        <v>1.3636E-11</v>
      </c>
      <c r="J44" s="8"/>
      <c r="K44" s="1"/>
      <c r="L44" s="1"/>
      <c r="M44" s="1"/>
      <c r="N44" s="7"/>
      <c r="O44">
        <f t="shared" si="4"/>
        <v>64.239999999999995</v>
      </c>
      <c r="P44" s="6">
        <f t="shared" si="5"/>
        <v>98.754454392845588</v>
      </c>
      <c r="Q44" s="6">
        <f t="shared" si="0"/>
        <v>86.227154830879343</v>
      </c>
      <c r="R44" s="6">
        <f t="shared" si="1"/>
        <v>10.706905924872233</v>
      </c>
      <c r="S44" s="5">
        <f t="shared" si="2"/>
        <v>0</v>
      </c>
      <c r="T44" s="6">
        <f t="shared" si="6"/>
        <v>1.8203936370940101</v>
      </c>
      <c r="U44" s="1">
        <f t="shared" si="6"/>
        <v>1.8203936370940101</v>
      </c>
      <c r="V44" s="1">
        <f t="shared" si="6"/>
        <v>1.8203936370940101</v>
      </c>
      <c r="X44" s="5"/>
      <c r="Y44" s="5"/>
      <c r="Z44" s="5"/>
      <c r="AA44" s="5"/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>
      <c r="B45" s="7">
        <v>4066.8</v>
      </c>
      <c r="C45" s="8">
        <v>1.8594999999999999E-12</v>
      </c>
      <c r="D45" s="8">
        <v>1.8594999999999999E-12</v>
      </c>
      <c r="E45" s="8">
        <v>1.8594999999999999E-12</v>
      </c>
      <c r="F45" s="1">
        <v>4.5220000000000002E-14</v>
      </c>
      <c r="G45" s="1">
        <v>1.3497999999999999E-18</v>
      </c>
      <c r="H45" s="1">
        <v>1.1017000000000001E-10</v>
      </c>
      <c r="I45" s="1">
        <v>1.3688000000000001E-11</v>
      </c>
      <c r="J45" s="8"/>
      <c r="K45" s="1"/>
      <c r="L45" s="1"/>
      <c r="M45" s="1"/>
      <c r="N45" s="7"/>
      <c r="O45">
        <f t="shared" si="4"/>
        <v>67.78</v>
      </c>
      <c r="P45" s="6">
        <f t="shared" si="5"/>
        <v>98.748127039683808</v>
      </c>
      <c r="Q45" s="6">
        <f t="shared" si="0"/>
        <v>86.540323153431899</v>
      </c>
      <c r="R45" s="6">
        <f t="shared" si="1"/>
        <v>10.747735749529912</v>
      </c>
      <c r="S45" s="5">
        <f t="shared" si="2"/>
        <v>0</v>
      </c>
      <c r="T45" s="6">
        <f t="shared" si="6"/>
        <v>1.4600681367220116</v>
      </c>
      <c r="U45" s="1">
        <f t="shared" si="6"/>
        <v>1.4600681367220116</v>
      </c>
      <c r="V45" s="1">
        <f t="shared" si="6"/>
        <v>1.4600681367220116</v>
      </c>
      <c r="X45" s="5"/>
      <c r="Y45" s="5"/>
      <c r="Z45" s="5"/>
      <c r="AA45" s="5"/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>
      <c r="B46" s="7">
        <v>4279.1000000000004</v>
      </c>
      <c r="C46" s="8">
        <v>1.4915000000000001E-12</v>
      </c>
      <c r="D46" s="8">
        <v>1.4915000000000001E-12</v>
      </c>
      <c r="E46" s="8">
        <v>1.4915000000000001E-12</v>
      </c>
      <c r="F46" s="1">
        <v>3.6271000000000003E-14</v>
      </c>
      <c r="G46" s="1">
        <v>1.0804E-18</v>
      </c>
      <c r="H46" s="1">
        <v>1.1050000000000001E-10</v>
      </c>
      <c r="I46" s="1">
        <v>1.3729E-11</v>
      </c>
      <c r="J46" s="8"/>
      <c r="K46" s="1"/>
      <c r="L46" s="1"/>
      <c r="M46" s="1"/>
      <c r="N46" s="7"/>
      <c r="O46">
        <f t="shared" si="4"/>
        <v>71.318333333333342</v>
      </c>
      <c r="P46" s="6">
        <f t="shared" si="5"/>
        <v>98.743455709386581</v>
      </c>
      <c r="Q46" s="6">
        <f t="shared" si="0"/>
        <v>86.79241045397653</v>
      </c>
      <c r="R46" s="6">
        <f t="shared" si="1"/>
        <v>10.779928489655346</v>
      </c>
      <c r="S46" s="5">
        <f t="shared" si="2"/>
        <v>0</v>
      </c>
      <c r="T46" s="6">
        <f t="shared" si="6"/>
        <v>1.1711167657547086</v>
      </c>
      <c r="U46" s="1">
        <f t="shared" si="6"/>
        <v>1.1711167657547086</v>
      </c>
      <c r="V46" s="1">
        <f t="shared" si="6"/>
        <v>1.1711167657547086</v>
      </c>
      <c r="X46" s="5"/>
      <c r="Y46" s="5"/>
      <c r="Z46" s="5"/>
      <c r="AA46" s="5"/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>
      <c r="B47" s="7">
        <v>4320</v>
      </c>
      <c r="C47" s="8">
        <v>1.4290000000000001E-12</v>
      </c>
      <c r="D47" s="8">
        <v>1.4290000000000001E-12</v>
      </c>
      <c r="E47" s="8">
        <v>1.4290000000000001E-12</v>
      </c>
      <c r="F47" s="1">
        <v>3.4749999999999997E-14</v>
      </c>
      <c r="G47" s="1">
        <v>1.0350000000000001E-18</v>
      </c>
      <c r="H47" s="1">
        <v>1.1055E-10</v>
      </c>
      <c r="I47" s="1">
        <v>1.3736E-11</v>
      </c>
      <c r="J47" s="8"/>
      <c r="K47" s="1"/>
      <c r="L47" s="1"/>
      <c r="M47" s="1"/>
      <c r="N47" s="7"/>
      <c r="O47">
        <f t="shared" si="4"/>
        <v>72</v>
      </c>
      <c r="P47" s="6">
        <f t="shared" si="5"/>
        <v>98.73794282706605</v>
      </c>
      <c r="Q47" s="6">
        <f t="shared" si="0"/>
        <v>86.830475871131753</v>
      </c>
      <c r="R47" s="6">
        <f t="shared" si="1"/>
        <v>10.785424811607463</v>
      </c>
      <c r="S47" s="5">
        <f t="shared" si="2"/>
        <v>0</v>
      </c>
      <c r="T47" s="6">
        <f t="shared" si="6"/>
        <v>1.1220421443268378</v>
      </c>
      <c r="U47" s="1">
        <f t="shared" si="6"/>
        <v>1.1220421443268378</v>
      </c>
      <c r="V47" s="1">
        <f t="shared" si="6"/>
        <v>1.1220421443268378</v>
      </c>
      <c r="X47" s="5"/>
      <c r="Y47" s="5"/>
      <c r="Z47" s="5"/>
      <c r="AA47" s="5"/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>
      <c r="B48" s="7">
        <v>3058.1</v>
      </c>
      <c r="C48" s="8">
        <v>5.2091999999999997E-13</v>
      </c>
      <c r="D48" s="8">
        <v>5.2091999999999997E-13</v>
      </c>
      <c r="E48" s="8">
        <v>5.2091999999999997E-13</v>
      </c>
      <c r="F48" s="1"/>
      <c r="G48" s="1"/>
      <c r="H48" s="1"/>
      <c r="I48" s="1"/>
      <c r="J48" s="8"/>
      <c r="K48" s="1"/>
      <c r="L48" s="1"/>
      <c r="M48" s="1"/>
      <c r="N48" s="7"/>
      <c r="P48" s="6"/>
      <c r="Q48" s="6"/>
      <c r="R48" s="6"/>
      <c r="S48" s="5"/>
      <c r="T48" s="6"/>
      <c r="U48" s="1"/>
      <c r="V48" s="1"/>
      <c r="X48" s="5"/>
      <c r="Y48" s="5"/>
      <c r="Z48" s="5"/>
      <c r="AA48" s="5"/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>
      <c r="B49" s="7">
        <v>3174</v>
      </c>
      <c r="C49" s="8">
        <v>4.2288000000000001E-13</v>
      </c>
      <c r="D49" s="8">
        <v>4.2288000000000001E-13</v>
      </c>
      <c r="E49" s="8">
        <v>4.2288000000000001E-13</v>
      </c>
      <c r="F49" s="1"/>
      <c r="G49" s="1"/>
      <c r="H49" s="1"/>
      <c r="I49" s="1"/>
      <c r="J49" s="8"/>
      <c r="K49" s="1"/>
      <c r="L49" s="1"/>
      <c r="M49" s="1"/>
      <c r="N49" s="7"/>
      <c r="P49" s="6"/>
      <c r="Q49" s="6"/>
      <c r="R49" s="6"/>
      <c r="S49" s="5"/>
      <c r="T49" s="6"/>
      <c r="U49" s="1"/>
      <c r="V49" s="1"/>
      <c r="X49" s="5"/>
      <c r="Y49" s="5"/>
      <c r="Z49" s="5"/>
      <c r="AA49" s="5"/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>
      <c r="B50" s="7">
        <v>3290</v>
      </c>
      <c r="C50" s="8">
        <v>3.4328999999999999E-13</v>
      </c>
      <c r="D50" s="8">
        <v>3.4328999999999999E-13</v>
      </c>
      <c r="E50" s="8">
        <v>3.4328999999999999E-13</v>
      </c>
      <c r="F50" s="1"/>
      <c r="G50" s="1"/>
      <c r="H50" s="1"/>
      <c r="I50" s="1"/>
      <c r="J50" s="8"/>
      <c r="K50" s="1"/>
      <c r="L50" s="1"/>
      <c r="M50" s="1"/>
      <c r="N50" s="7"/>
      <c r="P50" s="6"/>
      <c r="Q50" s="6"/>
      <c r="R50" s="6"/>
      <c r="S50" s="5"/>
      <c r="T50" s="6"/>
      <c r="U50" s="1"/>
      <c r="V50" s="1"/>
      <c r="X50" s="5"/>
      <c r="Y50" s="5"/>
      <c r="Z50" s="5"/>
      <c r="AA50" s="5"/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>
      <c r="B51" s="7">
        <v>3405.9</v>
      </c>
      <c r="C51" s="8">
        <v>2.7867999999999998E-13</v>
      </c>
      <c r="D51" s="8">
        <v>2.7867999999999998E-13</v>
      </c>
      <c r="E51" s="8">
        <v>2.7867999999999998E-13</v>
      </c>
      <c r="F51" s="1"/>
      <c r="G51" s="1"/>
      <c r="H51" s="1"/>
      <c r="I51" s="1"/>
      <c r="J51" s="8"/>
      <c r="K51" s="1"/>
      <c r="L51" s="1"/>
      <c r="M51" s="1"/>
      <c r="N51" s="7"/>
      <c r="P51" s="6"/>
      <c r="Q51" s="6"/>
      <c r="R51" s="6"/>
      <c r="S51" s="5"/>
      <c r="T51" s="6"/>
      <c r="U51" s="1"/>
      <c r="V51" s="1"/>
      <c r="X51" s="5"/>
      <c r="Y51" s="5"/>
      <c r="Z51" s="5"/>
      <c r="AA51" s="5"/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>
      <c r="B52" s="7">
        <v>3521.9</v>
      </c>
      <c r="C52" s="8">
        <v>2.2623000000000001E-13</v>
      </c>
      <c r="D52" s="8">
        <v>2.2623000000000001E-13</v>
      </c>
      <c r="E52" s="8">
        <v>2.2623000000000001E-13</v>
      </c>
      <c r="F52" s="1"/>
      <c r="G52" s="1"/>
      <c r="H52" s="1"/>
      <c r="I52" s="1"/>
      <c r="J52" s="8"/>
      <c r="K52" s="1"/>
      <c r="L52" s="1"/>
      <c r="M52" s="1"/>
      <c r="N52" s="7"/>
      <c r="P52" s="6"/>
      <c r="Q52" s="6"/>
      <c r="R52" s="6"/>
      <c r="S52" s="5"/>
      <c r="T52" s="6"/>
      <c r="U52" s="1"/>
      <c r="V52" s="1"/>
      <c r="X52" s="5"/>
      <c r="Y52" s="5"/>
      <c r="Z52" s="5"/>
      <c r="AA52" s="5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>
      <c r="B53" s="7">
        <v>3637.8</v>
      </c>
      <c r="C53" s="8">
        <v>1.8365000000000001E-13</v>
      </c>
      <c r="D53" s="8">
        <v>1.8365000000000001E-13</v>
      </c>
      <c r="E53" s="8">
        <v>1.8365000000000001E-13</v>
      </c>
      <c r="F53" s="1"/>
      <c r="G53" s="1"/>
      <c r="H53" s="1"/>
      <c r="I53" s="1"/>
      <c r="J53" s="8"/>
      <c r="K53" s="1"/>
      <c r="L53" s="1"/>
      <c r="M53" s="1"/>
      <c r="N53" s="7"/>
      <c r="P53" s="6"/>
      <c r="Q53" s="6"/>
      <c r="R53" s="6"/>
      <c r="S53" s="5"/>
      <c r="T53" s="6"/>
      <c r="U53" s="1"/>
      <c r="V53" s="1"/>
      <c r="X53" s="5"/>
      <c r="Y53" s="5"/>
      <c r="Z53" s="5"/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>
      <c r="B54" s="7">
        <v>3753.8</v>
      </c>
      <c r="C54" s="8">
        <v>1.4909E-13</v>
      </c>
      <c r="D54" s="8">
        <v>1.4909E-13</v>
      </c>
      <c r="E54" s="8">
        <v>1.4909E-13</v>
      </c>
      <c r="F54" s="1"/>
      <c r="G54" s="1"/>
      <c r="H54" s="1"/>
      <c r="I54" s="1"/>
      <c r="J54" s="8"/>
      <c r="K54" s="1"/>
      <c r="L54" s="1"/>
      <c r="M54" s="1"/>
      <c r="N54" s="7"/>
      <c r="P54" s="6"/>
      <c r="Q54" s="6"/>
      <c r="R54" s="6"/>
      <c r="S54" s="5"/>
      <c r="T54" s="6"/>
      <c r="U54" s="1"/>
      <c r="V54" s="1"/>
      <c r="X54" s="5"/>
      <c r="Y54" s="5"/>
      <c r="Z54" s="5"/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>
      <c r="B55" s="7">
        <v>3869.7</v>
      </c>
      <c r="C55" s="8">
        <v>1.2102999999999999E-13</v>
      </c>
      <c r="D55" s="8">
        <v>1.2102999999999999E-13</v>
      </c>
      <c r="E55" s="8">
        <v>1.2102999999999999E-13</v>
      </c>
      <c r="F55" s="1"/>
      <c r="G55" s="1"/>
      <c r="H55" s="1"/>
      <c r="I55" s="1"/>
      <c r="J55" s="8"/>
      <c r="K55" s="1"/>
      <c r="L55" s="1"/>
      <c r="M55" s="1"/>
      <c r="N55" s="7"/>
      <c r="P55" s="6"/>
      <c r="Q55" s="6"/>
      <c r="R55" s="6"/>
      <c r="S55" s="5"/>
      <c r="T55" s="6"/>
      <c r="U55" s="1"/>
      <c r="V55" s="1"/>
      <c r="X55" s="5"/>
      <c r="Y55" s="5"/>
      <c r="Z55" s="5"/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>
      <c r="B56" s="7">
        <v>3985.7</v>
      </c>
      <c r="C56" s="8">
        <v>9.8249000000000001E-14</v>
      </c>
      <c r="D56" s="8">
        <v>9.8249000000000001E-14</v>
      </c>
      <c r="E56" s="8">
        <v>9.8249000000000001E-14</v>
      </c>
      <c r="F56" s="1"/>
      <c r="G56" s="1"/>
      <c r="H56" s="1"/>
      <c r="I56" s="1"/>
      <c r="J56" s="8"/>
      <c r="K56" s="1"/>
      <c r="L56" s="1"/>
      <c r="M56" s="1"/>
      <c r="N56" s="7"/>
      <c r="P56" s="6"/>
      <c r="Q56" s="6"/>
      <c r="R56" s="6"/>
      <c r="S56" s="5"/>
      <c r="T56" s="6"/>
      <c r="U56" s="1"/>
      <c r="V56" s="1"/>
      <c r="X56" s="5"/>
      <c r="Y56" s="5"/>
      <c r="Z56" s="5"/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>
      <c r="B57" s="7">
        <v>4101.6000000000004</v>
      </c>
      <c r="C57" s="8">
        <v>7.9758E-14</v>
      </c>
      <c r="D57" s="8">
        <v>7.9758E-14</v>
      </c>
      <c r="E57" s="8">
        <v>7.9758E-14</v>
      </c>
      <c r="F57" s="1"/>
      <c r="G57" s="1"/>
      <c r="H57" s="1"/>
      <c r="I57" s="1"/>
      <c r="J57" s="8"/>
      <c r="K57" s="1"/>
      <c r="L57" s="1"/>
      <c r="M57" s="1"/>
      <c r="N57" s="7"/>
      <c r="P57" s="6"/>
      <c r="Q57" s="6"/>
      <c r="R57" s="6"/>
      <c r="S57" s="5"/>
      <c r="T57" s="6"/>
      <c r="U57" s="1"/>
      <c r="V57" s="1"/>
      <c r="X57" s="5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>
      <c r="B58" s="7">
        <v>4217.6000000000004</v>
      </c>
      <c r="C58" s="8">
        <v>6.4746999999999999E-14</v>
      </c>
      <c r="D58" s="8">
        <v>6.4746999999999999E-14</v>
      </c>
      <c r="E58" s="8">
        <v>6.4746999999999999E-14</v>
      </c>
      <c r="F58" s="1"/>
      <c r="G58" s="1"/>
      <c r="H58" s="1"/>
      <c r="I58" s="1"/>
      <c r="J58" s="8"/>
      <c r="K58" s="1"/>
      <c r="L58" s="1"/>
      <c r="M58" s="1"/>
      <c r="N58" s="7"/>
      <c r="P58" s="6"/>
      <c r="Q58" s="6"/>
      <c r="R58" s="6"/>
      <c r="S58" s="5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>
      <c r="B59" s="7">
        <v>4320</v>
      </c>
      <c r="C59" s="8">
        <v>5.3834999999999999E-14</v>
      </c>
      <c r="D59" s="8">
        <v>5.3834999999999999E-14</v>
      </c>
      <c r="E59" s="8">
        <v>5.3834999999999999E-14</v>
      </c>
      <c r="F59" s="1"/>
      <c r="G59" s="1"/>
      <c r="H59" s="1"/>
      <c r="I59" s="1"/>
      <c r="J59" s="8"/>
      <c r="K59" s="1"/>
      <c r="L59" s="1"/>
      <c r="M59" s="1"/>
      <c r="N59" s="7"/>
      <c r="P59" s="6"/>
      <c r="Q59" s="6"/>
      <c r="R59" s="6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>
      <c r="B60" s="7">
        <v>200</v>
      </c>
      <c r="C60" s="8">
        <v>1.127E-10</v>
      </c>
      <c r="D60" s="8">
        <v>1.127E-10</v>
      </c>
      <c r="E60" s="8">
        <v>1.127E-10</v>
      </c>
      <c r="J60" s="8"/>
      <c r="K60" s="1"/>
      <c r="L60" s="1"/>
      <c r="N60" s="7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>
      <c r="B61" s="7">
        <v>205</v>
      </c>
      <c r="C61" s="8">
        <v>1.1241E-10</v>
      </c>
      <c r="D61" s="8">
        <v>1.1241E-10</v>
      </c>
      <c r="E61" s="8">
        <v>1.1241E-10</v>
      </c>
      <c r="J61" s="8"/>
      <c r="K61" s="1"/>
      <c r="L61" s="1"/>
      <c r="N61" s="7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>
      <c r="B62" s="7">
        <v>210</v>
      </c>
      <c r="C62" s="8">
        <v>1.1211E-10</v>
      </c>
      <c r="D62" s="8">
        <v>1.1211E-10</v>
      </c>
      <c r="E62" s="8">
        <v>1.1211E-10</v>
      </c>
      <c r="J62" s="8"/>
      <c r="K62" s="1"/>
      <c r="L62" s="1"/>
      <c r="N62" s="7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>
      <c r="B63" s="7">
        <v>215</v>
      </c>
      <c r="C63" s="8">
        <v>1.1181E-10</v>
      </c>
      <c r="D63" s="8">
        <v>1.1181E-10</v>
      </c>
      <c r="E63" s="8">
        <v>1.1181E-10</v>
      </c>
      <c r="J63" s="8"/>
      <c r="K63" s="1"/>
      <c r="L63" s="1"/>
      <c r="N63" s="7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>
      <c r="B64" s="7">
        <v>220</v>
      </c>
      <c r="C64" s="8">
        <v>1.1152000000000001E-10</v>
      </c>
      <c r="D64" s="8">
        <v>1.1152000000000001E-10</v>
      </c>
      <c r="E64" s="8">
        <v>1.1152000000000001E-10</v>
      </c>
      <c r="J64" s="8"/>
      <c r="K64" s="1"/>
      <c r="L64" s="1"/>
      <c r="N64" s="7"/>
      <c r="P64" s="6"/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2:65">
      <c r="B65" s="7">
        <v>225</v>
      </c>
      <c r="C65" s="8">
        <v>1.1122E-10</v>
      </c>
      <c r="D65" s="8">
        <v>1.1122E-10</v>
      </c>
      <c r="E65" s="8">
        <v>1.1122E-10</v>
      </c>
      <c r="J65" s="8"/>
      <c r="K65" s="1"/>
      <c r="L65" s="1"/>
      <c r="N65" s="7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2:65">
      <c r="B66" s="7">
        <v>230</v>
      </c>
      <c r="C66" s="8">
        <v>1.1093E-10</v>
      </c>
      <c r="D66" s="8">
        <v>1.1093E-10</v>
      </c>
      <c r="E66" s="8">
        <v>1.1093E-10</v>
      </c>
      <c r="J66" s="8"/>
      <c r="K66" s="1"/>
      <c r="L66" s="1"/>
      <c r="N66" s="7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2:65">
      <c r="B67" s="7">
        <v>235</v>
      </c>
      <c r="C67" s="8">
        <v>1.1063E-10</v>
      </c>
      <c r="D67" s="8">
        <v>1.1063E-10</v>
      </c>
      <c r="E67" s="8">
        <v>1.1063E-10</v>
      </c>
      <c r="J67" s="8"/>
      <c r="K67" s="1"/>
      <c r="L67" s="1"/>
      <c r="N67" s="7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2:65">
      <c r="B68" s="7">
        <v>240</v>
      </c>
      <c r="C68" s="8">
        <v>1.1034E-10</v>
      </c>
      <c r="D68" s="8">
        <v>1.1034E-10</v>
      </c>
      <c r="E68" s="8">
        <v>1.1034E-10</v>
      </c>
      <c r="J68" s="8"/>
      <c r="K68" s="1"/>
      <c r="L68" s="1"/>
      <c r="N68" s="7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2:65">
      <c r="B69" s="7">
        <v>245</v>
      </c>
      <c r="C69" s="8">
        <v>1.1005E-10</v>
      </c>
      <c r="D69" s="8">
        <v>1.1005E-10</v>
      </c>
      <c r="E69" s="8">
        <v>1.1005E-10</v>
      </c>
      <c r="J69" s="8"/>
      <c r="K69" s="1"/>
      <c r="L69" s="1"/>
      <c r="N69" s="7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2:65">
      <c r="B70" s="7">
        <v>250</v>
      </c>
      <c r="C70" s="8">
        <v>1.0976E-10</v>
      </c>
      <c r="D70" s="8">
        <v>1.0976E-10</v>
      </c>
      <c r="E70" s="8">
        <v>1.0976E-10</v>
      </c>
      <c r="J70" s="8"/>
      <c r="K70" s="1"/>
      <c r="L70" s="1"/>
      <c r="N70" s="7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2:65">
      <c r="B71" s="7">
        <v>255</v>
      </c>
      <c r="C71" s="8">
        <v>1.0947E-10</v>
      </c>
      <c r="D71" s="8">
        <v>1.0947E-10</v>
      </c>
      <c r="E71" s="8">
        <v>1.0947E-10</v>
      </c>
      <c r="J71" s="8"/>
      <c r="K71" s="1"/>
      <c r="L71" s="1"/>
      <c r="N71" s="7"/>
      <c r="P71" s="6"/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2:65">
      <c r="B72" s="7">
        <v>260</v>
      </c>
      <c r="C72" s="8">
        <v>1.0918E-10</v>
      </c>
      <c r="D72" s="8">
        <v>1.0918E-10</v>
      </c>
      <c r="E72" s="8">
        <v>1.0918E-10</v>
      </c>
      <c r="J72" s="8"/>
      <c r="K72" s="1"/>
      <c r="L72" s="1"/>
      <c r="N72" s="7"/>
      <c r="P72" s="6"/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2:65">
      <c r="B73" s="7">
        <v>265</v>
      </c>
      <c r="C73" s="8">
        <v>1.0889E-10</v>
      </c>
      <c r="D73" s="8">
        <v>1.0889E-10</v>
      </c>
      <c r="E73" s="8">
        <v>1.0889E-10</v>
      </c>
      <c r="J73" s="8"/>
      <c r="K73" s="1"/>
      <c r="L73" s="1"/>
      <c r="N73" s="7"/>
      <c r="P73" s="6"/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2:65">
      <c r="B74" s="7">
        <v>270</v>
      </c>
      <c r="C74" s="8">
        <v>1.086E-10</v>
      </c>
      <c r="D74" s="8">
        <v>1.086E-10</v>
      </c>
      <c r="E74" s="8">
        <v>1.086E-10</v>
      </c>
      <c r="J74" s="8"/>
      <c r="K74" s="1"/>
      <c r="L74" s="1"/>
      <c r="N74" s="7"/>
      <c r="P74" s="6"/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2:65">
      <c r="B75" s="7">
        <v>275</v>
      </c>
      <c r="C75" s="8">
        <v>1.0831E-10</v>
      </c>
      <c r="D75" s="8">
        <v>1.0831E-10</v>
      </c>
      <c r="E75" s="8">
        <v>1.0831E-10</v>
      </c>
      <c r="J75" s="8"/>
      <c r="K75" s="1"/>
      <c r="L75" s="1"/>
      <c r="N75" s="7"/>
      <c r="P75" s="6"/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2:65">
      <c r="B76" s="7">
        <v>280</v>
      </c>
      <c r="C76" s="8">
        <v>1.0802000000000001E-10</v>
      </c>
      <c r="D76" s="8">
        <v>1.0802000000000001E-10</v>
      </c>
      <c r="E76" s="8">
        <v>1.0802000000000001E-10</v>
      </c>
      <c r="J76" s="8"/>
      <c r="K76" s="1"/>
      <c r="L76" s="1"/>
      <c r="N76" s="7"/>
      <c r="P76" s="6"/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2:65">
      <c r="B77" s="7">
        <v>285</v>
      </c>
      <c r="C77" s="8">
        <v>1.0773E-10</v>
      </c>
      <c r="D77" s="8">
        <v>1.0773E-10</v>
      </c>
      <c r="E77" s="8">
        <v>1.0773E-10</v>
      </c>
      <c r="J77" s="8"/>
      <c r="K77" s="1"/>
      <c r="L77" s="1"/>
      <c r="N77" s="7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2:65">
      <c r="B78" s="7">
        <v>290</v>
      </c>
      <c r="C78" s="8">
        <v>1.0745E-10</v>
      </c>
      <c r="D78" s="8">
        <v>1.0745E-10</v>
      </c>
      <c r="E78" s="8">
        <v>1.0745E-10</v>
      </c>
      <c r="J78" s="8"/>
      <c r="K78" s="1"/>
      <c r="L78" s="1"/>
      <c r="N78" s="7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2:65">
      <c r="B79" s="7">
        <v>295</v>
      </c>
      <c r="C79" s="8">
        <v>1.0715999999999999E-10</v>
      </c>
      <c r="D79" s="8">
        <v>1.0715999999999999E-10</v>
      </c>
      <c r="E79" s="8">
        <v>1.0715999999999999E-10</v>
      </c>
      <c r="J79" s="8"/>
      <c r="K79" s="1"/>
      <c r="L79" s="1"/>
      <c r="N79" s="7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2:65">
      <c r="B80" s="7">
        <v>300</v>
      </c>
      <c r="C80" s="8">
        <v>1.0688E-10</v>
      </c>
      <c r="D80" s="8">
        <v>1.0688E-10</v>
      </c>
      <c r="E80" s="8">
        <v>1.0688E-10</v>
      </c>
      <c r="J80" s="8"/>
      <c r="K80" s="1"/>
      <c r="L80" s="1"/>
      <c r="N80" s="7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2:65">
      <c r="B81" s="7">
        <v>310</v>
      </c>
      <c r="C81" s="8">
        <v>1.0631000000000001E-10</v>
      </c>
      <c r="D81" s="8">
        <v>1.0631000000000001E-10</v>
      </c>
      <c r="E81" s="8">
        <v>1.0631000000000001E-10</v>
      </c>
      <c r="J81" s="8"/>
      <c r="K81" s="1"/>
      <c r="L81" s="1"/>
      <c r="N81" s="7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2:65">
      <c r="B82" s="7">
        <v>320</v>
      </c>
      <c r="C82" s="8">
        <v>1.0575E-10</v>
      </c>
      <c r="D82" s="8">
        <v>1.0575E-10</v>
      </c>
      <c r="E82" s="8">
        <v>1.0575E-10</v>
      </c>
      <c r="J82" s="8"/>
      <c r="K82" s="1"/>
      <c r="L82" s="1"/>
      <c r="N82" s="7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2:65">
      <c r="B83" s="7">
        <v>330</v>
      </c>
      <c r="C83" s="8">
        <v>1.0518000000000001E-10</v>
      </c>
      <c r="D83" s="8">
        <v>1.0518000000000001E-10</v>
      </c>
      <c r="E83" s="8">
        <v>1.0518000000000001E-10</v>
      </c>
      <c r="J83" s="8"/>
      <c r="K83" s="1"/>
      <c r="L83" s="1"/>
      <c r="N83" s="7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2:65">
      <c r="B84" s="7">
        <v>340</v>
      </c>
      <c r="C84" s="8">
        <v>1.0463E-10</v>
      </c>
      <c r="D84" s="8">
        <v>1.0463E-10</v>
      </c>
      <c r="E84" s="8">
        <v>1.0463E-10</v>
      </c>
      <c r="J84" s="8"/>
      <c r="K84" s="1"/>
      <c r="L84" s="1"/>
      <c r="N84" s="7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2:65">
      <c r="B85" s="7">
        <v>350</v>
      </c>
      <c r="C85" s="8">
        <v>1.0407E-10</v>
      </c>
      <c r="D85" s="8">
        <v>1.0407E-10</v>
      </c>
      <c r="E85" s="8">
        <v>1.0407E-10</v>
      </c>
      <c r="J85" s="8"/>
      <c r="K85" s="1"/>
      <c r="L85" s="1"/>
      <c r="N85" s="7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2:65">
      <c r="B86" s="7">
        <v>360</v>
      </c>
      <c r="C86" s="8">
        <v>1.0352E-10</v>
      </c>
      <c r="D86" s="8">
        <v>1.0352E-10</v>
      </c>
      <c r="E86" s="8">
        <v>1.0352E-10</v>
      </c>
      <c r="J86" s="8"/>
      <c r="K86" s="1"/>
      <c r="L86" s="1"/>
      <c r="N86" s="7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2:65">
      <c r="B87" s="7">
        <v>370</v>
      </c>
      <c r="C87" s="8">
        <v>1.0296999999999999E-10</v>
      </c>
      <c r="D87" s="8">
        <v>1.0296999999999999E-10</v>
      </c>
      <c r="E87" s="8">
        <v>1.0296999999999999E-10</v>
      </c>
      <c r="J87" s="8"/>
      <c r="K87" s="1"/>
      <c r="L87" s="1"/>
      <c r="N87" s="7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2:65">
      <c r="B88" s="7">
        <v>380</v>
      </c>
      <c r="C88" s="8">
        <v>1.0241999999999999E-10</v>
      </c>
      <c r="D88" s="8">
        <v>1.0241999999999999E-10</v>
      </c>
      <c r="E88" s="8">
        <v>1.0241999999999999E-10</v>
      </c>
      <c r="J88" s="8"/>
      <c r="K88" s="1"/>
      <c r="L88" s="1"/>
      <c r="N88" s="7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2:65">
      <c r="B89" s="7">
        <v>390</v>
      </c>
      <c r="C89" s="8">
        <v>1.0188E-10</v>
      </c>
      <c r="D89" s="8">
        <v>1.0188E-10</v>
      </c>
      <c r="E89" s="8">
        <v>1.0188E-10</v>
      </c>
      <c r="J89" s="8"/>
      <c r="K89" s="1"/>
      <c r="L89" s="1"/>
      <c r="N89" s="7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2:65">
      <c r="B90" s="7">
        <v>400</v>
      </c>
      <c r="C90" s="8">
        <v>1.0133E-10</v>
      </c>
      <c r="D90" s="8">
        <v>1.0133E-10</v>
      </c>
      <c r="E90" s="8">
        <v>1.0133E-10</v>
      </c>
      <c r="J90" s="8"/>
      <c r="K90" s="1"/>
      <c r="L90" s="1"/>
      <c r="N90" s="7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2:65">
      <c r="B91" s="7">
        <v>410</v>
      </c>
      <c r="C91" s="8">
        <v>1.008E-10</v>
      </c>
      <c r="D91" s="8">
        <v>1.008E-10</v>
      </c>
      <c r="E91" s="8">
        <v>1.008E-10</v>
      </c>
      <c r="J91" s="8"/>
      <c r="K91" s="1"/>
      <c r="L91" s="1"/>
      <c r="N91" s="7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2:65">
      <c r="B92" s="7">
        <v>420</v>
      </c>
      <c r="C92" s="8">
        <v>1.0026E-10</v>
      </c>
      <c r="D92" s="8">
        <v>1.0026E-10</v>
      </c>
      <c r="E92" s="8">
        <v>1.0026E-10</v>
      </c>
      <c r="J92" s="8"/>
      <c r="K92" s="1"/>
      <c r="L92" s="1"/>
      <c r="N92" s="7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2:65">
      <c r="B93" s="7">
        <v>430</v>
      </c>
      <c r="C93" s="8">
        <v>9.9727999999999997E-11</v>
      </c>
      <c r="D93" s="8">
        <v>9.9727999999999997E-11</v>
      </c>
      <c r="E93" s="8">
        <v>9.9727999999999997E-11</v>
      </c>
      <c r="J93" s="8"/>
      <c r="K93" s="1"/>
      <c r="L93" s="1"/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2:65">
      <c r="B94" s="7">
        <v>440</v>
      </c>
      <c r="C94" s="8">
        <v>9.9198E-11</v>
      </c>
      <c r="D94" s="8">
        <v>9.9198E-11</v>
      </c>
      <c r="E94" s="8">
        <v>9.9198E-11</v>
      </c>
      <c r="J94" s="8"/>
      <c r="K94" s="1"/>
      <c r="L94" s="1"/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2:65">
      <c r="B95" s="7">
        <v>450</v>
      </c>
      <c r="C95" s="8">
        <v>9.8671000000000002E-11</v>
      </c>
      <c r="D95" s="8">
        <v>9.8671000000000002E-11</v>
      </c>
      <c r="E95" s="8">
        <v>9.8671000000000002E-11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2:65">
      <c r="B96" s="7">
        <v>460</v>
      </c>
      <c r="C96" s="8">
        <v>9.8147000000000005E-11</v>
      </c>
      <c r="D96" s="8">
        <v>9.8147000000000005E-11</v>
      </c>
      <c r="E96" s="8">
        <v>9.8147000000000005E-11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>
      <c r="B97" s="7">
        <v>470</v>
      </c>
      <c r="C97" s="8">
        <v>9.7625999999999995E-11</v>
      </c>
      <c r="D97" s="8">
        <v>9.7625999999999995E-11</v>
      </c>
      <c r="E97" s="8">
        <v>9.7625999999999995E-11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>
      <c r="B98" s="7">
        <v>480</v>
      </c>
      <c r="C98" s="8">
        <v>9.7107000000000001E-11</v>
      </c>
      <c r="D98" s="8">
        <v>9.7107000000000001E-11</v>
      </c>
      <c r="E98" s="8">
        <v>9.7107000000000001E-11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>
      <c r="B99" s="7">
        <v>490</v>
      </c>
      <c r="C99" s="8">
        <v>9.6590999999999995E-11</v>
      </c>
      <c r="D99" s="8">
        <v>9.6590999999999995E-11</v>
      </c>
      <c r="E99" s="8">
        <v>9.6590999999999995E-11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>
      <c r="B100" s="7">
        <v>500</v>
      </c>
      <c r="C100" s="8">
        <v>9.6078000000000002E-11</v>
      </c>
      <c r="D100" s="8">
        <v>9.6078000000000002E-11</v>
      </c>
      <c r="E100" s="8">
        <v>9.6078000000000002E-11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>
      <c r="B101" s="7">
        <v>510</v>
      </c>
      <c r="C101" s="8">
        <v>9.5567999999999995E-11</v>
      </c>
      <c r="D101" s="8">
        <v>9.5567999999999995E-11</v>
      </c>
      <c r="E101" s="8">
        <v>9.5567999999999995E-11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>
      <c r="B102" s="7">
        <v>520</v>
      </c>
      <c r="C102" s="8">
        <v>9.5060000000000006E-11</v>
      </c>
      <c r="D102" s="8">
        <v>9.5060000000000006E-11</v>
      </c>
      <c r="E102" s="8">
        <v>9.5060000000000006E-11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>
      <c r="B103" s="7">
        <v>530</v>
      </c>
      <c r="C103" s="8">
        <v>9.4555999999999999E-11</v>
      </c>
      <c r="D103" s="8">
        <v>9.4555999999999999E-11</v>
      </c>
      <c r="E103" s="8">
        <v>9.4555999999999999E-11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>
      <c r="B104" s="7">
        <v>540</v>
      </c>
      <c r="C104" s="8">
        <v>9.4053000000000001E-11</v>
      </c>
      <c r="D104" s="8">
        <v>9.4053000000000001E-11</v>
      </c>
      <c r="E104" s="8">
        <v>9.4053000000000001E-11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>
      <c r="B105" s="7">
        <v>550</v>
      </c>
      <c r="C105" s="8">
        <v>9.3553999999999998E-11</v>
      </c>
      <c r="D105" s="8">
        <v>9.3553999999999998E-11</v>
      </c>
      <c r="E105" s="8">
        <v>9.3553999999999998E-11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>
      <c r="B106" s="7">
        <v>560</v>
      </c>
      <c r="C106" s="8">
        <v>9.3057E-11</v>
      </c>
      <c r="D106" s="8">
        <v>9.3057E-11</v>
      </c>
      <c r="E106" s="8">
        <v>9.3057E-11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>
      <c r="B107" s="7">
        <v>570</v>
      </c>
      <c r="C107" s="8">
        <v>9.2563000000000001E-11</v>
      </c>
      <c r="D107" s="8">
        <v>9.2563000000000001E-11</v>
      </c>
      <c r="E107" s="8">
        <v>9.2563000000000001E-11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>
      <c r="B108" s="7">
        <v>580</v>
      </c>
      <c r="C108" s="8">
        <v>9.2072000000000003E-11</v>
      </c>
      <c r="D108" s="8">
        <v>9.2072000000000003E-11</v>
      </c>
      <c r="E108" s="8">
        <v>9.2072000000000003E-11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>
      <c r="B109" s="7">
        <v>590</v>
      </c>
      <c r="C109" s="8">
        <v>9.1582999999999995E-11</v>
      </c>
      <c r="D109" s="8">
        <v>9.1582999999999995E-11</v>
      </c>
      <c r="E109" s="8">
        <v>9.1582999999999995E-11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>
      <c r="B110" s="7">
        <v>600</v>
      </c>
      <c r="C110" s="8">
        <v>9.1097000000000001E-11</v>
      </c>
      <c r="D110" s="8">
        <v>9.1097000000000001E-11</v>
      </c>
      <c r="E110" s="8">
        <v>9.1097000000000001E-11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>
      <c r="B111" s="7">
        <v>610</v>
      </c>
      <c r="C111" s="8">
        <v>9.0612999999999998E-11</v>
      </c>
      <c r="D111" s="8">
        <v>9.0612999999999998E-11</v>
      </c>
      <c r="E111" s="8">
        <v>9.0612999999999998E-11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>
      <c r="B112" s="7">
        <v>620</v>
      </c>
      <c r="C112" s="8">
        <v>9.0131999999999994E-11</v>
      </c>
      <c r="D112" s="8">
        <v>9.0131999999999994E-11</v>
      </c>
      <c r="E112" s="8">
        <v>9.0131999999999994E-11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>
      <c r="B113" s="7">
        <v>630</v>
      </c>
      <c r="C113" s="8">
        <v>8.9654000000000004E-11</v>
      </c>
      <c r="D113" s="8">
        <v>8.9654000000000004E-11</v>
      </c>
      <c r="E113" s="8">
        <v>8.9654000000000004E-11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>
      <c r="B114" s="7">
        <v>640</v>
      </c>
      <c r="C114" s="8">
        <v>8.9178000000000005E-11</v>
      </c>
      <c r="D114" s="8">
        <v>8.9178000000000005E-11</v>
      </c>
      <c r="E114" s="8">
        <v>8.9178000000000005E-11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>
      <c r="B115" s="7">
        <v>650</v>
      </c>
      <c r="C115" s="8">
        <v>8.8705000000000005E-11</v>
      </c>
      <c r="D115" s="8">
        <v>8.8705000000000005E-11</v>
      </c>
      <c r="E115" s="8">
        <v>8.8705000000000005E-11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>
      <c r="B116" s="7">
        <v>660</v>
      </c>
      <c r="C116" s="8">
        <v>8.8233999999999997E-11</v>
      </c>
      <c r="D116" s="8">
        <v>8.8233999999999997E-11</v>
      </c>
      <c r="E116" s="8">
        <v>8.8233999999999997E-11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>
      <c r="B117" s="7">
        <v>670</v>
      </c>
      <c r="C117" s="8">
        <v>8.7766000000000002E-11</v>
      </c>
      <c r="D117" s="8">
        <v>8.7766000000000002E-11</v>
      </c>
      <c r="E117" s="8">
        <v>8.7766000000000002E-11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>
      <c r="B118" s="7">
        <v>680</v>
      </c>
      <c r="C118" s="8">
        <v>8.7299999999999998E-11</v>
      </c>
      <c r="D118" s="8">
        <v>8.7299999999999998E-11</v>
      </c>
      <c r="E118" s="8">
        <v>8.7299999999999998E-11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>
      <c r="B119" s="7">
        <v>690</v>
      </c>
      <c r="C119" s="8">
        <v>8.6836999999999994E-11</v>
      </c>
      <c r="D119" s="8">
        <v>8.6836999999999994E-11</v>
      </c>
      <c r="E119" s="8">
        <v>8.6836999999999994E-11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>
      <c r="B120" s="7">
        <v>700</v>
      </c>
      <c r="C120" s="8">
        <v>8.6375999999999995E-11</v>
      </c>
      <c r="D120" s="8">
        <v>8.6375999999999995E-11</v>
      </c>
      <c r="E120" s="8">
        <v>8.6375999999999995E-11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>
      <c r="B121" s="7">
        <v>720</v>
      </c>
      <c r="C121" s="8">
        <v>8.5461000000000003E-11</v>
      </c>
      <c r="D121" s="8">
        <v>8.5461000000000003E-11</v>
      </c>
      <c r="E121" s="8">
        <v>8.5461000000000003E-11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>
      <c r="B122" s="7">
        <v>740</v>
      </c>
      <c r="C122" s="8">
        <v>8.4561999999999995E-11</v>
      </c>
      <c r="D122" s="8">
        <v>8.4561999999999995E-11</v>
      </c>
      <c r="E122" s="8">
        <v>8.4561999999999995E-11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>
      <c r="B123" s="7">
        <v>760</v>
      </c>
      <c r="C123" s="8">
        <v>8.3671000000000002E-11</v>
      </c>
      <c r="D123" s="8">
        <v>8.3671000000000002E-11</v>
      </c>
      <c r="E123" s="8">
        <v>8.3671000000000002E-11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>
      <c r="B124" s="7">
        <v>780</v>
      </c>
      <c r="C124" s="8">
        <v>8.2791000000000001E-11</v>
      </c>
      <c r="D124" s="8">
        <v>8.2791000000000001E-11</v>
      </c>
      <c r="E124" s="8">
        <v>8.2791000000000001E-11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>
      <c r="B125" s="7">
        <v>800</v>
      </c>
      <c r="C125" s="8">
        <v>8.1916000000000004E-11</v>
      </c>
      <c r="D125" s="8">
        <v>8.1916000000000004E-11</v>
      </c>
      <c r="E125" s="8">
        <v>8.1916000000000004E-11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>
      <c r="B126" s="7">
        <v>820</v>
      </c>
      <c r="C126" s="8">
        <v>8.1049999999999994E-11</v>
      </c>
      <c r="D126" s="8">
        <v>8.1049999999999994E-11</v>
      </c>
      <c r="E126" s="8">
        <v>8.1049999999999994E-11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>
      <c r="B127" s="7">
        <v>840</v>
      </c>
      <c r="C127" s="8">
        <v>8.0192000000000001E-11</v>
      </c>
      <c r="D127" s="8">
        <v>8.0192000000000001E-11</v>
      </c>
      <c r="E127" s="8">
        <v>8.0192000000000001E-11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>
      <c r="B128" s="7">
        <v>860</v>
      </c>
      <c r="C128" s="8">
        <v>7.9344000000000003E-11</v>
      </c>
      <c r="D128" s="8">
        <v>7.9344000000000003E-11</v>
      </c>
      <c r="E128" s="8">
        <v>7.9344000000000003E-11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>
      <c r="B129" s="7">
        <v>880</v>
      </c>
      <c r="C129" s="8">
        <v>7.8503999999999996E-11</v>
      </c>
      <c r="D129" s="8">
        <v>7.8503999999999996E-11</v>
      </c>
      <c r="E129" s="8">
        <v>7.8503999999999996E-11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>
      <c r="B130" s="7">
        <v>900</v>
      </c>
      <c r="C130" s="8">
        <v>7.7673999999999997E-11</v>
      </c>
      <c r="D130" s="8">
        <v>7.7673999999999997E-11</v>
      </c>
      <c r="E130" s="8">
        <v>7.7673999999999997E-11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>
      <c r="B131" s="7">
        <v>920</v>
      </c>
      <c r="C131" s="8">
        <v>7.6852000000000003E-11</v>
      </c>
      <c r="D131" s="8">
        <v>7.6852000000000003E-11</v>
      </c>
      <c r="E131" s="8">
        <v>7.6852000000000003E-11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>
      <c r="B132" s="7">
        <v>940</v>
      </c>
      <c r="C132" s="8">
        <v>7.6038999999999995E-11</v>
      </c>
      <c r="D132" s="8">
        <v>7.6038999999999995E-11</v>
      </c>
      <c r="E132" s="8">
        <v>7.6038999999999995E-11</v>
      </c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>
      <c r="B133" s="7">
        <v>960</v>
      </c>
      <c r="C133" s="8">
        <v>7.5234999999999999E-11</v>
      </c>
      <c r="D133" s="8">
        <v>7.5234999999999999E-11</v>
      </c>
      <c r="E133" s="8">
        <v>7.5234999999999999E-11</v>
      </c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>
      <c r="B134" s="7">
        <v>980</v>
      </c>
      <c r="C134" s="8">
        <v>7.4438999999999995E-11</v>
      </c>
      <c r="D134" s="8">
        <v>7.4438999999999995E-11</v>
      </c>
      <c r="E134" s="8">
        <v>7.4438999999999995E-11</v>
      </c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>
      <c r="B135" s="7">
        <v>1000</v>
      </c>
      <c r="C135" s="8">
        <v>7.3650999999999995E-11</v>
      </c>
      <c r="D135" s="8">
        <v>7.3650999999999995E-11</v>
      </c>
      <c r="E135" s="8">
        <v>7.3650999999999995E-11</v>
      </c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>
      <c r="B136" s="7">
        <v>1020</v>
      </c>
      <c r="C136" s="8">
        <v>7.2871999999999994E-11</v>
      </c>
      <c r="D136" s="8">
        <v>7.2871999999999994E-11</v>
      </c>
      <c r="E136" s="8">
        <v>7.2871999999999994E-11</v>
      </c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>
      <c r="B137" s="7">
        <v>1040</v>
      </c>
      <c r="C137" s="8">
        <v>7.2102000000000006E-11</v>
      </c>
      <c r="D137" s="8">
        <v>7.2102000000000006E-11</v>
      </c>
      <c r="E137" s="8">
        <v>7.2102000000000006E-11</v>
      </c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>
      <c r="B138" s="7">
        <v>1060</v>
      </c>
      <c r="C138" s="8">
        <v>7.1339E-11</v>
      </c>
      <c r="D138" s="8">
        <v>7.1339E-11</v>
      </c>
      <c r="E138" s="8">
        <v>7.1339E-11</v>
      </c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>
      <c r="B139" s="7">
        <v>1080</v>
      </c>
      <c r="C139" s="8">
        <v>7.0583999999999999E-11</v>
      </c>
      <c r="D139" s="8">
        <v>7.0583999999999999E-11</v>
      </c>
      <c r="E139" s="8">
        <v>7.0583999999999999E-11</v>
      </c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>
      <c r="B140" s="7">
        <v>1100</v>
      </c>
      <c r="C140" s="8">
        <v>6.9837999999999997E-11</v>
      </c>
      <c r="D140" s="8">
        <v>6.9837999999999997E-11</v>
      </c>
      <c r="E140" s="8">
        <v>6.9837999999999997E-11</v>
      </c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>
      <c r="B141" s="7">
        <v>1120</v>
      </c>
      <c r="C141" s="8">
        <v>6.9099000000000004E-11</v>
      </c>
      <c r="D141" s="8">
        <v>6.9099000000000004E-11</v>
      </c>
      <c r="E141" s="8">
        <v>6.9099000000000004E-11</v>
      </c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>
      <c r="B142" s="7">
        <v>1140</v>
      </c>
      <c r="C142" s="8">
        <v>6.8368000000000001E-11</v>
      </c>
      <c r="D142" s="8">
        <v>6.8368000000000001E-11</v>
      </c>
      <c r="E142" s="8">
        <v>6.8368000000000001E-11</v>
      </c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>
      <c r="B143" s="7">
        <v>1160</v>
      </c>
      <c r="C143" s="8">
        <v>6.7645000000000003E-11</v>
      </c>
      <c r="D143" s="8">
        <v>6.7645000000000003E-11</v>
      </c>
      <c r="E143" s="8">
        <v>6.7645000000000003E-11</v>
      </c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>
      <c r="B144" s="7">
        <v>1180</v>
      </c>
      <c r="C144" s="8">
        <v>6.6929999999999995E-11</v>
      </c>
      <c r="D144" s="8">
        <v>6.6929999999999995E-11</v>
      </c>
      <c r="E144" s="8">
        <v>6.6929999999999995E-11</v>
      </c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>
      <c r="B145" s="7">
        <v>1200</v>
      </c>
      <c r="C145" s="8">
        <v>6.6221999999999996E-11</v>
      </c>
      <c r="D145" s="8">
        <v>6.6221999999999996E-11</v>
      </c>
      <c r="E145" s="8">
        <v>6.6221999999999996E-11</v>
      </c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>
      <c r="B146" s="7">
        <v>1220</v>
      </c>
      <c r="C146" s="8">
        <v>6.5522000000000001E-11</v>
      </c>
      <c r="D146" s="8">
        <v>6.5522000000000001E-11</v>
      </c>
      <c r="E146" s="8">
        <v>6.5522000000000001E-11</v>
      </c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>
      <c r="B147" s="7">
        <v>1240</v>
      </c>
      <c r="C147" s="8">
        <v>6.4829000000000002E-11</v>
      </c>
      <c r="D147" s="8">
        <v>6.4829000000000002E-11</v>
      </c>
      <c r="E147" s="8">
        <v>6.4829000000000002E-11</v>
      </c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>
      <c r="B148" s="7">
        <v>1260</v>
      </c>
      <c r="C148" s="8">
        <v>6.4142999999999998E-11</v>
      </c>
      <c r="D148" s="8">
        <v>6.4142999999999998E-11</v>
      </c>
      <c r="E148" s="8">
        <v>6.4142999999999998E-11</v>
      </c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>
      <c r="B149" s="7">
        <v>1280</v>
      </c>
      <c r="C149" s="8">
        <v>6.3464999999999997E-11</v>
      </c>
      <c r="D149" s="8">
        <v>6.3464999999999997E-11</v>
      </c>
      <c r="E149" s="8">
        <v>6.3464999999999997E-11</v>
      </c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>
      <c r="B150" s="7">
        <v>1300</v>
      </c>
      <c r="C150" s="8">
        <v>6.2794000000000006E-11</v>
      </c>
      <c r="D150" s="8">
        <v>6.2794000000000006E-11</v>
      </c>
      <c r="E150" s="8">
        <v>6.2794000000000006E-11</v>
      </c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>
      <c r="B151" s="7">
        <v>1320</v>
      </c>
      <c r="C151" s="8">
        <v>6.2129999999999996E-11</v>
      </c>
      <c r="D151" s="8">
        <v>6.2129999999999996E-11</v>
      </c>
      <c r="E151" s="8">
        <v>6.2129999999999996E-11</v>
      </c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>
      <c r="B152" s="7">
        <v>1340</v>
      </c>
      <c r="C152" s="8">
        <v>6.1472E-11</v>
      </c>
      <c r="D152" s="8">
        <v>6.1472E-11</v>
      </c>
      <c r="E152" s="8">
        <v>6.1472E-11</v>
      </c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>
      <c r="B153" s="7">
        <v>1360</v>
      </c>
      <c r="C153" s="8">
        <v>6.0821999999999994E-11</v>
      </c>
      <c r="D153" s="8">
        <v>6.0821999999999994E-11</v>
      </c>
      <c r="E153" s="8">
        <v>6.0821999999999994E-11</v>
      </c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>
      <c r="B154" s="7">
        <v>1380</v>
      </c>
      <c r="C154" s="8">
        <v>6.0178999999999997E-11</v>
      </c>
      <c r="D154" s="8">
        <v>6.0178999999999997E-11</v>
      </c>
      <c r="E154" s="8">
        <v>6.0178999999999997E-11</v>
      </c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>
      <c r="B155" s="7">
        <v>1400</v>
      </c>
      <c r="C155" s="8">
        <v>5.9542999999999995E-11</v>
      </c>
      <c r="D155" s="8">
        <v>5.9542999999999995E-11</v>
      </c>
      <c r="E155" s="8">
        <v>5.9542999999999995E-11</v>
      </c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>
      <c r="B156" s="7">
        <v>1420</v>
      </c>
      <c r="C156" s="8">
        <v>5.8913000000000006E-11</v>
      </c>
      <c r="D156" s="8">
        <v>5.8913000000000006E-11</v>
      </c>
      <c r="E156" s="8">
        <v>5.8913000000000006E-11</v>
      </c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>
      <c r="B157" s="7">
        <v>1440</v>
      </c>
      <c r="C157" s="8">
        <v>5.829E-11</v>
      </c>
      <c r="D157" s="8">
        <v>5.829E-11</v>
      </c>
      <c r="E157" s="8">
        <v>5.829E-11</v>
      </c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>
      <c r="B158" s="7">
        <v>1460</v>
      </c>
      <c r="C158" s="8">
        <v>5.7674000000000002E-11</v>
      </c>
      <c r="D158" s="8">
        <v>5.7674000000000002E-11</v>
      </c>
      <c r="E158" s="8">
        <v>5.7674000000000002E-11</v>
      </c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>
      <c r="B159" s="7">
        <v>1480</v>
      </c>
      <c r="C159" s="8">
        <v>5.7064000000000003E-11</v>
      </c>
      <c r="D159" s="8">
        <v>5.7064000000000003E-11</v>
      </c>
      <c r="E159" s="8">
        <v>5.7064000000000003E-11</v>
      </c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>
      <c r="B160" s="7">
        <v>1500</v>
      </c>
      <c r="C160" s="8">
        <v>5.6459999999999998E-11</v>
      </c>
      <c r="D160" s="8">
        <v>5.6459999999999998E-11</v>
      </c>
      <c r="E160" s="8">
        <v>5.6459999999999998E-11</v>
      </c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>
      <c r="B161" s="7">
        <v>1520</v>
      </c>
      <c r="C161" s="8">
        <v>5.5863000000000001E-11</v>
      </c>
      <c r="D161" s="8">
        <v>5.5863000000000001E-11</v>
      </c>
      <c r="E161" s="8">
        <v>5.5863000000000001E-11</v>
      </c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>
      <c r="B162" s="7">
        <v>1560</v>
      </c>
      <c r="C162" s="8">
        <v>5.4688000000000003E-11</v>
      </c>
      <c r="D162" s="8">
        <v>5.4688000000000003E-11</v>
      </c>
      <c r="E162" s="8">
        <v>5.4688000000000003E-11</v>
      </c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>
      <c r="B163" s="7">
        <v>1600</v>
      </c>
      <c r="C163" s="8">
        <v>5.3536999999999997E-11</v>
      </c>
      <c r="D163" s="8">
        <v>5.3536999999999997E-11</v>
      </c>
      <c r="E163" s="8">
        <v>5.3536999999999997E-11</v>
      </c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>
      <c r="B164" s="7">
        <v>1640</v>
      </c>
      <c r="C164" s="8">
        <v>5.2410999999999999E-11</v>
      </c>
      <c r="D164" s="8">
        <v>5.2410999999999999E-11</v>
      </c>
      <c r="E164" s="8">
        <v>5.2410999999999999E-11</v>
      </c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>
      <c r="B165" s="7">
        <v>1680</v>
      </c>
      <c r="C165" s="8">
        <v>5.1307999999999997E-11</v>
      </c>
      <c r="D165" s="8">
        <v>5.1307999999999997E-11</v>
      </c>
      <c r="E165" s="8">
        <v>5.1307999999999997E-11</v>
      </c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>
      <c r="B166" s="7">
        <v>1720</v>
      </c>
      <c r="C166" s="8">
        <v>5.0229000000000002E-11</v>
      </c>
      <c r="D166" s="8">
        <v>5.0229000000000002E-11</v>
      </c>
      <c r="E166" s="8">
        <v>5.0229000000000002E-11</v>
      </c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>
      <c r="B167" s="7">
        <v>1760</v>
      </c>
      <c r="C167" s="8">
        <v>4.9172000000000001E-11</v>
      </c>
      <c r="D167" s="8">
        <v>4.9172000000000001E-11</v>
      </c>
      <c r="E167" s="8">
        <v>4.9172000000000001E-11</v>
      </c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>
      <c r="B168" s="7">
        <v>1800</v>
      </c>
      <c r="C168" s="8">
        <v>4.8137999999999997E-11</v>
      </c>
      <c r="D168" s="8">
        <v>4.8137999999999997E-11</v>
      </c>
      <c r="E168" s="8">
        <v>4.8137999999999997E-11</v>
      </c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>
      <c r="B169" s="7">
        <v>1840</v>
      </c>
      <c r="C169" s="8">
        <v>4.7124999999999999E-11</v>
      </c>
      <c r="D169" s="8">
        <v>4.7124999999999999E-11</v>
      </c>
      <c r="E169" s="8">
        <v>4.7124999999999999E-11</v>
      </c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>
      <c r="B170" s="7">
        <v>1880</v>
      </c>
      <c r="C170" s="8">
        <v>4.6133E-11</v>
      </c>
      <c r="D170" s="8">
        <v>4.6133E-11</v>
      </c>
      <c r="E170" s="8">
        <v>4.6133E-11</v>
      </c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>
      <c r="B171" s="7">
        <v>1920</v>
      </c>
      <c r="C171" s="8">
        <v>4.5163000000000002E-11</v>
      </c>
      <c r="D171" s="8">
        <v>4.5163000000000002E-11</v>
      </c>
      <c r="E171" s="8">
        <v>4.5163000000000002E-11</v>
      </c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>
      <c r="B172" s="7">
        <v>1960</v>
      </c>
      <c r="C172" s="8">
        <v>4.4213000000000002E-11</v>
      </c>
      <c r="D172" s="8">
        <v>4.4213000000000002E-11</v>
      </c>
      <c r="E172" s="8">
        <v>4.4213000000000002E-11</v>
      </c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>
      <c r="B173" s="7">
        <v>2000</v>
      </c>
      <c r="C173" s="8">
        <v>4.3282000000000002E-11</v>
      </c>
      <c r="D173" s="8">
        <v>4.3282000000000002E-11</v>
      </c>
      <c r="E173" s="8">
        <v>4.3282000000000002E-11</v>
      </c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>
      <c r="B174" s="7">
        <v>2040</v>
      </c>
      <c r="C174" s="8">
        <v>4.2372000000000002E-11</v>
      </c>
      <c r="D174" s="8">
        <v>4.2372000000000002E-11</v>
      </c>
      <c r="E174" s="8">
        <v>4.2372000000000002E-11</v>
      </c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>
      <c r="B175" s="7">
        <v>2080</v>
      </c>
      <c r="C175" s="8">
        <v>4.1480000000000002E-11</v>
      </c>
      <c r="D175" s="8">
        <v>4.1480000000000002E-11</v>
      </c>
      <c r="E175" s="8">
        <v>4.1480000000000002E-11</v>
      </c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>
      <c r="B176" s="7">
        <v>2120</v>
      </c>
      <c r="C176" s="8">
        <v>4.0607999999999998E-11</v>
      </c>
      <c r="D176" s="8">
        <v>4.0607999999999998E-11</v>
      </c>
      <c r="E176" s="8">
        <v>4.0607999999999998E-11</v>
      </c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>
      <c r="B177" s="7">
        <v>2160</v>
      </c>
      <c r="C177" s="8">
        <v>3.9752999999999998E-11</v>
      </c>
      <c r="D177" s="8">
        <v>3.9752999999999998E-11</v>
      </c>
      <c r="E177" s="8">
        <v>3.9752999999999998E-11</v>
      </c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>
      <c r="B178" s="7">
        <v>2200</v>
      </c>
      <c r="C178" s="8">
        <v>3.8917E-11</v>
      </c>
      <c r="D178" s="8">
        <v>3.8917E-11</v>
      </c>
      <c r="E178" s="8">
        <v>3.8917E-11</v>
      </c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>
      <c r="B179" s="7">
        <v>2240</v>
      </c>
      <c r="C179" s="8">
        <v>3.8097999999999999E-11</v>
      </c>
      <c r="D179" s="8">
        <v>3.8097999999999999E-11</v>
      </c>
      <c r="E179" s="8">
        <v>3.8097999999999999E-11</v>
      </c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>
      <c r="B180" s="7">
        <v>2280</v>
      </c>
      <c r="C180" s="8">
        <v>3.7297000000000003E-11</v>
      </c>
      <c r="D180" s="8">
        <v>3.7297000000000003E-11</v>
      </c>
      <c r="E180" s="8">
        <v>3.7297000000000003E-11</v>
      </c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>
      <c r="B181" s="7">
        <v>2320</v>
      </c>
      <c r="C181" s="8">
        <v>3.6512000000000003E-11</v>
      </c>
      <c r="D181" s="8">
        <v>3.6512000000000003E-11</v>
      </c>
      <c r="E181" s="8">
        <v>3.6512000000000003E-11</v>
      </c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>
      <c r="B182" s="7">
        <v>2360</v>
      </c>
      <c r="C182" s="8">
        <v>3.5744E-11</v>
      </c>
      <c r="D182" s="8">
        <v>3.5744E-11</v>
      </c>
      <c r="E182" s="8">
        <v>3.5744E-11</v>
      </c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>
      <c r="B183" s="7">
        <v>2400</v>
      </c>
      <c r="C183" s="8">
        <v>3.4991999999999998E-11</v>
      </c>
      <c r="D183" s="8">
        <v>3.4991999999999998E-11</v>
      </c>
      <c r="E183" s="8">
        <v>3.4991999999999998E-11</v>
      </c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>
      <c r="B184" s="7">
        <v>2440</v>
      </c>
      <c r="C184" s="8">
        <v>3.4255999999999998E-11</v>
      </c>
      <c r="D184" s="8">
        <v>3.4255999999999998E-11</v>
      </c>
      <c r="E184" s="8">
        <v>3.4255999999999998E-11</v>
      </c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>
      <c r="B185" s="7">
        <v>2480</v>
      </c>
      <c r="C185" s="8">
        <v>3.3534999999999997E-11</v>
      </c>
      <c r="D185" s="8">
        <v>3.3534999999999997E-11</v>
      </c>
      <c r="E185" s="8">
        <v>3.3534999999999997E-11</v>
      </c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>
      <c r="B186" s="7">
        <v>2520</v>
      </c>
      <c r="C186" s="8">
        <v>3.2829999999999998E-11</v>
      </c>
      <c r="D186" s="8">
        <v>3.2829999999999998E-11</v>
      </c>
      <c r="E186" s="8">
        <v>3.2829999999999998E-11</v>
      </c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>
      <c r="B187" s="7">
        <v>2560</v>
      </c>
      <c r="C187" s="8">
        <v>3.2139000000000003E-11</v>
      </c>
      <c r="D187" s="8">
        <v>3.2139000000000003E-11</v>
      </c>
      <c r="E187" s="8">
        <v>3.2139000000000003E-11</v>
      </c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>
      <c r="B188" s="7">
        <v>2600</v>
      </c>
      <c r="C188" s="8">
        <v>3.1463E-11</v>
      </c>
      <c r="D188" s="8">
        <v>3.1463E-11</v>
      </c>
      <c r="E188" s="8">
        <v>3.1463E-11</v>
      </c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>
      <c r="B189" s="7">
        <v>2640</v>
      </c>
      <c r="C189" s="8">
        <v>3.0801000000000002E-11</v>
      </c>
      <c r="D189" s="8">
        <v>3.0801000000000002E-11</v>
      </c>
      <c r="E189" s="8">
        <v>3.0801000000000002E-11</v>
      </c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>
      <c r="B190" s="7">
        <v>2680</v>
      </c>
      <c r="C190" s="8">
        <v>3.0153E-11</v>
      </c>
      <c r="D190" s="8">
        <v>3.0153E-11</v>
      </c>
      <c r="E190" s="8">
        <v>3.0153E-11</v>
      </c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>
      <c r="B191" s="7">
        <v>2720</v>
      </c>
      <c r="C191" s="8">
        <v>2.9518000000000001E-11</v>
      </c>
      <c r="D191" s="8">
        <v>2.9518000000000001E-11</v>
      </c>
      <c r="E191" s="8">
        <v>2.9518000000000001E-11</v>
      </c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>
      <c r="B192" s="7">
        <v>2760</v>
      </c>
      <c r="C192" s="8">
        <v>2.8896999999999999E-11</v>
      </c>
      <c r="D192" s="8">
        <v>2.8896999999999999E-11</v>
      </c>
      <c r="E192" s="8">
        <v>2.8896999999999999E-11</v>
      </c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>
      <c r="B193" s="7">
        <v>2800</v>
      </c>
      <c r="C193" s="8">
        <v>2.8289000000000001E-11</v>
      </c>
      <c r="D193" s="8">
        <v>2.8289000000000001E-11</v>
      </c>
      <c r="E193" s="8">
        <v>2.8289000000000001E-11</v>
      </c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>
      <c r="B194" s="7">
        <v>2840</v>
      </c>
      <c r="C194" s="8">
        <v>2.7693999999999999E-11</v>
      </c>
      <c r="D194" s="8">
        <v>2.7693999999999999E-11</v>
      </c>
      <c r="E194" s="8">
        <v>2.7693999999999999E-11</v>
      </c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>
      <c r="B195" s="7">
        <v>2880</v>
      </c>
      <c r="C195" s="8">
        <v>2.7112000000000002E-11</v>
      </c>
      <c r="D195" s="8">
        <v>2.7112000000000002E-11</v>
      </c>
      <c r="E195" s="8">
        <v>2.7112000000000002E-11</v>
      </c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>
      <c r="B196" s="7">
        <v>2920</v>
      </c>
      <c r="C196" s="8">
        <v>2.6540999999999998E-11</v>
      </c>
      <c r="D196" s="8">
        <v>2.6540999999999998E-11</v>
      </c>
      <c r="E196" s="8">
        <v>2.6540999999999998E-11</v>
      </c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>
      <c r="B197" s="7">
        <v>2960</v>
      </c>
      <c r="C197" s="8">
        <v>2.5983E-11</v>
      </c>
      <c r="D197" s="8">
        <v>2.5983E-11</v>
      </c>
      <c r="E197" s="8">
        <v>2.5983E-11</v>
      </c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>
      <c r="B198" s="7">
        <v>3000</v>
      </c>
      <c r="C198" s="8">
        <v>2.5435999999999999E-11</v>
      </c>
      <c r="D198" s="8">
        <v>2.5435999999999999E-11</v>
      </c>
      <c r="E198" s="8">
        <v>2.5435999999999999E-11</v>
      </c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>
      <c r="B199" s="7">
        <v>3040</v>
      </c>
      <c r="C199" s="8">
        <v>2.4901000000000001E-11</v>
      </c>
      <c r="D199" s="8">
        <v>2.4901000000000001E-11</v>
      </c>
      <c r="E199" s="8">
        <v>2.4901000000000001E-11</v>
      </c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>
      <c r="B200" s="7">
        <v>3080</v>
      </c>
      <c r="C200" s="8">
        <v>2.4377000000000001E-11</v>
      </c>
      <c r="D200" s="8">
        <v>2.4377000000000001E-11</v>
      </c>
      <c r="E200" s="8">
        <v>2.4377000000000001E-11</v>
      </c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>
      <c r="B201" s="7">
        <v>3120</v>
      </c>
      <c r="C201" s="8">
        <v>2.3864000000000001E-11</v>
      </c>
      <c r="D201" s="8">
        <v>2.3864000000000001E-11</v>
      </c>
      <c r="E201" s="8">
        <v>2.3864000000000001E-11</v>
      </c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>
      <c r="B202" s="7">
        <v>3160</v>
      </c>
      <c r="C202" s="8">
        <v>2.3361999999999998E-11</v>
      </c>
      <c r="D202" s="8">
        <v>2.3361999999999998E-11</v>
      </c>
      <c r="E202" s="8">
        <v>2.3361999999999998E-11</v>
      </c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>
      <c r="B203" s="7">
        <v>3200</v>
      </c>
      <c r="C203" s="8">
        <v>2.2871E-11</v>
      </c>
      <c r="D203" s="8">
        <v>2.2871E-11</v>
      </c>
      <c r="E203" s="8">
        <v>2.2871E-11</v>
      </c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>
      <c r="B204" s="7">
        <v>3240</v>
      </c>
      <c r="C204" s="8">
        <v>2.239E-11</v>
      </c>
      <c r="D204" s="8">
        <v>2.239E-11</v>
      </c>
      <c r="E204" s="8">
        <v>2.239E-11</v>
      </c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>
      <c r="B205" s="7">
        <v>3280</v>
      </c>
      <c r="C205" s="8">
        <v>2.1919000000000001E-11</v>
      </c>
      <c r="D205" s="8">
        <v>2.1919000000000001E-11</v>
      </c>
      <c r="E205" s="8">
        <v>2.1919000000000001E-11</v>
      </c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>
      <c r="B206" s="7">
        <v>3320</v>
      </c>
      <c r="C206" s="8">
        <v>2.1457E-11</v>
      </c>
      <c r="D206" s="8">
        <v>2.1457E-11</v>
      </c>
      <c r="E206" s="8">
        <v>2.1457E-11</v>
      </c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>
      <c r="B207" s="7">
        <v>3360</v>
      </c>
      <c r="C207" s="8">
        <v>2.1006000000000002E-11</v>
      </c>
      <c r="D207" s="8">
        <v>2.1006000000000002E-11</v>
      </c>
      <c r="E207" s="8">
        <v>2.1006000000000002E-11</v>
      </c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>
      <c r="B208" s="7">
        <v>3400</v>
      </c>
      <c r="C208" s="8">
        <v>2.0564E-11</v>
      </c>
      <c r="D208" s="8">
        <v>2.0564E-11</v>
      </c>
      <c r="E208" s="8">
        <v>2.0564E-11</v>
      </c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>
      <c r="B209" s="7">
        <v>3440</v>
      </c>
      <c r="C209" s="8">
        <v>2.0131000000000001E-11</v>
      </c>
      <c r="D209" s="8">
        <v>2.0131000000000001E-11</v>
      </c>
      <c r="E209" s="8">
        <v>2.0131000000000001E-11</v>
      </c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>
      <c r="B210" s="7">
        <v>3480</v>
      </c>
      <c r="C210" s="8">
        <v>1.9708000000000001E-11</v>
      </c>
      <c r="D210" s="8">
        <v>1.9708000000000001E-11</v>
      </c>
      <c r="E210" s="8">
        <v>1.9708000000000001E-11</v>
      </c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>
      <c r="B211" s="7">
        <v>3520</v>
      </c>
      <c r="C211" s="8">
        <v>1.9292999999999999E-11</v>
      </c>
      <c r="D211" s="8">
        <v>1.9292999999999999E-11</v>
      </c>
      <c r="E211" s="8">
        <v>1.9292999999999999E-11</v>
      </c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>
      <c r="B212" s="7">
        <v>3560</v>
      </c>
      <c r="C212" s="8">
        <v>1.8886999999999999E-11</v>
      </c>
      <c r="D212" s="8">
        <v>1.8886999999999999E-11</v>
      </c>
      <c r="E212" s="8">
        <v>1.8886999999999999E-11</v>
      </c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>
      <c r="B213" s="7">
        <v>3600</v>
      </c>
      <c r="C213" s="8">
        <v>1.8489999999999999E-11</v>
      </c>
      <c r="D213" s="8">
        <v>1.8489999999999999E-11</v>
      </c>
      <c r="E213" s="8">
        <v>1.8489999999999999E-11</v>
      </c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>
      <c r="B214" s="7">
        <v>3640</v>
      </c>
      <c r="C214" s="8">
        <v>1.8101E-11</v>
      </c>
      <c r="D214" s="8">
        <v>1.8101E-11</v>
      </c>
      <c r="E214" s="8">
        <v>1.8101E-11</v>
      </c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>
      <c r="B215" s="7">
        <v>3680</v>
      </c>
      <c r="C215" s="8">
        <v>1.7720000000000001E-11</v>
      </c>
      <c r="D215" s="8">
        <v>1.7720000000000001E-11</v>
      </c>
      <c r="E215" s="8">
        <v>1.7720000000000001E-11</v>
      </c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>
      <c r="B216" s="7">
        <v>3720</v>
      </c>
      <c r="C216" s="8">
        <v>1.7347E-11</v>
      </c>
      <c r="D216" s="8">
        <v>1.7347E-11</v>
      </c>
      <c r="E216" s="8">
        <v>1.7347E-11</v>
      </c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>
      <c r="B217" s="7">
        <v>3760</v>
      </c>
      <c r="C217" s="8">
        <v>1.6982E-11</v>
      </c>
      <c r="D217" s="8">
        <v>1.6982E-11</v>
      </c>
      <c r="E217" s="8">
        <v>1.6982E-11</v>
      </c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>
      <c r="B218" s="7">
        <v>3800</v>
      </c>
      <c r="C218" s="8">
        <v>1.6625000000000001E-11</v>
      </c>
      <c r="D218" s="8">
        <v>1.6625000000000001E-11</v>
      </c>
      <c r="E218" s="8">
        <v>1.6625000000000001E-11</v>
      </c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>
      <c r="B219" s="7">
        <v>3840</v>
      </c>
      <c r="C219" s="8">
        <v>1.6275E-11</v>
      </c>
      <c r="D219" s="8">
        <v>1.6275E-11</v>
      </c>
      <c r="E219" s="8">
        <v>1.6275E-11</v>
      </c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>
      <c r="B220" s="7">
        <v>3880</v>
      </c>
      <c r="C220" s="8">
        <v>1.5933E-11</v>
      </c>
      <c r="D220" s="8">
        <v>1.5933E-11</v>
      </c>
      <c r="E220" s="8">
        <v>1.5933E-11</v>
      </c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>
      <c r="B221" s="7">
        <v>3920</v>
      </c>
      <c r="C221" s="8">
        <v>1.5597999999999999E-11</v>
      </c>
      <c r="D221" s="8">
        <v>1.5597999999999999E-11</v>
      </c>
      <c r="E221" s="8">
        <v>1.5597999999999999E-11</v>
      </c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>
      <c r="B222" s="7">
        <v>3960</v>
      </c>
      <c r="C222" s="8">
        <v>1.5269999999999999E-11</v>
      </c>
      <c r="D222" s="8">
        <v>1.5269999999999999E-11</v>
      </c>
      <c r="E222" s="8">
        <v>1.5269999999999999E-11</v>
      </c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>
      <c r="B223" s="7">
        <v>4000</v>
      </c>
      <c r="C223" s="8">
        <v>1.4948E-11</v>
      </c>
      <c r="D223" s="8">
        <v>1.4948E-11</v>
      </c>
      <c r="E223" s="8">
        <v>1.4948E-11</v>
      </c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>
      <c r="B224" s="7">
        <v>4040</v>
      </c>
      <c r="C224" s="8">
        <v>1.4634000000000001E-11</v>
      </c>
      <c r="D224" s="8">
        <v>1.4634000000000001E-11</v>
      </c>
      <c r="E224" s="8">
        <v>1.4634000000000001E-11</v>
      </c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>
      <c r="B225" s="7">
        <v>4080</v>
      </c>
      <c r="C225" s="8">
        <v>1.4326E-11</v>
      </c>
      <c r="D225" s="8">
        <v>1.4326E-11</v>
      </c>
      <c r="E225" s="8">
        <v>1.4326E-11</v>
      </c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>
      <c r="B226" s="7">
        <v>4120</v>
      </c>
      <c r="C226" s="8">
        <v>1.4025E-11</v>
      </c>
      <c r="D226" s="8">
        <v>1.4025E-11</v>
      </c>
      <c r="E226" s="8">
        <v>1.4025E-11</v>
      </c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>
      <c r="B227" s="7">
        <v>4160</v>
      </c>
      <c r="C227" s="8">
        <v>1.3730000000000001E-11</v>
      </c>
      <c r="D227" s="8">
        <v>1.3730000000000001E-11</v>
      </c>
      <c r="E227" s="8">
        <v>1.3730000000000001E-11</v>
      </c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>
      <c r="B228" s="7">
        <v>4200</v>
      </c>
      <c r="C228" s="8">
        <v>1.3441E-11</v>
      </c>
      <c r="D228" s="8">
        <v>1.3441E-11</v>
      </c>
      <c r="E228" s="8">
        <v>1.3441E-11</v>
      </c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>
      <c r="B229" s="7">
        <v>4240</v>
      </c>
      <c r="C229" s="8">
        <v>1.3158E-11</v>
      </c>
      <c r="D229" s="8">
        <v>1.3158E-11</v>
      </c>
      <c r="E229" s="8">
        <v>1.3158E-11</v>
      </c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>
      <c r="B230" s="7">
        <v>4280</v>
      </c>
      <c r="C230" s="8">
        <v>1.2881000000000001E-11</v>
      </c>
      <c r="D230" s="8">
        <v>1.2881000000000001E-11</v>
      </c>
      <c r="E230" s="8">
        <v>1.2881000000000001E-11</v>
      </c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>
      <c r="B231" s="7">
        <v>4320</v>
      </c>
      <c r="C231" s="8">
        <v>1.2610000000000001E-11</v>
      </c>
      <c r="D231" s="8">
        <v>1.2610000000000001E-11</v>
      </c>
      <c r="E231" s="8">
        <v>1.2610000000000001E-11</v>
      </c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10.Document" shapeId="19459" r:id="rId4">
          <objectPr defaultSize="0" r:id="rId5">
            <anchor moveWithCells="1">
              <from>
                <xdr:col>22</xdr:col>
                <xdr:colOff>673100</xdr:colOff>
                <xdr:row>16</xdr:row>
                <xdr:rowOff>152400</xdr:rowOff>
              </from>
              <to>
                <xdr:col>28</xdr:col>
                <xdr:colOff>685800</xdr:colOff>
                <xdr:row>30</xdr:row>
                <xdr:rowOff>177800</xdr:rowOff>
              </to>
            </anchor>
          </objectPr>
        </oleObject>
      </mc:Choice>
      <mc:Fallback>
        <oleObject progId="Prism10.Document" shapeId="19459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F3A3-A149-43F9-B108-AEB55688903F}">
  <dimension ref="A1:BM602"/>
  <sheetViews>
    <sheetView topLeftCell="G1" zoomScale="85" zoomScaleNormal="85" workbookViewId="0">
      <selection activeCell="O55" sqref="O55:V231"/>
    </sheetView>
  </sheetViews>
  <sheetFormatPr baseColWidth="10" defaultColWidth="8.83203125" defaultRowHeight="17"/>
  <cols>
    <col min="6" max="9" width="13.1640625" bestFit="1" customWidth="1"/>
    <col min="11" max="11" width="9.1640625" bestFit="1" customWidth="1"/>
    <col min="13" max="13" width="13.1640625" bestFit="1" customWidth="1"/>
    <col min="16" max="16" width="13.5" customWidth="1"/>
    <col min="17" max="17" width="9.83203125" bestFit="1" customWidth="1"/>
    <col min="18" max="18" width="9.5" bestFit="1" customWidth="1"/>
    <col min="20" max="20" width="11" bestFit="1" customWidth="1"/>
    <col min="21" max="21" width="9.5" bestFit="1" customWidth="1"/>
    <col min="22" max="22" width="13.33203125" bestFit="1" customWidth="1"/>
    <col min="29" max="29" width="9.5" bestFit="1" customWidth="1"/>
    <col min="33" max="34" width="9.1640625" bestFit="1" customWidth="1"/>
    <col min="35" max="35" width="9.1640625" customWidth="1"/>
    <col min="46" max="46" width="7.5" customWidth="1"/>
    <col min="47" max="47" width="15" customWidth="1"/>
    <col min="48" max="48" width="11" bestFit="1" customWidth="1"/>
    <col min="49" max="49" width="9.1640625" bestFit="1" customWidth="1"/>
    <col min="51" max="56" width="9.1640625" bestFit="1" customWidth="1"/>
  </cols>
  <sheetData>
    <row r="1" spans="1:65">
      <c r="A1" s="1">
        <f>K2</f>
        <v>1.2735707007310502E-10</v>
      </c>
      <c r="B1" s="7" t="s">
        <v>0</v>
      </c>
      <c r="C1" s="7" t="s">
        <v>117</v>
      </c>
      <c r="D1" s="7" t="s">
        <v>117</v>
      </c>
      <c r="E1" s="7" t="s">
        <v>117</v>
      </c>
      <c r="F1" t="s">
        <v>117</v>
      </c>
      <c r="G1" t="s">
        <v>117</v>
      </c>
      <c r="H1" t="s">
        <v>118</v>
      </c>
      <c r="I1" t="s">
        <v>119</v>
      </c>
      <c r="J1" s="7"/>
      <c r="N1" s="7"/>
      <c r="O1" t="s">
        <v>35</v>
      </c>
      <c r="P1" t="s">
        <v>5</v>
      </c>
      <c r="Q1" t="s">
        <v>30</v>
      </c>
      <c r="R1" t="s">
        <v>38</v>
      </c>
      <c r="S1" s="3" t="s">
        <v>11</v>
      </c>
      <c r="T1" t="s">
        <v>32</v>
      </c>
      <c r="U1" t="s">
        <v>3</v>
      </c>
      <c r="V1" s="4" t="s">
        <v>4</v>
      </c>
      <c r="X1" s="3"/>
      <c r="Y1" s="3" t="s">
        <v>12</v>
      </c>
      <c r="Z1" s="3" t="s">
        <v>36</v>
      </c>
      <c r="AA1" s="3" t="s">
        <v>37</v>
      </c>
      <c r="AB1" s="3" t="s">
        <v>39</v>
      </c>
      <c r="AC1" s="3" t="s">
        <v>13</v>
      </c>
      <c r="AF1" s="35" t="s">
        <v>85</v>
      </c>
      <c r="AJ1" s="7"/>
      <c r="AK1" s="7"/>
    </row>
    <row r="2" spans="1:65">
      <c r="B2" s="7">
        <v>0</v>
      </c>
      <c r="C2" s="8">
        <v>1.2710000000000001E-10</v>
      </c>
      <c r="D2" s="8">
        <v>1.2710000000000001E-10</v>
      </c>
      <c r="E2" s="8">
        <v>1.2710000000000001E-10</v>
      </c>
      <c r="F2" s="1">
        <v>2.5706999999999998E-13</v>
      </c>
      <c r="G2" s="1">
        <v>7.3104999999999998E-20</v>
      </c>
      <c r="H2" s="1">
        <v>0</v>
      </c>
      <c r="I2" s="1">
        <v>0</v>
      </c>
      <c r="J2" s="8"/>
      <c r="K2" s="1">
        <f>SUM(C2,F2,G2)</f>
        <v>1.2735707007310502E-10</v>
      </c>
      <c r="M2" s="1"/>
      <c r="N2" s="7"/>
      <c r="O2">
        <f>B2/60</f>
        <v>0</v>
      </c>
      <c r="P2" s="6">
        <f>(SUM(F2:J2)+C2)/$A$1*100</f>
        <v>99.999999999999972</v>
      </c>
      <c r="Q2" s="6">
        <f t="shared" ref="Q2:Q65" si="0">(H2+F2)/$A$1*100</f>
        <v>0.20184980688738963</v>
      </c>
      <c r="R2" s="6">
        <f t="shared" ref="R2:R65" si="1">(G2+I2)/$A$1*100</f>
        <v>5.7401603191747854E-8</v>
      </c>
      <c r="S2" s="5">
        <f t="shared" ref="S2:S65" si="2">J2/$A$1*100</f>
        <v>0</v>
      </c>
      <c r="T2" s="6">
        <f t="shared" ref="T2:V17" si="3">C2/$A$1*100</f>
        <v>99.798150135710998</v>
      </c>
      <c r="U2" s="1">
        <f t="shared" si="3"/>
        <v>99.798150135710998</v>
      </c>
      <c r="V2" s="1">
        <f t="shared" si="3"/>
        <v>99.798150135710998</v>
      </c>
      <c r="X2" s="9" t="s">
        <v>26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" t="s">
        <v>84</v>
      </c>
      <c r="AG2" t="s">
        <v>81</v>
      </c>
      <c r="AH2" s="7" t="s">
        <v>82</v>
      </c>
      <c r="AI2" s="7" t="s">
        <v>83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>
      <c r="B3" s="7">
        <v>2.0720000000000001</v>
      </c>
      <c r="C3" s="8">
        <v>1.2494999999999999E-10</v>
      </c>
      <c r="D3" s="8">
        <v>1.2494999999999999E-10</v>
      </c>
      <c r="E3" s="8">
        <v>1.2494999999999999E-10</v>
      </c>
      <c r="F3" s="1">
        <v>2.3687000000000002E-12</v>
      </c>
      <c r="G3" s="1">
        <v>8.6321999999999994E-18</v>
      </c>
      <c r="H3" s="1">
        <v>2.1283000000000001E-14</v>
      </c>
      <c r="I3" s="1">
        <v>1.3520000000000001E-15</v>
      </c>
      <c r="J3" s="8"/>
      <c r="K3" s="1"/>
      <c r="L3" s="1"/>
      <c r="M3" s="1"/>
      <c r="N3" s="7"/>
      <c r="O3">
        <f t="shared" ref="O3:O66" si="4">B3/60</f>
        <v>3.4533333333333333E-2</v>
      </c>
      <c r="P3" s="6">
        <f t="shared" ref="P3:P66" si="5">(SUM(F3:J3)+C3)/$A$1*100</f>
        <v>99.987651693858837</v>
      </c>
      <c r="Q3" s="6">
        <f t="shared" si="0"/>
        <v>1.8766001751046182</v>
      </c>
      <c r="R3" s="6">
        <f t="shared" si="1"/>
        <v>1.06836016188106E-3</v>
      </c>
      <c r="S3" s="5">
        <f t="shared" si="2"/>
        <v>0</v>
      </c>
      <c r="T3" s="6">
        <f t="shared" si="3"/>
        <v>98.109983158592357</v>
      </c>
      <c r="U3" s="1">
        <f t="shared" si="3"/>
        <v>98.109983158592357</v>
      </c>
      <c r="V3" s="1">
        <f t="shared" si="3"/>
        <v>98.109983158592357</v>
      </c>
      <c r="X3" s="9"/>
      <c r="Y3" s="2"/>
      <c r="Z3" s="2"/>
      <c r="AA3" s="2"/>
      <c r="AB3" s="2"/>
      <c r="AC3" s="2"/>
      <c r="AD3" s="1"/>
      <c r="AE3" s="1"/>
      <c r="AF3" t="s">
        <v>40</v>
      </c>
      <c r="AG3" t="s">
        <v>41</v>
      </c>
      <c r="AH3" s="7" t="s">
        <v>42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B4" s="7">
        <v>4.6319999999999997</v>
      </c>
      <c r="C4" s="8">
        <v>1.2444000000000001E-10</v>
      </c>
      <c r="D4" s="8">
        <v>1.2444000000000001E-10</v>
      </c>
      <c r="E4" s="8">
        <v>1.2444000000000001E-10</v>
      </c>
      <c r="F4" s="1">
        <v>2.8119000000000002E-12</v>
      </c>
      <c r="G4" s="1">
        <v>1.2256E-17</v>
      </c>
      <c r="H4" s="1">
        <v>8.0321000000000002E-14</v>
      </c>
      <c r="I4" s="1">
        <v>5.4159000000000003E-15</v>
      </c>
      <c r="J4" s="8"/>
      <c r="K4" s="1"/>
      <c r="L4" s="1"/>
      <c r="M4" s="1"/>
      <c r="N4" s="7"/>
      <c r="O4">
        <f t="shared" si="4"/>
        <v>7.7199999999999991E-2</v>
      </c>
      <c r="P4" s="6">
        <f t="shared" si="5"/>
        <v>99.984750813524641</v>
      </c>
      <c r="Q4" s="6">
        <f t="shared" si="0"/>
        <v>2.2709544105716457</v>
      </c>
      <c r="R4" s="6">
        <f t="shared" si="1"/>
        <v>4.2621552120225056E-3</v>
      </c>
      <c r="S4" s="5">
        <f t="shared" si="2"/>
        <v>0</v>
      </c>
      <c r="T4" s="6">
        <f t="shared" si="3"/>
        <v>97.709534247740976</v>
      </c>
      <c r="U4" s="1">
        <f t="shared" si="3"/>
        <v>97.709534247740976</v>
      </c>
      <c r="V4" s="1">
        <f t="shared" si="3"/>
        <v>97.709534247740976</v>
      </c>
      <c r="X4" s="9" t="s">
        <v>27</v>
      </c>
      <c r="Y4" s="2">
        <v>7244</v>
      </c>
      <c r="Z4" s="2">
        <v>2129</v>
      </c>
      <c r="AA4" s="2">
        <v>1980</v>
      </c>
      <c r="AB4" s="2">
        <v>0</v>
      </c>
      <c r="AC4" s="2">
        <v>3134</v>
      </c>
      <c r="AD4" s="1"/>
      <c r="AE4" s="1"/>
      <c r="AF4" t="s">
        <v>43</v>
      </c>
      <c r="AG4" t="s">
        <v>44</v>
      </c>
      <c r="AH4" s="1" t="s">
        <v>45</v>
      </c>
      <c r="AI4" s="1" t="s">
        <v>46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B5" s="7">
        <v>6.68</v>
      </c>
      <c r="C5" s="8">
        <v>1.2425999999999999E-10</v>
      </c>
      <c r="D5" s="8">
        <v>1.2425999999999999E-10</v>
      </c>
      <c r="E5" s="8">
        <v>1.2425999999999999E-10</v>
      </c>
      <c r="F5" s="1">
        <v>2.9330000000000001E-12</v>
      </c>
      <c r="G5" s="1">
        <v>1.6525000000000001E-17</v>
      </c>
      <c r="H5" s="1">
        <v>1.3442999999999999E-13</v>
      </c>
      <c r="I5" s="1">
        <v>9.9044999999999999E-15</v>
      </c>
      <c r="J5" s="8"/>
      <c r="K5" s="1"/>
      <c r="L5" s="1"/>
      <c r="M5" s="1"/>
      <c r="N5" s="7"/>
      <c r="O5">
        <f t="shared" si="4"/>
        <v>0.11133333333333333</v>
      </c>
      <c r="P5" s="6">
        <f t="shared" si="5"/>
        <v>99.98451672286923</v>
      </c>
      <c r="Q5" s="6">
        <f t="shared" si="0"/>
        <v>2.4085274561037289</v>
      </c>
      <c r="R5" s="6">
        <f t="shared" si="1"/>
        <v>7.7899287368225186E-3</v>
      </c>
      <c r="S5" s="5">
        <f t="shared" si="2"/>
        <v>0</v>
      </c>
      <c r="T5" s="6">
        <f t="shared" si="3"/>
        <v>97.568199338028691</v>
      </c>
      <c r="U5" s="1">
        <f t="shared" si="3"/>
        <v>97.568199338028691</v>
      </c>
      <c r="V5" s="1">
        <f t="shared" si="3"/>
        <v>97.568199338028691</v>
      </c>
      <c r="X5" s="9" t="s">
        <v>28</v>
      </c>
      <c r="Y5" s="2">
        <v>7244</v>
      </c>
      <c r="Z5" s="2">
        <v>2129</v>
      </c>
      <c r="AA5" s="2">
        <v>1980</v>
      </c>
      <c r="AB5" s="2">
        <v>0</v>
      </c>
      <c r="AC5" s="2">
        <v>3134</v>
      </c>
      <c r="AD5" s="1"/>
      <c r="AE5" s="1"/>
      <c r="AF5" s="40" t="s">
        <v>60</v>
      </c>
      <c r="AG5" s="39" t="s">
        <v>93</v>
      </c>
      <c r="AH5" s="39" t="s">
        <v>93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B6" s="7">
        <v>8.7279999999999998</v>
      </c>
      <c r="C6" s="8">
        <v>1.2415000000000001E-10</v>
      </c>
      <c r="D6" s="8">
        <v>1.2415000000000001E-10</v>
      </c>
      <c r="E6" s="8">
        <v>1.2415000000000001E-10</v>
      </c>
      <c r="F6" s="1">
        <v>2.9811999999999999E-12</v>
      </c>
      <c r="G6" s="1">
        <v>2.1969000000000001E-17</v>
      </c>
      <c r="H6" s="1">
        <v>1.9084999999999999E-13</v>
      </c>
      <c r="I6" s="1">
        <v>1.5907999999999999E-14</v>
      </c>
      <c r="J6" s="8"/>
      <c r="K6" s="1"/>
      <c r="L6" s="1"/>
      <c r="M6" s="1"/>
      <c r="N6" s="7"/>
      <c r="O6">
        <f t="shared" si="4"/>
        <v>0.14546666666666666</v>
      </c>
      <c r="P6" s="6">
        <f t="shared" si="5"/>
        <v>99.985010565888444</v>
      </c>
      <c r="Q6" s="6">
        <f t="shared" si="0"/>
        <v>2.4906744464042645</v>
      </c>
      <c r="R6" s="6">
        <f t="shared" si="1"/>
        <v>1.2508115168522594E-2</v>
      </c>
      <c r="S6" s="5">
        <f t="shared" si="2"/>
        <v>0</v>
      </c>
      <c r="T6" s="6">
        <f t="shared" si="3"/>
        <v>97.481828004315645</v>
      </c>
      <c r="U6" s="1">
        <f t="shared" si="3"/>
        <v>97.481828004315645</v>
      </c>
      <c r="V6" s="1">
        <f t="shared" si="3"/>
        <v>97.481828004315645</v>
      </c>
      <c r="X6" s="9" t="s">
        <v>29</v>
      </c>
      <c r="Y6" s="2">
        <v>1</v>
      </c>
      <c r="Z6" s="2">
        <v>1</v>
      </c>
      <c r="AA6" s="2">
        <v>1</v>
      </c>
      <c r="AB6" s="2">
        <v>19</v>
      </c>
      <c r="AC6" s="2">
        <v>1</v>
      </c>
      <c r="AD6" s="1"/>
      <c r="AE6" s="1"/>
      <c r="AF6" t="s">
        <v>18</v>
      </c>
      <c r="AG6">
        <v>0.5</v>
      </c>
      <c r="AH6" s="1">
        <v>0.5</v>
      </c>
      <c r="AI6" s="1" t="s">
        <v>47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B7" s="7">
        <v>10.776</v>
      </c>
      <c r="C7" s="8">
        <v>1.2406000000000001E-10</v>
      </c>
      <c r="D7" s="8">
        <v>1.2406000000000001E-10</v>
      </c>
      <c r="E7" s="8">
        <v>1.2406000000000001E-10</v>
      </c>
      <c r="F7" s="1">
        <v>3.0029000000000001E-12</v>
      </c>
      <c r="G7" s="1">
        <v>2.8937999999999998E-17</v>
      </c>
      <c r="H7" s="1">
        <v>2.4833999999999998E-13</v>
      </c>
      <c r="I7" s="1">
        <v>2.3921E-14</v>
      </c>
      <c r="J7" s="8"/>
      <c r="K7" s="1"/>
      <c r="L7" s="1"/>
      <c r="M7" s="1"/>
      <c r="N7" s="7"/>
      <c r="O7">
        <f t="shared" si="4"/>
        <v>0.17960000000000001</v>
      </c>
      <c r="P7" s="6">
        <f t="shared" si="5"/>
        <v>99.982819850446901</v>
      </c>
      <c r="Q7" s="6">
        <f t="shared" si="0"/>
        <v>2.5528539547382301</v>
      </c>
      <c r="R7" s="6">
        <f t="shared" si="1"/>
        <v>1.8805346249134304E-2</v>
      </c>
      <c r="S7" s="5">
        <f t="shared" si="2"/>
        <v>0</v>
      </c>
      <c r="T7" s="6">
        <f t="shared" si="3"/>
        <v>97.411160549459524</v>
      </c>
      <c r="U7" s="1">
        <f t="shared" si="3"/>
        <v>97.411160549459524</v>
      </c>
      <c r="V7" s="1">
        <f t="shared" si="3"/>
        <v>97.411160549459524</v>
      </c>
      <c r="X7" s="9"/>
      <c r="Y7" s="2"/>
      <c r="Z7" s="2"/>
      <c r="AA7" s="2"/>
      <c r="AB7" s="2"/>
      <c r="AC7" s="2"/>
      <c r="AD7" s="1"/>
      <c r="AE7" s="1"/>
      <c r="AF7" t="s">
        <v>48</v>
      </c>
      <c r="AG7" t="s">
        <v>94</v>
      </c>
      <c r="AH7" s="1" t="s">
        <v>95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B8" s="7">
        <v>12.824</v>
      </c>
      <c r="C8" s="8">
        <v>1.2399E-10</v>
      </c>
      <c r="D8" s="8">
        <v>1.2399E-10</v>
      </c>
      <c r="E8" s="8">
        <v>1.2399E-10</v>
      </c>
      <c r="F8" s="1">
        <v>3.0108000000000001E-12</v>
      </c>
      <c r="G8" s="1">
        <v>3.7749999999999997E-17</v>
      </c>
      <c r="H8" s="1">
        <v>3.0636999999999999E-13</v>
      </c>
      <c r="I8" s="1">
        <v>3.4484000000000001E-14</v>
      </c>
      <c r="J8" s="8"/>
      <c r="K8" s="1"/>
      <c r="L8" s="1"/>
      <c r="M8" s="1"/>
      <c r="N8" s="7"/>
      <c r="O8">
        <f t="shared" si="4"/>
        <v>0.21373333333333333</v>
      </c>
      <c r="P8" s="6">
        <f t="shared" si="5"/>
        <v>99.987925033846807</v>
      </c>
      <c r="Q8" s="6">
        <f t="shared" si="0"/>
        <v>2.6046217913900582</v>
      </c>
      <c r="R8" s="6">
        <f t="shared" si="1"/>
        <v>2.7106268996439663E-2</v>
      </c>
      <c r="S8" s="5">
        <f t="shared" si="2"/>
        <v>0</v>
      </c>
      <c r="T8" s="6">
        <f t="shared" si="3"/>
        <v>97.356196973460314</v>
      </c>
      <c r="U8" s="1">
        <f t="shared" si="3"/>
        <v>97.356196973460314</v>
      </c>
      <c r="V8" s="1">
        <f t="shared" si="3"/>
        <v>97.356196973460314</v>
      </c>
      <c r="X8" s="9"/>
      <c r="Y8" s="2">
        <f>Y4/$Y$4*100</f>
        <v>100</v>
      </c>
      <c r="Z8" s="10">
        <f>Z4/$Y$4*100</f>
        <v>29.389839867476532</v>
      </c>
      <c r="AA8" s="10">
        <f>AA4/$Y$4*100</f>
        <v>27.332965212589727</v>
      </c>
      <c r="AB8" s="10">
        <f>AB4/$Y$4*100</f>
        <v>0</v>
      </c>
      <c r="AC8" s="10">
        <f>AC4/$Y$4*100</f>
        <v>43.263390392048592</v>
      </c>
      <c r="AD8" s="1"/>
      <c r="AE8" s="1"/>
      <c r="AF8" s="1" t="s">
        <v>20</v>
      </c>
      <c r="AG8" s="1">
        <v>0</v>
      </c>
      <c r="AH8" s="1">
        <v>0</v>
      </c>
      <c r="AI8" s="1" t="s">
        <v>49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>
      <c r="B9" s="7">
        <v>14.872</v>
      </c>
      <c r="C9" s="8">
        <v>1.2390999999999999E-10</v>
      </c>
      <c r="D9" s="8">
        <v>1.2390999999999999E-10</v>
      </c>
      <c r="E9" s="8">
        <v>1.2390999999999999E-10</v>
      </c>
      <c r="F9" s="1">
        <v>3.0123E-12</v>
      </c>
      <c r="G9" s="1">
        <v>4.7726E-17</v>
      </c>
      <c r="H9" s="1">
        <v>3.6465000000000002E-13</v>
      </c>
      <c r="I9" s="1">
        <v>4.7989999999999999E-14</v>
      </c>
      <c r="J9" s="8"/>
      <c r="K9" s="1"/>
      <c r="L9" s="1"/>
      <c r="M9" s="1"/>
      <c r="N9" s="7"/>
      <c r="O9">
        <f t="shared" si="4"/>
        <v>0.24786666666666665</v>
      </c>
      <c r="P9" s="6">
        <f t="shared" si="5"/>
        <v>99.982661074809315</v>
      </c>
      <c r="Q9" s="6">
        <f t="shared" si="0"/>
        <v>2.6515606852933851</v>
      </c>
      <c r="R9" s="6">
        <f t="shared" si="1"/>
        <v>3.7718931483289912E-2</v>
      </c>
      <c r="S9" s="5">
        <f t="shared" si="2"/>
        <v>0</v>
      </c>
      <c r="T9" s="6">
        <f t="shared" si="3"/>
        <v>97.293381458032641</v>
      </c>
      <c r="U9" s="1">
        <f t="shared" si="3"/>
        <v>97.293381458032641</v>
      </c>
      <c r="V9" s="1">
        <f t="shared" si="3"/>
        <v>97.293381458032641</v>
      </c>
      <c r="X9" s="9"/>
      <c r="Y9" s="2"/>
      <c r="Z9" s="2"/>
      <c r="AA9" s="2"/>
      <c r="AB9" s="2"/>
      <c r="AC9" s="2"/>
      <c r="AD9" s="1"/>
      <c r="AE9" s="1"/>
      <c r="AF9" s="1" t="s">
        <v>22</v>
      </c>
      <c r="AG9" s="1">
        <v>0</v>
      </c>
      <c r="AH9" s="1">
        <v>0</v>
      </c>
      <c r="AI9" s="1" t="s">
        <v>50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8" thickBot="1">
      <c r="B10" s="7">
        <v>16.920000000000002</v>
      </c>
      <c r="C10" s="8">
        <v>1.2384000000000001E-10</v>
      </c>
      <c r="D10" s="8">
        <v>1.2384000000000001E-10</v>
      </c>
      <c r="E10" s="8">
        <v>1.2384000000000001E-10</v>
      </c>
      <c r="F10" s="1">
        <v>3.0109E-12</v>
      </c>
      <c r="G10" s="1">
        <v>5.7862000000000002E-17</v>
      </c>
      <c r="H10" s="1">
        <v>4.2305E-13</v>
      </c>
      <c r="I10" s="1">
        <v>6.4648000000000001E-14</v>
      </c>
      <c r="J10" s="8"/>
      <c r="K10" s="1"/>
      <c r="L10" s="1"/>
      <c r="M10" s="1"/>
      <c r="N10" s="7"/>
      <c r="O10">
        <f t="shared" si="4"/>
        <v>0.28200000000000003</v>
      </c>
      <c r="P10" s="6">
        <f t="shared" si="5"/>
        <v>99.985541272978054</v>
      </c>
      <c r="Q10" s="6">
        <f t="shared" si="0"/>
        <v>2.6963167400355998</v>
      </c>
      <c r="R10" s="6">
        <f t="shared" si="1"/>
        <v>5.0806650909021207E-2</v>
      </c>
      <c r="S10" s="5">
        <f t="shared" si="2"/>
        <v>0</v>
      </c>
      <c r="T10" s="6">
        <f t="shared" si="3"/>
        <v>97.238417882033431</v>
      </c>
      <c r="U10" s="1">
        <f t="shared" si="3"/>
        <v>97.238417882033431</v>
      </c>
      <c r="V10" s="1">
        <f t="shared" si="3"/>
        <v>97.238417882033431</v>
      </c>
      <c r="X10" s="9"/>
      <c r="Y10" s="2"/>
      <c r="Z10" s="2"/>
      <c r="AA10" s="2"/>
      <c r="AB10" s="2"/>
      <c r="AC10" s="2"/>
      <c r="AD10" s="1"/>
      <c r="AE10" s="1"/>
      <c r="AF10" s="1" t="s">
        <v>24</v>
      </c>
      <c r="AG10" s="1">
        <v>0</v>
      </c>
      <c r="AH10" s="1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>
      <c r="B11" s="7">
        <v>18.968</v>
      </c>
      <c r="C11" s="8">
        <v>1.2375999999999999E-10</v>
      </c>
      <c r="D11" s="8">
        <v>1.2375999999999999E-10</v>
      </c>
      <c r="E11" s="8">
        <v>1.2375999999999999E-10</v>
      </c>
      <c r="F11" s="1">
        <v>3.0085E-12</v>
      </c>
      <c r="G11" s="1">
        <v>6.7796999999999998E-17</v>
      </c>
      <c r="H11" s="1">
        <v>4.8150000000000002E-13</v>
      </c>
      <c r="I11" s="1">
        <v>8.4501999999999999E-14</v>
      </c>
      <c r="J11" s="8"/>
      <c r="K11" s="1"/>
      <c r="L11" s="1"/>
      <c r="M11" s="1"/>
      <c r="N11" s="7"/>
      <c r="O11">
        <f t="shared" si="4"/>
        <v>0.31613333333333332</v>
      </c>
      <c r="P11" s="6">
        <f t="shared" si="5"/>
        <v>99.982332919489977</v>
      </c>
      <c r="Q11" s="6">
        <f t="shared" si="0"/>
        <v>2.7403268605321114</v>
      </c>
      <c r="R11" s="6">
        <f t="shared" si="1"/>
        <v>6.6403692352105428E-2</v>
      </c>
      <c r="S11" s="5">
        <f t="shared" si="2"/>
        <v>0</v>
      </c>
      <c r="T11" s="6">
        <f t="shared" si="3"/>
        <v>97.175602366605744</v>
      </c>
      <c r="U11" s="1">
        <f t="shared" si="3"/>
        <v>97.175602366605744</v>
      </c>
      <c r="V11" s="1">
        <f t="shared" si="3"/>
        <v>97.175602366605744</v>
      </c>
      <c r="X11" s="9"/>
      <c r="Y11" s="2"/>
      <c r="Z11" s="2"/>
      <c r="AA11" s="16"/>
      <c r="AB11" s="11" t="s">
        <v>33</v>
      </c>
      <c r="AC11" s="2"/>
      <c r="AD11" s="1"/>
      <c r="AE11" s="1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B12" s="7">
        <v>23.064</v>
      </c>
      <c r="C12" s="8">
        <v>1.2359999999999999E-10</v>
      </c>
      <c r="D12" s="8">
        <v>1.2359999999999999E-10</v>
      </c>
      <c r="E12" s="8">
        <v>1.2359999999999999E-10</v>
      </c>
      <c r="F12" s="1">
        <v>3.003E-12</v>
      </c>
      <c r="G12" s="1">
        <v>8.5229999999999994E-17</v>
      </c>
      <c r="H12" s="1">
        <v>5.9847999999999999E-13</v>
      </c>
      <c r="I12" s="1">
        <v>1.3329000000000001E-13</v>
      </c>
      <c r="J12" s="8"/>
      <c r="K12" s="1"/>
      <c r="L12" s="1"/>
      <c r="M12" s="1"/>
      <c r="N12" s="7"/>
      <c r="O12">
        <f t="shared" si="4"/>
        <v>0.38440000000000002</v>
      </c>
      <c r="P12" s="6">
        <f t="shared" si="5"/>
        <v>99.982557039752649</v>
      </c>
      <c r="Q12" s="6">
        <f t="shared" si="0"/>
        <v>2.8278602812805698</v>
      </c>
      <c r="R12" s="6">
        <f t="shared" si="1"/>
        <v>0.10472542272167572</v>
      </c>
      <c r="S12" s="5">
        <f t="shared" si="2"/>
        <v>0</v>
      </c>
      <c r="T12" s="6">
        <f t="shared" si="3"/>
        <v>97.049971335750413</v>
      </c>
      <c r="U12" s="1">
        <f t="shared" si="3"/>
        <v>97.049971335750413</v>
      </c>
      <c r="V12" s="1">
        <f t="shared" si="3"/>
        <v>97.049971335750413</v>
      </c>
      <c r="X12" s="9"/>
      <c r="Y12" s="2"/>
      <c r="Z12" s="2"/>
      <c r="AA12" s="12" t="s">
        <v>32</v>
      </c>
      <c r="AB12" s="17">
        <f>AC8</f>
        <v>43.263390392048592</v>
      </c>
      <c r="AC12" s="2"/>
      <c r="AD12" s="1"/>
      <c r="AE12" s="1"/>
      <c r="AF12" s="1" t="s">
        <v>51</v>
      </c>
      <c r="AG12" s="1" t="s">
        <v>52</v>
      </c>
      <c r="AH12" s="1" t="s">
        <v>53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>
      <c r="B13" s="7">
        <v>27.16</v>
      </c>
      <c r="C13" s="8">
        <v>1.2343000000000001E-10</v>
      </c>
      <c r="D13" s="8">
        <v>1.2343000000000001E-10</v>
      </c>
      <c r="E13" s="8">
        <v>1.2343000000000001E-10</v>
      </c>
      <c r="F13" s="1">
        <v>2.9970999999999998E-12</v>
      </c>
      <c r="G13" s="1">
        <v>1.0140000000000001E-16</v>
      </c>
      <c r="H13" s="1">
        <v>7.1545999999999996E-13</v>
      </c>
      <c r="I13" s="1">
        <v>1.9313000000000001E-13</v>
      </c>
      <c r="J13" s="8"/>
      <c r="K13" s="1"/>
      <c r="L13" s="1"/>
      <c r="M13" s="1"/>
      <c r="N13" s="7"/>
      <c r="O13">
        <f t="shared" si="4"/>
        <v>0.45266666666666666</v>
      </c>
      <c r="P13" s="6">
        <f t="shared" si="5"/>
        <v>99.983292114766158</v>
      </c>
      <c r="Q13" s="6">
        <f t="shared" si="0"/>
        <v>2.9150796244518893</v>
      </c>
      <c r="R13" s="6">
        <f t="shared" si="1"/>
        <v>0.15172412484762882</v>
      </c>
      <c r="S13" s="5">
        <f t="shared" si="2"/>
        <v>0</v>
      </c>
      <c r="T13" s="6">
        <f t="shared" si="3"/>
        <v>96.91648836546662</v>
      </c>
      <c r="U13" s="1">
        <f t="shared" si="3"/>
        <v>96.91648836546662</v>
      </c>
      <c r="V13" s="1">
        <f t="shared" si="3"/>
        <v>96.91648836546662</v>
      </c>
      <c r="X13" s="9"/>
      <c r="Y13" s="2"/>
      <c r="Z13" s="2"/>
      <c r="AA13" s="13" t="s">
        <v>31</v>
      </c>
      <c r="AB13" s="18">
        <f>AA8</f>
        <v>27.332965212589727</v>
      </c>
      <c r="AC13" s="2"/>
      <c r="AD13" s="1"/>
      <c r="AE13" s="1"/>
      <c r="AF13" s="1" t="s">
        <v>54</v>
      </c>
      <c r="AG13" s="1" t="s">
        <v>55</v>
      </c>
      <c r="AH13" s="1" t="s">
        <v>56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>
      <c r="B14" s="7">
        <v>35.351999999999997</v>
      </c>
      <c r="C14" s="8">
        <v>1.2306000000000001E-10</v>
      </c>
      <c r="D14" s="8">
        <v>1.2306000000000001E-10</v>
      </c>
      <c r="E14" s="8">
        <v>1.2306000000000001E-10</v>
      </c>
      <c r="F14" s="1">
        <v>2.9852999999999998E-12</v>
      </c>
      <c r="G14" s="1">
        <v>1.2550999999999999E-16</v>
      </c>
      <c r="H14" s="1">
        <v>9.4925000000000002E-13</v>
      </c>
      <c r="I14" s="1">
        <v>3.394E-13</v>
      </c>
      <c r="J14" s="8"/>
      <c r="K14" s="1"/>
      <c r="L14" s="1"/>
      <c r="M14" s="1"/>
      <c r="N14" s="7"/>
      <c r="O14">
        <f t="shared" si="4"/>
        <v>0.58919999999999995</v>
      </c>
      <c r="P14" s="6">
        <f t="shared" si="5"/>
        <v>99.981944808331562</v>
      </c>
      <c r="Q14" s="6">
        <f t="shared" si="0"/>
        <v>3.0893848278242464</v>
      </c>
      <c r="R14" s="6">
        <f t="shared" si="1"/>
        <v>0.26659337389365728</v>
      </c>
      <c r="S14" s="5">
        <f t="shared" si="2"/>
        <v>0</v>
      </c>
      <c r="T14" s="6">
        <f t="shared" si="3"/>
        <v>96.625966606613659</v>
      </c>
      <c r="U14" s="1">
        <f t="shared" si="3"/>
        <v>96.625966606613659</v>
      </c>
      <c r="V14" s="1">
        <f t="shared" si="3"/>
        <v>96.625966606613659</v>
      </c>
      <c r="X14" s="9"/>
      <c r="Y14" s="2"/>
      <c r="Z14" s="2"/>
      <c r="AA14" s="14" t="s">
        <v>30</v>
      </c>
      <c r="AB14" s="19">
        <f>Z8</f>
        <v>29.389839867476532</v>
      </c>
      <c r="AC14" s="2"/>
      <c r="AD14" s="1"/>
      <c r="AE14" s="1"/>
      <c r="AF14" s="1" t="s">
        <v>57</v>
      </c>
      <c r="AG14" s="1" t="s">
        <v>58</v>
      </c>
      <c r="AH14" s="1" t="s">
        <v>59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8" thickBot="1">
      <c r="B15" s="7">
        <v>43.543999999999997</v>
      </c>
      <c r="C15" s="8">
        <v>1.2267E-10</v>
      </c>
      <c r="D15" s="8">
        <v>1.2267E-10</v>
      </c>
      <c r="E15" s="8">
        <v>1.2267E-10</v>
      </c>
      <c r="F15" s="1">
        <v>2.9737000000000001E-12</v>
      </c>
      <c r="G15" s="1">
        <v>1.4314999999999999E-16</v>
      </c>
      <c r="H15" s="1">
        <v>1.1826E-12</v>
      </c>
      <c r="I15" s="1">
        <v>5.1316000000000001E-13</v>
      </c>
      <c r="J15" s="8"/>
      <c r="K15" s="1"/>
      <c r="L15" s="1"/>
      <c r="M15" s="1"/>
      <c r="N15" s="7"/>
      <c r="O15">
        <f t="shared" si="4"/>
        <v>0.72573333333333323</v>
      </c>
      <c r="P15" s="6">
        <f t="shared" si="5"/>
        <v>99.986285077777794</v>
      </c>
      <c r="Q15" s="6">
        <f t="shared" si="0"/>
        <v>3.263501584650319</v>
      </c>
      <c r="R15" s="6">
        <f t="shared" si="1"/>
        <v>0.40304252422370879</v>
      </c>
      <c r="S15" s="5">
        <f t="shared" si="2"/>
        <v>0</v>
      </c>
      <c r="T15" s="6">
        <f t="shared" si="3"/>
        <v>96.319740968903758</v>
      </c>
      <c r="U15" s="1">
        <f t="shared" si="3"/>
        <v>96.319740968903758</v>
      </c>
      <c r="V15" s="1">
        <f t="shared" si="3"/>
        <v>96.319740968903758</v>
      </c>
      <c r="X15" s="1"/>
      <c r="Y15" s="5"/>
      <c r="Z15" s="1"/>
      <c r="AA15" s="15" t="s">
        <v>11</v>
      </c>
      <c r="AB15" s="20">
        <f>AB8</f>
        <v>0</v>
      </c>
      <c r="AC15" s="1"/>
      <c r="AD15" s="1"/>
      <c r="AE15" s="1"/>
      <c r="AF15" s="1" t="s">
        <v>19</v>
      </c>
      <c r="AG15" s="1">
        <v>0.1</v>
      </c>
      <c r="AH15" s="1">
        <v>0.1</v>
      </c>
      <c r="AI15" s="1" t="s">
        <v>47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>
      <c r="B16" s="7">
        <v>51.735999999999997</v>
      </c>
      <c r="C16" s="8">
        <v>1.2226E-10</v>
      </c>
      <c r="D16" s="8">
        <v>1.2226E-10</v>
      </c>
      <c r="E16" s="8">
        <v>1.2226E-10</v>
      </c>
      <c r="F16" s="1">
        <v>2.9623E-12</v>
      </c>
      <c r="G16" s="1">
        <v>1.5601999999999999E-16</v>
      </c>
      <c r="H16" s="1">
        <v>1.4155E-12</v>
      </c>
      <c r="I16" s="1">
        <v>7.0556999999999999E-13</v>
      </c>
      <c r="J16" s="8"/>
      <c r="K16" s="1"/>
      <c r="L16" s="1"/>
      <c r="M16" s="1"/>
      <c r="N16" s="7"/>
      <c r="O16">
        <f t="shared" si="4"/>
        <v>0.86226666666666663</v>
      </c>
      <c r="P16" s="6">
        <f t="shared" si="5"/>
        <v>99.989365291540338</v>
      </c>
      <c r="Q16" s="6">
        <f t="shared" si="0"/>
        <v>3.4374220429906814</v>
      </c>
      <c r="R16" s="6">
        <f t="shared" si="1"/>
        <v>0.55413179621272834</v>
      </c>
      <c r="S16" s="5">
        <f t="shared" si="2"/>
        <v>0</v>
      </c>
      <c r="T16" s="6">
        <f t="shared" si="3"/>
        <v>95.997811452336947</v>
      </c>
      <c r="U16" s="1">
        <f t="shared" si="3"/>
        <v>95.997811452336947</v>
      </c>
      <c r="V16" s="1">
        <f t="shared" si="3"/>
        <v>95.997811452336947</v>
      </c>
      <c r="X16" s="1"/>
      <c r="AD16" s="1"/>
      <c r="AE16" s="1"/>
      <c r="AF16" s="1" t="s">
        <v>63</v>
      </c>
      <c r="AG16" s="1" t="s">
        <v>64</v>
      </c>
      <c r="AH16" s="1" t="s">
        <v>65</v>
      </c>
      <c r="AI16" s="1" t="s">
        <v>66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>
      <c r="B17" s="7">
        <v>59.927999999999997</v>
      </c>
      <c r="C17" s="8">
        <v>1.2183999999999999E-10</v>
      </c>
      <c r="D17" s="8">
        <v>1.2183999999999999E-10</v>
      </c>
      <c r="E17" s="8">
        <v>1.2183999999999999E-10</v>
      </c>
      <c r="F17" s="1">
        <v>2.9512000000000002E-12</v>
      </c>
      <c r="G17" s="1">
        <v>1.6322999999999999E-16</v>
      </c>
      <c r="H17" s="1">
        <v>1.6477999999999999E-12</v>
      </c>
      <c r="I17" s="1">
        <v>9.1018999999999998E-13</v>
      </c>
      <c r="J17" s="8"/>
      <c r="K17" s="1"/>
      <c r="L17" s="1"/>
      <c r="M17" s="1"/>
      <c r="N17" s="7"/>
      <c r="O17">
        <f t="shared" si="4"/>
        <v>0.99879999999999991</v>
      </c>
      <c r="P17" s="6">
        <f t="shared" si="5"/>
        <v>99.993940781536025</v>
      </c>
      <c r="Q17" s="6">
        <f t="shared" si="0"/>
        <v>3.6111069431481893</v>
      </c>
      <c r="R17" s="6">
        <f t="shared" si="1"/>
        <v>0.71480384204617964</v>
      </c>
      <c r="S17" s="5">
        <f t="shared" si="2"/>
        <v>0</v>
      </c>
      <c r="T17" s="6">
        <f t="shared" si="3"/>
        <v>95.668029996341659</v>
      </c>
      <c r="U17" s="1">
        <f t="shared" si="3"/>
        <v>95.668029996341659</v>
      </c>
      <c r="V17" s="1">
        <f t="shared" si="3"/>
        <v>95.668029996341659</v>
      </c>
      <c r="X17" s="5"/>
      <c r="Y17" s="5"/>
      <c r="Z17" s="5"/>
      <c r="AA17" s="5"/>
      <c r="AB17" s="5"/>
      <c r="AC17" s="1"/>
      <c r="AD17" s="5"/>
      <c r="AE17" s="5"/>
      <c r="AF17" s="1" t="s">
        <v>67</v>
      </c>
      <c r="AG17" s="1">
        <v>0.7</v>
      </c>
      <c r="AH17" s="1">
        <v>0.7</v>
      </c>
      <c r="AI17" s="1" t="s">
        <v>68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>
      <c r="B18" s="7">
        <v>68.12</v>
      </c>
      <c r="C18" s="8">
        <v>1.2141E-10</v>
      </c>
      <c r="D18" s="8">
        <v>1.2141E-10</v>
      </c>
      <c r="E18" s="8">
        <v>1.2141E-10</v>
      </c>
      <c r="F18" s="1">
        <v>2.9401999999999999E-12</v>
      </c>
      <c r="G18" s="1">
        <v>1.6774999999999999E-16</v>
      </c>
      <c r="H18" s="1">
        <v>1.8793999999999998E-12</v>
      </c>
      <c r="I18" s="1">
        <v>1.1226000000000001E-12</v>
      </c>
      <c r="J18" s="8"/>
      <c r="K18" s="1"/>
      <c r="L18" s="1"/>
      <c r="M18" s="1"/>
      <c r="N18" s="7"/>
      <c r="O18">
        <f t="shared" si="4"/>
        <v>1.1353333333333333</v>
      </c>
      <c r="P18" s="6">
        <f t="shared" si="5"/>
        <v>99.996307764380617</v>
      </c>
      <c r="Q18" s="6">
        <f t="shared" si="0"/>
        <v>3.7843207269399897</v>
      </c>
      <c r="R18" s="6">
        <f t="shared" si="1"/>
        <v>0.8815904365226942</v>
      </c>
      <c r="S18" s="5">
        <f t="shared" si="2"/>
        <v>0</v>
      </c>
      <c r="T18" s="6">
        <f t="shared" ref="T18:V81" si="6">C18/$A$1*100</f>
        <v>95.33039660091795</v>
      </c>
      <c r="U18" s="1">
        <f t="shared" si="6"/>
        <v>95.33039660091795</v>
      </c>
      <c r="V18" s="1">
        <f t="shared" si="6"/>
        <v>95.33039660091795</v>
      </c>
      <c r="X18" s="5"/>
      <c r="Y18" s="5"/>
      <c r="Z18" s="5"/>
      <c r="AA18" s="5"/>
      <c r="AB18" s="5"/>
      <c r="AC18" s="1"/>
      <c r="AD18" s="5"/>
      <c r="AE18" s="5"/>
      <c r="AF18" t="s">
        <v>69</v>
      </c>
      <c r="AG18" s="1" t="s">
        <v>70</v>
      </c>
      <c r="AH18" s="1" t="s">
        <v>71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>
      <c r="B19" s="7">
        <v>76.311999999999998</v>
      </c>
      <c r="C19" s="8">
        <v>1.2097E-10</v>
      </c>
      <c r="D19" s="8">
        <v>1.2097E-10</v>
      </c>
      <c r="E19" s="8">
        <v>1.2097E-10</v>
      </c>
      <c r="F19" s="1">
        <v>2.9293E-12</v>
      </c>
      <c r="G19" s="1">
        <v>1.7044999999999999E-16</v>
      </c>
      <c r="H19" s="1">
        <v>2.1103E-12</v>
      </c>
      <c r="I19" s="1">
        <v>1.3398E-12</v>
      </c>
      <c r="J19" s="8"/>
      <c r="K19" s="1"/>
      <c r="L19" s="1"/>
      <c r="M19" s="1"/>
      <c r="N19" s="7"/>
      <c r="O19">
        <f t="shared" si="4"/>
        <v>1.2718666666666667</v>
      </c>
      <c r="P19" s="6">
        <f t="shared" si="5"/>
        <v>99.994111341364317</v>
      </c>
      <c r="Q19" s="6">
        <f t="shared" si="0"/>
        <v>3.9570633943660822</v>
      </c>
      <c r="R19" s="6">
        <f t="shared" si="1"/>
        <v>1.0521366809324644</v>
      </c>
      <c r="S19" s="5">
        <f t="shared" si="2"/>
        <v>0</v>
      </c>
      <c r="T19" s="6">
        <f t="shared" si="6"/>
        <v>94.984911266065765</v>
      </c>
      <c r="U19" s="1">
        <f t="shared" si="6"/>
        <v>94.984911266065765</v>
      </c>
      <c r="V19" s="1">
        <f t="shared" si="6"/>
        <v>94.984911266065765</v>
      </c>
      <c r="X19" s="5"/>
      <c r="Y19" s="5"/>
      <c r="Z19" s="5"/>
      <c r="AA19" s="5"/>
      <c r="AB19" s="5"/>
      <c r="AC19" s="1"/>
      <c r="AD19" s="5"/>
      <c r="AE19" s="5"/>
      <c r="AF19" t="s">
        <v>72</v>
      </c>
      <c r="AG19" s="1" t="s">
        <v>73</v>
      </c>
      <c r="AH19" s="1" t="s">
        <v>74</v>
      </c>
      <c r="AI19" s="1" t="s">
        <v>75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>
      <c r="B20" s="7">
        <v>84.504000000000005</v>
      </c>
      <c r="C20" s="8">
        <v>1.2054E-10</v>
      </c>
      <c r="D20" s="8">
        <v>1.2054E-10</v>
      </c>
      <c r="E20" s="8">
        <v>1.2054E-10</v>
      </c>
      <c r="F20" s="1">
        <v>2.9185000000000001E-12</v>
      </c>
      <c r="G20" s="1">
        <v>1.7214E-16</v>
      </c>
      <c r="H20" s="1">
        <v>2.3405E-12</v>
      </c>
      <c r="I20" s="1">
        <v>1.5598000000000001E-12</v>
      </c>
      <c r="J20" s="8"/>
      <c r="K20" s="1"/>
      <c r="L20" s="1"/>
      <c r="M20" s="1"/>
      <c r="N20" s="7"/>
      <c r="O20">
        <f t="shared" si="4"/>
        <v>1.4084000000000001</v>
      </c>
      <c r="P20" s="6">
        <f t="shared" si="5"/>
        <v>100.00149349140482</v>
      </c>
      <c r="Q20" s="6">
        <f t="shared" si="0"/>
        <v>4.1293349454264678</v>
      </c>
      <c r="R20" s="6">
        <f t="shared" si="1"/>
        <v>1.2248806753363208</v>
      </c>
      <c r="S20" s="5">
        <f t="shared" si="2"/>
        <v>0</v>
      </c>
      <c r="T20" s="6">
        <f t="shared" si="6"/>
        <v>94.647277870642043</v>
      </c>
      <c r="U20" s="1">
        <f t="shared" si="6"/>
        <v>94.647277870642043</v>
      </c>
      <c r="V20" s="1">
        <f t="shared" si="6"/>
        <v>94.647277870642043</v>
      </c>
      <c r="X20" s="5"/>
      <c r="Y20" s="5"/>
      <c r="Z20" s="5"/>
      <c r="AA20" s="5"/>
      <c r="AB20" s="5"/>
      <c r="AC20" s="1"/>
      <c r="AD20" s="5"/>
      <c r="AE20" s="5"/>
      <c r="AF20" t="s">
        <v>76</v>
      </c>
      <c r="AG20" s="1" t="s">
        <v>77</v>
      </c>
      <c r="AH20" s="1" t="s">
        <v>78</v>
      </c>
      <c r="AI20" s="1" t="s">
        <v>79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>
      <c r="B21" s="7">
        <v>100.89</v>
      </c>
      <c r="C21" s="8">
        <v>1.1966E-10</v>
      </c>
      <c r="D21" s="8">
        <v>1.1966E-10</v>
      </c>
      <c r="E21" s="8">
        <v>1.1966E-10</v>
      </c>
      <c r="F21" s="1">
        <v>2.8970999999999998E-12</v>
      </c>
      <c r="G21" s="1">
        <v>1.7002E-16</v>
      </c>
      <c r="H21" s="1">
        <v>2.7984999999999998E-12</v>
      </c>
      <c r="I21" s="1">
        <v>2.0038E-12</v>
      </c>
      <c r="J21" s="8"/>
      <c r="K21" s="1"/>
      <c r="L21" s="1"/>
      <c r="M21" s="1"/>
      <c r="N21" s="7"/>
      <c r="O21">
        <f t="shared" si="4"/>
        <v>1.6815</v>
      </c>
      <c r="P21" s="6">
        <f t="shared" si="5"/>
        <v>100.00196294315937</v>
      </c>
      <c r="Q21" s="6">
        <f t="shared" si="0"/>
        <v>4.4721506208729789</v>
      </c>
      <c r="R21" s="6">
        <f t="shared" si="1"/>
        <v>1.5735051213487314</v>
      </c>
      <c r="S21" s="5">
        <f t="shared" si="2"/>
        <v>0</v>
      </c>
      <c r="T21" s="6">
        <f t="shared" si="6"/>
        <v>93.956307200937658</v>
      </c>
      <c r="U21" s="1">
        <f t="shared" si="6"/>
        <v>93.956307200937658</v>
      </c>
      <c r="V21" s="1">
        <f t="shared" si="6"/>
        <v>93.956307200937658</v>
      </c>
      <c r="X21" s="5"/>
      <c r="Y21" s="5"/>
      <c r="Z21" s="5"/>
      <c r="AA21" s="5"/>
      <c r="AB21" s="5"/>
      <c r="AC21" s="1"/>
      <c r="AD21" s="5"/>
      <c r="AE21" s="5"/>
      <c r="AF21" t="s">
        <v>80</v>
      </c>
      <c r="AG21" s="1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49"/>
      <c r="AW21" s="49"/>
      <c r="AX21" s="49"/>
      <c r="AY21" s="49"/>
      <c r="AZ21" s="49"/>
      <c r="BA21" s="49"/>
      <c r="BB21" s="49"/>
      <c r="BC21" s="49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>
      <c r="B22" s="7">
        <v>117.27</v>
      </c>
      <c r="C22" s="8">
        <v>1.1879000000000001E-10</v>
      </c>
      <c r="D22" s="8">
        <v>1.1879000000000001E-10</v>
      </c>
      <c r="E22" s="8">
        <v>1.1879000000000001E-10</v>
      </c>
      <c r="F22" s="1">
        <v>2.8758999999999999E-12</v>
      </c>
      <c r="G22" s="1">
        <v>1.6862999999999999E-16</v>
      </c>
      <c r="H22" s="1">
        <v>3.2534999999999998E-12</v>
      </c>
      <c r="I22" s="1">
        <v>2.4492000000000001E-12</v>
      </c>
      <c r="J22" s="8"/>
      <c r="K22" s="1"/>
      <c r="L22" s="1"/>
      <c r="M22" s="1"/>
      <c r="N22" s="7"/>
      <c r="O22">
        <f t="shared" si="4"/>
        <v>1.9544999999999999</v>
      </c>
      <c r="P22" s="6">
        <f t="shared" si="5"/>
        <v>100.009185636014</v>
      </c>
      <c r="Q22" s="6">
        <f t="shared" si="0"/>
        <v>4.8127677532795197</v>
      </c>
      <c r="R22" s="6">
        <f t="shared" si="1"/>
        <v>1.9232294120727043</v>
      </c>
      <c r="S22" s="5">
        <f t="shared" si="2"/>
        <v>0</v>
      </c>
      <c r="T22" s="6">
        <f t="shared" si="6"/>
        <v>93.273188470661765</v>
      </c>
      <c r="U22" s="1">
        <f t="shared" si="6"/>
        <v>93.273188470661765</v>
      </c>
      <c r="V22" s="1">
        <f t="shared" si="6"/>
        <v>93.273188470661765</v>
      </c>
      <c r="X22" s="5"/>
      <c r="Y22" s="5"/>
      <c r="Z22" s="5"/>
      <c r="AA22" s="5"/>
      <c r="AB22" s="5"/>
      <c r="AC22" s="1"/>
      <c r="AD22" s="5"/>
      <c r="AE22" s="5"/>
      <c r="AF22" s="1" t="s">
        <v>144</v>
      </c>
      <c r="AG22" s="1" t="s">
        <v>145</v>
      </c>
      <c r="AH22" s="1" t="s">
        <v>146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>
      <c r="B23" s="7">
        <v>133.66</v>
      </c>
      <c r="C23" s="8">
        <v>1.1791999999999999E-10</v>
      </c>
      <c r="D23" s="8">
        <v>1.1791999999999999E-10</v>
      </c>
      <c r="E23" s="8">
        <v>1.1791999999999999E-10</v>
      </c>
      <c r="F23" s="1">
        <v>2.8547999999999999E-12</v>
      </c>
      <c r="G23" s="1">
        <v>1.7097E-16</v>
      </c>
      <c r="H23" s="1">
        <v>3.7052E-12</v>
      </c>
      <c r="I23" s="1">
        <v>2.8935000000000001E-12</v>
      </c>
      <c r="J23" s="8"/>
      <c r="K23" s="1"/>
      <c r="L23" s="1"/>
      <c r="M23" s="1"/>
      <c r="N23" s="7"/>
      <c r="O23">
        <f t="shared" si="4"/>
        <v>2.2276666666666665</v>
      </c>
      <c r="P23" s="6">
        <f t="shared" si="5"/>
        <v>100.01303492368774</v>
      </c>
      <c r="Q23" s="6">
        <f t="shared" si="0"/>
        <v>5.150872265068954</v>
      </c>
      <c r="R23" s="6">
        <f t="shared" si="1"/>
        <v>2.2720929182329543</v>
      </c>
      <c r="S23" s="5">
        <f t="shared" si="2"/>
        <v>0</v>
      </c>
      <c r="T23" s="6">
        <f t="shared" si="6"/>
        <v>92.590069740385829</v>
      </c>
      <c r="U23" s="1">
        <f t="shared" si="6"/>
        <v>92.590069740385829</v>
      </c>
      <c r="V23" s="1">
        <f t="shared" si="6"/>
        <v>92.590069740385829</v>
      </c>
      <c r="X23" s="5"/>
      <c r="Y23" s="5"/>
      <c r="Z23" s="5"/>
      <c r="AA23" s="5"/>
      <c r="AB23" s="5"/>
      <c r="AC23" s="1"/>
      <c r="AD23" s="5"/>
      <c r="AE23" s="5"/>
      <c r="AF23" s="1" t="s">
        <v>147</v>
      </c>
      <c r="AG23" s="1" t="s">
        <v>148</v>
      </c>
      <c r="AH23" s="1" t="s">
        <v>149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>
      <c r="B24" s="7">
        <v>166.42</v>
      </c>
      <c r="C24" s="8">
        <v>1.162E-10</v>
      </c>
      <c r="D24" s="8">
        <v>1.162E-10</v>
      </c>
      <c r="E24" s="8">
        <v>1.162E-10</v>
      </c>
      <c r="F24" s="1">
        <v>2.8131000000000002E-12</v>
      </c>
      <c r="G24" s="1">
        <v>1.6733E-16</v>
      </c>
      <c r="H24" s="1">
        <v>4.5990000000000001E-12</v>
      </c>
      <c r="I24" s="1">
        <v>3.7747000000000001E-12</v>
      </c>
      <c r="J24" s="8"/>
      <c r="K24" s="1"/>
      <c r="L24" s="1"/>
      <c r="M24" s="1"/>
      <c r="N24" s="7"/>
      <c r="O24">
        <f t="shared" si="4"/>
        <v>2.7736666666666663</v>
      </c>
      <c r="P24" s="6">
        <f t="shared" si="5"/>
        <v>100.02347514502165</v>
      </c>
      <c r="Q24" s="6">
        <f t="shared" si="0"/>
        <v>5.8199360237679274</v>
      </c>
      <c r="R24" s="6">
        <f t="shared" si="1"/>
        <v>2.9640029625627893</v>
      </c>
      <c r="S24" s="5">
        <f t="shared" si="2"/>
        <v>0</v>
      </c>
      <c r="T24" s="6">
        <f t="shared" si="6"/>
        <v>91.239536158690925</v>
      </c>
      <c r="U24" s="1">
        <f t="shared" si="6"/>
        <v>91.239536158690925</v>
      </c>
      <c r="V24" s="1">
        <f t="shared" si="6"/>
        <v>91.239536158690925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>
      <c r="B25" s="7">
        <v>231.96</v>
      </c>
      <c r="C25" s="8">
        <v>1.1286999999999999E-10</v>
      </c>
      <c r="D25" s="8">
        <v>1.1286999999999999E-10</v>
      </c>
      <c r="E25" s="8">
        <v>1.1286999999999999E-10</v>
      </c>
      <c r="F25" s="1">
        <v>2.7326999999999999E-12</v>
      </c>
      <c r="G25" s="1">
        <v>1.6364000000000001E-16</v>
      </c>
      <c r="H25" s="1">
        <v>6.3483000000000003E-12</v>
      </c>
      <c r="I25" s="1">
        <v>5.4999E-12</v>
      </c>
      <c r="J25" s="8"/>
      <c r="K25" s="1"/>
      <c r="L25" s="1"/>
      <c r="M25" s="1"/>
      <c r="N25" s="7"/>
      <c r="O25">
        <f t="shared" si="4"/>
        <v>3.8660000000000001</v>
      </c>
      <c r="P25" s="6">
        <f t="shared" si="5"/>
        <v>100.0738031793924</v>
      </c>
      <c r="Q25" s="6">
        <f t="shared" si="0"/>
        <v>7.1303461949834102</v>
      </c>
      <c r="R25" s="6">
        <f t="shared" si="1"/>
        <v>4.3186166553948473</v>
      </c>
      <c r="S25" s="5">
        <f t="shared" si="2"/>
        <v>0</v>
      </c>
      <c r="T25" s="6">
        <f t="shared" si="6"/>
        <v>88.624840329014148</v>
      </c>
      <c r="U25" s="1">
        <f t="shared" si="6"/>
        <v>88.624840329014148</v>
      </c>
      <c r="V25" s="1">
        <f t="shared" si="6"/>
        <v>88.624840329014148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>
      <c r="B26" s="7">
        <v>363.03</v>
      </c>
      <c r="C26" s="8">
        <v>1.0659E-10</v>
      </c>
      <c r="D26" s="8">
        <v>1.0659E-10</v>
      </c>
      <c r="E26" s="8">
        <v>1.0659E-10</v>
      </c>
      <c r="F26" s="1">
        <v>2.5806000000000001E-12</v>
      </c>
      <c r="G26" s="1">
        <v>1.5628E-16</v>
      </c>
      <c r="H26" s="1">
        <v>9.7003999999999993E-12</v>
      </c>
      <c r="I26" s="1">
        <v>8.8050000000000005E-12</v>
      </c>
      <c r="J26" s="8"/>
      <c r="K26" s="1"/>
      <c r="L26" s="1"/>
      <c r="M26" s="1"/>
      <c r="N26" s="7"/>
      <c r="O26">
        <f t="shared" si="4"/>
        <v>6.0504999999999995</v>
      </c>
      <c r="P26" s="6">
        <f t="shared" si="5"/>
        <v>100.25054455689961</v>
      </c>
      <c r="Q26" s="6">
        <f t="shared" si="0"/>
        <v>9.6429668120902168</v>
      </c>
      <c r="R26" s="6">
        <f t="shared" si="1"/>
        <v>6.9137553768673383</v>
      </c>
      <c r="S26" s="5">
        <f t="shared" si="2"/>
        <v>0</v>
      </c>
      <c r="T26" s="6">
        <f t="shared" si="6"/>
        <v>83.693822367942047</v>
      </c>
      <c r="U26" s="1">
        <f t="shared" si="6"/>
        <v>83.693822367942047</v>
      </c>
      <c r="V26" s="1">
        <f t="shared" si="6"/>
        <v>83.693822367942047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>
      <c r="B27" s="7">
        <v>494.1</v>
      </c>
      <c r="C27" s="8">
        <v>1.0066E-10</v>
      </c>
      <c r="D27" s="8">
        <v>1.0066E-10</v>
      </c>
      <c r="E27" s="8">
        <v>1.0066E-10</v>
      </c>
      <c r="F27" s="1">
        <v>2.4369999999999998E-12</v>
      </c>
      <c r="G27" s="1">
        <v>1.4794999999999999E-16</v>
      </c>
      <c r="H27" s="1">
        <v>1.2866E-11</v>
      </c>
      <c r="I27" s="1">
        <v>1.1927E-11</v>
      </c>
      <c r="J27" s="8"/>
      <c r="K27" s="1"/>
      <c r="L27" s="1"/>
      <c r="M27" s="1"/>
      <c r="N27" s="7"/>
      <c r="O27">
        <f t="shared" si="4"/>
        <v>8.2350000000000012</v>
      </c>
      <c r="P27" s="6">
        <f t="shared" si="5"/>
        <v>100.41856952000308</v>
      </c>
      <c r="Q27" s="6">
        <f t="shared" si="0"/>
        <v>12.015822907370458</v>
      </c>
      <c r="R27" s="6">
        <f t="shared" si="1"/>
        <v>9.3651243257666206</v>
      </c>
      <c r="S27" s="5">
        <f t="shared" si="2"/>
        <v>0</v>
      </c>
      <c r="T27" s="6">
        <f t="shared" si="6"/>
        <v>79.037622286866011</v>
      </c>
      <c r="U27" s="1">
        <f t="shared" si="6"/>
        <v>79.037622286866011</v>
      </c>
      <c r="V27" s="1">
        <f t="shared" si="6"/>
        <v>79.037622286866011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>
      <c r="B28" s="7">
        <v>625.17999999999995</v>
      </c>
      <c r="C28" s="8">
        <v>9.5058000000000001E-11</v>
      </c>
      <c r="D28" s="8">
        <v>9.5058000000000001E-11</v>
      </c>
      <c r="E28" s="8">
        <v>9.5058000000000001E-11</v>
      </c>
      <c r="F28" s="1">
        <v>2.3012999999999999E-12</v>
      </c>
      <c r="G28" s="1">
        <v>1.4027000000000001E-16</v>
      </c>
      <c r="H28" s="1">
        <v>1.5855E-11</v>
      </c>
      <c r="I28" s="1">
        <v>1.4875999999999999E-11</v>
      </c>
      <c r="J28" s="8"/>
      <c r="K28" s="1"/>
      <c r="L28" s="1"/>
      <c r="M28" s="1"/>
      <c r="N28" s="7"/>
      <c r="O28">
        <f t="shared" si="4"/>
        <v>10.419666666666666</v>
      </c>
      <c r="P28" s="6">
        <f t="shared" si="5"/>
        <v>100.57583783646562</v>
      </c>
      <c r="Q28" s="6">
        <f t="shared" si="0"/>
        <v>14.256216784492597</v>
      </c>
      <c r="R28" s="6">
        <f t="shared" si="1"/>
        <v>11.680655232929633</v>
      </c>
      <c r="S28" s="5">
        <f t="shared" si="2"/>
        <v>0</v>
      </c>
      <c r="T28" s="6">
        <f t="shared" si="6"/>
        <v>74.638965819043392</v>
      </c>
      <c r="U28" s="1">
        <f t="shared" si="6"/>
        <v>74.638965819043392</v>
      </c>
      <c r="V28" s="1">
        <f t="shared" si="6"/>
        <v>74.638965819043392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>
      <c r="B29" s="7">
        <v>887.32</v>
      </c>
      <c r="C29" s="8">
        <v>8.4575000000000003E-11</v>
      </c>
      <c r="D29" s="8">
        <v>8.4575000000000003E-11</v>
      </c>
      <c r="E29" s="8">
        <v>8.4575000000000003E-11</v>
      </c>
      <c r="F29" s="1">
        <v>2.0475999999999999E-12</v>
      </c>
      <c r="G29" s="1">
        <v>1.2209E-16</v>
      </c>
      <c r="H29" s="1">
        <v>2.1343000000000001E-11</v>
      </c>
      <c r="I29" s="1">
        <v>2.0286999999999999E-11</v>
      </c>
      <c r="J29" s="8"/>
      <c r="K29" s="1"/>
      <c r="L29" s="1"/>
      <c r="M29" s="1"/>
      <c r="N29" s="7"/>
      <c r="O29">
        <f t="shared" si="4"/>
        <v>14.788666666666668</v>
      </c>
      <c r="P29" s="6">
        <f t="shared" si="5"/>
        <v>100.70326053856363</v>
      </c>
      <c r="Q29" s="6">
        <f t="shared" si="0"/>
        <v>18.366157439530774</v>
      </c>
      <c r="R29" s="6">
        <f t="shared" si="1"/>
        <v>15.929325382842791</v>
      </c>
      <c r="S29" s="5">
        <f t="shared" si="2"/>
        <v>0</v>
      </c>
      <c r="T29" s="6">
        <f t="shared" si="6"/>
        <v>66.407777716190068</v>
      </c>
      <c r="U29" s="1">
        <f t="shared" si="6"/>
        <v>66.407777716190068</v>
      </c>
      <c r="V29" s="1">
        <f t="shared" si="6"/>
        <v>66.407777716190068</v>
      </c>
      <c r="X29" s="5"/>
      <c r="Y29" s="5"/>
      <c r="Z29" s="5"/>
      <c r="AA29" s="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>
      <c r="B30" s="7">
        <v>1149.5</v>
      </c>
      <c r="C30" s="8">
        <v>7.5175999999999997E-11</v>
      </c>
      <c r="D30" s="8">
        <v>7.5175999999999997E-11</v>
      </c>
      <c r="E30" s="8">
        <v>7.5175999999999997E-11</v>
      </c>
      <c r="F30" s="1">
        <v>1.8199999999999999E-12</v>
      </c>
      <c r="G30" s="1">
        <v>1.0684E-16</v>
      </c>
      <c r="H30" s="1">
        <v>2.6223000000000001E-11</v>
      </c>
      <c r="I30" s="1">
        <v>2.5096000000000001E-11</v>
      </c>
      <c r="J30" s="8"/>
      <c r="K30" s="1"/>
      <c r="L30" s="1"/>
      <c r="M30" s="1"/>
      <c r="N30" s="7"/>
      <c r="O30">
        <f t="shared" si="4"/>
        <v>19.158333333333335</v>
      </c>
      <c r="P30" s="6">
        <f t="shared" si="5"/>
        <v>100.75224466638957</v>
      </c>
      <c r="Q30" s="6">
        <f t="shared" si="0"/>
        <v>22.019193739226932</v>
      </c>
      <c r="R30" s="6">
        <f t="shared" si="1"/>
        <v>19.705311079780987</v>
      </c>
      <c r="S30" s="5">
        <f t="shared" si="2"/>
        <v>0</v>
      </c>
      <c r="T30" s="6">
        <f t="shared" si="6"/>
        <v>59.027739847381667</v>
      </c>
      <c r="U30" s="1">
        <f t="shared" si="6"/>
        <v>59.027739847381667</v>
      </c>
      <c r="V30" s="1">
        <f t="shared" si="6"/>
        <v>59.027739847381667</v>
      </c>
      <c r="X30" s="5"/>
      <c r="Y30" s="5"/>
      <c r="Z30" s="5"/>
      <c r="AA30" s="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>
      <c r="B31" s="7">
        <v>1581.5</v>
      </c>
      <c r="C31" s="8">
        <v>6.1822000000000004E-11</v>
      </c>
      <c r="D31" s="8">
        <v>6.1822000000000004E-11</v>
      </c>
      <c r="E31" s="8">
        <v>6.1822000000000004E-11</v>
      </c>
      <c r="F31" s="1">
        <v>1.4967000000000001E-12</v>
      </c>
      <c r="G31" s="1">
        <v>8.7924000000000001E-17</v>
      </c>
      <c r="H31" s="1">
        <v>3.3119000000000002E-11</v>
      </c>
      <c r="I31" s="1">
        <v>3.1891000000000001E-11</v>
      </c>
      <c r="J31" s="8"/>
      <c r="K31" s="1"/>
      <c r="L31" s="1"/>
      <c r="M31" s="1"/>
      <c r="N31" s="7"/>
      <c r="O31">
        <f t="shared" si="4"/>
        <v>26.358333333333334</v>
      </c>
      <c r="P31" s="6">
        <f t="shared" si="5"/>
        <v>100.76298697067796</v>
      </c>
      <c r="Q31" s="6">
        <f t="shared" si="0"/>
        <v>27.180037967370037</v>
      </c>
      <c r="R31" s="6">
        <f t="shared" si="1"/>
        <v>25.040689068690103</v>
      </c>
      <c r="S31" s="5">
        <f t="shared" si="2"/>
        <v>0</v>
      </c>
      <c r="T31" s="6">
        <f t="shared" si="6"/>
        <v>48.542259934617817</v>
      </c>
      <c r="U31" s="1">
        <f t="shared" si="6"/>
        <v>48.542259934617817</v>
      </c>
      <c r="V31" s="1">
        <f t="shared" si="6"/>
        <v>48.542259934617817</v>
      </c>
      <c r="X31" s="5"/>
      <c r="Y31" s="5"/>
      <c r="Z31" s="5"/>
      <c r="AA31" s="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>
      <c r="B32" s="7">
        <v>2013.5</v>
      </c>
      <c r="C32" s="8">
        <v>5.0800999999999997E-11</v>
      </c>
      <c r="D32" s="8">
        <v>5.0800999999999997E-11</v>
      </c>
      <c r="E32" s="8">
        <v>5.0800999999999997E-11</v>
      </c>
      <c r="F32" s="1">
        <v>1.2299E-12</v>
      </c>
      <c r="G32" s="1">
        <v>7.3396E-17</v>
      </c>
      <c r="H32" s="1">
        <v>3.8789E-11</v>
      </c>
      <c r="I32" s="1">
        <v>3.7477999999999998E-11</v>
      </c>
      <c r="J32" s="8"/>
      <c r="K32" s="1"/>
      <c r="L32" s="1"/>
      <c r="M32" s="1"/>
      <c r="N32" s="7"/>
      <c r="O32">
        <f t="shared" si="4"/>
        <v>33.55833333333333</v>
      </c>
      <c r="P32" s="6">
        <f t="shared" si="5"/>
        <v>100.7387915899407</v>
      </c>
      <c r="Q32" s="6">
        <f t="shared" si="0"/>
        <v>31.422597879354875</v>
      </c>
      <c r="R32" s="6">
        <f t="shared" si="1"/>
        <v>29.427556220072411</v>
      </c>
      <c r="S32" s="5">
        <f t="shared" si="2"/>
        <v>0</v>
      </c>
      <c r="T32" s="6">
        <f t="shared" si="6"/>
        <v>39.888637490513403</v>
      </c>
      <c r="U32" s="1">
        <f t="shared" si="6"/>
        <v>39.888637490513403</v>
      </c>
      <c r="V32" s="1">
        <f t="shared" si="6"/>
        <v>39.888637490513403</v>
      </c>
      <c r="X32" s="5"/>
      <c r="Y32" s="5"/>
      <c r="Z32" s="5"/>
      <c r="AA32" s="5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>
      <c r="B33" s="7">
        <v>2445.5</v>
      </c>
      <c r="C33" s="8">
        <v>4.1731000000000003E-11</v>
      </c>
      <c r="D33" s="8">
        <v>4.1731000000000003E-11</v>
      </c>
      <c r="E33" s="8">
        <v>4.1731000000000003E-11</v>
      </c>
      <c r="F33" s="1">
        <v>1.0103E-12</v>
      </c>
      <c r="G33" s="1">
        <v>5.9934000000000002E-17</v>
      </c>
      <c r="H33" s="1">
        <v>4.3447000000000003E-11</v>
      </c>
      <c r="I33" s="1">
        <v>4.2070000000000003E-11</v>
      </c>
      <c r="J33" s="8"/>
      <c r="K33" s="1"/>
      <c r="L33" s="1"/>
      <c r="M33" s="1"/>
      <c r="N33" s="7"/>
      <c r="O33">
        <f t="shared" si="4"/>
        <v>40.758333333333333</v>
      </c>
      <c r="P33" s="6">
        <f t="shared" si="5"/>
        <v>100.70768733952313</v>
      </c>
      <c r="Q33" s="6">
        <f t="shared" si="0"/>
        <v>34.907602675282021</v>
      </c>
      <c r="R33" s="6">
        <f t="shared" si="1"/>
        <v>33.033156235339824</v>
      </c>
      <c r="S33" s="5">
        <f t="shared" si="2"/>
        <v>0</v>
      </c>
      <c r="T33" s="6">
        <f t="shared" si="6"/>
        <v>32.766928428901302</v>
      </c>
      <c r="U33" s="1">
        <f t="shared" si="6"/>
        <v>32.766928428901302</v>
      </c>
      <c r="V33" s="1">
        <f t="shared" si="6"/>
        <v>32.766928428901302</v>
      </c>
      <c r="X33" s="5"/>
      <c r="Y33" s="5"/>
      <c r="Z33" s="5"/>
      <c r="AA33" s="5"/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>
      <c r="B34" s="7">
        <v>2877.5</v>
      </c>
      <c r="C34" s="8">
        <v>3.4276000000000001E-11</v>
      </c>
      <c r="D34" s="8">
        <v>3.4276000000000001E-11</v>
      </c>
      <c r="E34" s="8">
        <v>3.4276000000000001E-11</v>
      </c>
      <c r="F34" s="1">
        <v>8.2981999999999999E-13</v>
      </c>
      <c r="G34" s="1">
        <v>4.8664999999999998E-17</v>
      </c>
      <c r="H34" s="1">
        <v>4.7273000000000002E-11</v>
      </c>
      <c r="I34" s="1">
        <v>4.584E-11</v>
      </c>
      <c r="J34" s="8"/>
      <c r="K34" s="1"/>
      <c r="L34" s="1"/>
      <c r="M34" s="1"/>
      <c r="N34" s="7"/>
      <c r="O34">
        <f t="shared" si="4"/>
        <v>47.958333333333336</v>
      </c>
      <c r="P34" s="6">
        <f t="shared" si="5"/>
        <v>100.67667903430903</v>
      </c>
      <c r="Q34" s="6">
        <f t="shared" si="0"/>
        <v>37.770042897805517</v>
      </c>
      <c r="R34" s="6">
        <f t="shared" si="1"/>
        <v>35.993328551518239</v>
      </c>
      <c r="S34" s="5">
        <f t="shared" si="2"/>
        <v>0</v>
      </c>
      <c r="T34" s="6">
        <f t="shared" si="6"/>
        <v>26.913307584985287</v>
      </c>
      <c r="U34" s="1">
        <f t="shared" si="6"/>
        <v>26.913307584985287</v>
      </c>
      <c r="V34" s="1">
        <f t="shared" si="6"/>
        <v>26.913307584985287</v>
      </c>
      <c r="X34" s="5"/>
      <c r="Y34" s="5"/>
      <c r="Z34" s="5"/>
      <c r="AA34" s="5"/>
      <c r="AB34" s="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>
      <c r="B35" s="7">
        <v>3309.5</v>
      </c>
      <c r="C35" s="8">
        <v>2.8151E-11</v>
      </c>
      <c r="D35" s="8">
        <v>2.8151E-11</v>
      </c>
      <c r="E35" s="8">
        <v>2.8151E-11</v>
      </c>
      <c r="F35" s="1">
        <v>6.8154000000000004E-13</v>
      </c>
      <c r="G35" s="1">
        <v>4.0164000000000003E-17</v>
      </c>
      <c r="H35" s="1">
        <v>5.0415999999999997E-11</v>
      </c>
      <c r="I35" s="1">
        <v>4.8935999999999999E-11</v>
      </c>
      <c r="J35" s="8"/>
      <c r="K35" s="1"/>
      <c r="L35" s="1"/>
      <c r="M35" s="1"/>
      <c r="N35" s="7"/>
      <c r="O35">
        <f t="shared" si="4"/>
        <v>55.158333333333331</v>
      </c>
      <c r="P35" s="6">
        <f t="shared" si="5"/>
        <v>100.64975591101457</v>
      </c>
      <c r="Q35" s="6">
        <f t="shared" si="0"/>
        <v>40.121478902324917</v>
      </c>
      <c r="R35" s="6">
        <f t="shared" si="1"/>
        <v>38.424282323635367</v>
      </c>
      <c r="S35" s="5">
        <f t="shared" si="2"/>
        <v>0</v>
      </c>
      <c r="T35" s="6">
        <f t="shared" si="6"/>
        <v>22.103994685054289</v>
      </c>
      <c r="U35" s="1">
        <f t="shared" si="6"/>
        <v>22.103994685054289</v>
      </c>
      <c r="V35" s="1">
        <f t="shared" si="6"/>
        <v>22.103994685054289</v>
      </c>
      <c r="X35" s="5"/>
      <c r="Y35" s="5"/>
      <c r="Z35" s="5"/>
      <c r="AA35" s="5"/>
      <c r="AB35" s="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>
      <c r="B36" s="7">
        <v>3741.5</v>
      </c>
      <c r="C36" s="8">
        <v>2.312E-11</v>
      </c>
      <c r="D36" s="8">
        <v>2.312E-11</v>
      </c>
      <c r="E36" s="8">
        <v>2.312E-11</v>
      </c>
      <c r="F36" s="1">
        <v>5.5975000000000001E-13</v>
      </c>
      <c r="G36" s="1">
        <v>3.3286E-17</v>
      </c>
      <c r="H36" s="1">
        <v>5.2996999999999998E-11</v>
      </c>
      <c r="I36" s="1">
        <v>5.1478999999999997E-11</v>
      </c>
      <c r="J36" s="8"/>
      <c r="K36" s="1"/>
      <c r="L36" s="1"/>
      <c r="M36" s="1"/>
      <c r="N36" s="7"/>
      <c r="O36">
        <f t="shared" si="4"/>
        <v>62.358333333333334</v>
      </c>
      <c r="P36" s="6">
        <f t="shared" si="5"/>
        <v>100.6271447768361</v>
      </c>
      <c r="Q36" s="6">
        <f t="shared" si="0"/>
        <v>42.052435698510934</v>
      </c>
      <c r="R36" s="6">
        <f t="shared" si="1"/>
        <v>40.42102511972849</v>
      </c>
      <c r="S36" s="5">
        <f t="shared" si="2"/>
        <v>0</v>
      </c>
      <c r="T36" s="6">
        <f t="shared" si="6"/>
        <v>18.15368395859668</v>
      </c>
      <c r="U36" s="1">
        <f t="shared" si="6"/>
        <v>18.15368395859668</v>
      </c>
      <c r="V36" s="1">
        <f t="shared" si="6"/>
        <v>18.15368395859668</v>
      </c>
      <c r="X36" s="5"/>
      <c r="Y36" s="5"/>
      <c r="Z36" s="5"/>
      <c r="AA36" s="5"/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>
      <c r="B37" s="7">
        <v>4173.5</v>
      </c>
      <c r="C37" s="8">
        <v>1.8989000000000002E-11</v>
      </c>
      <c r="D37" s="8">
        <v>1.8989000000000002E-11</v>
      </c>
      <c r="E37" s="8">
        <v>1.8989000000000002E-11</v>
      </c>
      <c r="F37" s="1">
        <v>4.5970999999999997E-13</v>
      </c>
      <c r="G37" s="1">
        <v>2.7207E-17</v>
      </c>
      <c r="H37" s="1">
        <v>5.5117E-11</v>
      </c>
      <c r="I37" s="1">
        <v>5.3567999999999998E-11</v>
      </c>
      <c r="J37" s="8"/>
      <c r="K37" s="1"/>
      <c r="L37" s="1"/>
      <c r="M37" s="1"/>
      <c r="N37" s="7"/>
      <c r="O37">
        <f t="shared" si="4"/>
        <v>69.558333333333337</v>
      </c>
      <c r="P37" s="6">
        <f t="shared" si="5"/>
        <v>100.60983432914179</v>
      </c>
      <c r="Q37" s="6">
        <f t="shared" si="0"/>
        <v>43.638496055301893</v>
      </c>
      <c r="R37" s="6">
        <f t="shared" si="1"/>
        <v>42.061290493139545</v>
      </c>
      <c r="S37" s="5">
        <f t="shared" si="2"/>
        <v>0</v>
      </c>
      <c r="T37" s="6">
        <f t="shared" si="6"/>
        <v>14.910047780700364</v>
      </c>
      <c r="U37" s="1">
        <f t="shared" si="6"/>
        <v>14.910047780700364</v>
      </c>
      <c r="V37" s="1">
        <f t="shared" si="6"/>
        <v>14.910047780700364</v>
      </c>
      <c r="X37" s="5"/>
      <c r="Y37" s="5"/>
      <c r="Z37" s="5"/>
      <c r="AA37" s="5"/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>
      <c r="B38" s="7">
        <v>4320</v>
      </c>
      <c r="C38" s="8">
        <v>1.7755000000000001E-11</v>
      </c>
      <c r="D38" s="8">
        <v>1.7755000000000001E-11</v>
      </c>
      <c r="E38" s="8">
        <v>1.7755000000000001E-11</v>
      </c>
      <c r="F38" s="1">
        <v>4.2984000000000001E-13</v>
      </c>
      <c r="G38" s="1">
        <v>2.5398E-17</v>
      </c>
      <c r="H38" s="1">
        <v>5.5744999999999997E-11</v>
      </c>
      <c r="I38" s="1">
        <v>5.4186E-11</v>
      </c>
      <c r="J38" s="8"/>
      <c r="K38" s="1"/>
      <c r="L38" s="1"/>
      <c r="M38" s="1"/>
      <c r="N38" s="7"/>
      <c r="O38">
        <f t="shared" si="4"/>
        <v>72</v>
      </c>
      <c r="P38" s="6">
        <f t="shared" si="5"/>
        <v>100.5958014929673</v>
      </c>
      <c r="Q38" s="6">
        <f t="shared" si="0"/>
        <v>44.10814410833629</v>
      </c>
      <c r="R38" s="6">
        <f t="shared" si="1"/>
        <v>42.546538929402459</v>
      </c>
      <c r="S38" s="5">
        <f t="shared" si="2"/>
        <v>0</v>
      </c>
      <c r="T38" s="6">
        <f t="shared" si="6"/>
        <v>13.941118455228549</v>
      </c>
      <c r="U38" s="1">
        <f t="shared" si="6"/>
        <v>13.941118455228549</v>
      </c>
      <c r="V38" s="1">
        <f t="shared" si="6"/>
        <v>13.941118455228549</v>
      </c>
      <c r="X38" s="5"/>
      <c r="Y38" s="5"/>
      <c r="Z38" s="5"/>
      <c r="AA38" s="5"/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>
      <c r="B39" s="7">
        <v>3383.3</v>
      </c>
      <c r="C39" s="8">
        <v>2.7260999999999999E-12</v>
      </c>
      <c r="D39" s="8">
        <v>2.7260999999999999E-12</v>
      </c>
      <c r="E39" s="8">
        <v>2.7260999999999999E-12</v>
      </c>
      <c r="J39" s="8"/>
      <c r="K39" s="1"/>
      <c r="L39" s="1"/>
      <c r="N39" s="7"/>
      <c r="O39">
        <f t="shared" si="4"/>
        <v>56.388333333333335</v>
      </c>
      <c r="P39" s="6">
        <f t="shared" si="5"/>
        <v>2.1405172075921457</v>
      </c>
      <c r="Q39" s="6">
        <f t="shared" si="0"/>
        <v>0</v>
      </c>
      <c r="R39" s="6">
        <f t="shared" si="1"/>
        <v>0</v>
      </c>
      <c r="S39" s="5">
        <f t="shared" si="2"/>
        <v>0</v>
      </c>
      <c r="T39" s="6">
        <f t="shared" si="6"/>
        <v>2.1405172075921457</v>
      </c>
      <c r="U39" s="1">
        <f t="shared" si="6"/>
        <v>2.1405172075921457</v>
      </c>
      <c r="V39" s="1">
        <f t="shared" si="6"/>
        <v>2.1405172075921457</v>
      </c>
      <c r="X39" s="5"/>
      <c r="Y39" s="5"/>
      <c r="Z39" s="5"/>
      <c r="AA39" s="5"/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>
      <c r="B40" s="7">
        <v>3570.9</v>
      </c>
      <c r="C40" s="8">
        <v>2.2026999999999999E-12</v>
      </c>
      <c r="D40" s="8">
        <v>2.2026999999999999E-12</v>
      </c>
      <c r="E40" s="8">
        <v>2.2026999999999999E-12</v>
      </c>
      <c r="J40" s="8"/>
      <c r="K40" s="1"/>
      <c r="L40" s="1"/>
      <c r="N40" s="7"/>
      <c r="O40">
        <f t="shared" si="4"/>
        <v>59.515000000000001</v>
      </c>
      <c r="P40" s="6">
        <f t="shared" si="5"/>
        <v>1.7295466979066136</v>
      </c>
      <c r="Q40" s="6">
        <f t="shared" si="0"/>
        <v>0</v>
      </c>
      <c r="R40" s="6">
        <f t="shared" si="1"/>
        <v>0</v>
      </c>
      <c r="S40" s="5">
        <f t="shared" si="2"/>
        <v>0</v>
      </c>
      <c r="T40" s="6">
        <f t="shared" si="6"/>
        <v>1.7295466979066136</v>
      </c>
      <c r="U40" s="1">
        <f t="shared" si="6"/>
        <v>1.7295466979066136</v>
      </c>
      <c r="V40" s="1">
        <f t="shared" si="6"/>
        <v>1.7295466979066136</v>
      </c>
      <c r="X40" s="5"/>
      <c r="Y40" s="5"/>
      <c r="Z40" s="5"/>
      <c r="AA40" s="5"/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>
      <c r="B41" s="7">
        <v>3758.5</v>
      </c>
      <c r="C41" s="8">
        <v>1.7798999999999999E-12</v>
      </c>
      <c r="D41" s="8">
        <v>1.7798999999999999E-12</v>
      </c>
      <c r="E41" s="8">
        <v>1.7798999999999999E-12</v>
      </c>
      <c r="J41" s="8"/>
      <c r="K41" s="1"/>
      <c r="L41" s="1"/>
      <c r="N41" s="7"/>
      <c r="O41">
        <f t="shared" si="4"/>
        <v>62.641666666666666</v>
      </c>
      <c r="P41" s="6">
        <f t="shared" si="5"/>
        <v>1.3975666988713766</v>
      </c>
      <c r="Q41" s="6">
        <f t="shared" si="0"/>
        <v>0</v>
      </c>
      <c r="R41" s="6">
        <f t="shared" si="1"/>
        <v>0</v>
      </c>
      <c r="S41" s="5">
        <f t="shared" si="2"/>
        <v>0</v>
      </c>
      <c r="T41" s="6">
        <f t="shared" si="6"/>
        <v>1.3975666988713766</v>
      </c>
      <c r="U41" s="1">
        <f t="shared" si="6"/>
        <v>1.3975666988713766</v>
      </c>
      <c r="V41" s="1">
        <f t="shared" si="6"/>
        <v>1.3975666988713766</v>
      </c>
      <c r="X41" s="5"/>
      <c r="Y41" s="5"/>
      <c r="Z41" s="5"/>
      <c r="AA41" s="5"/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>
      <c r="B42" s="7">
        <v>3946</v>
      </c>
      <c r="C42" s="8">
        <v>1.4382000000000001E-12</v>
      </c>
      <c r="D42" s="8">
        <v>1.4382000000000001E-12</v>
      </c>
      <c r="E42" s="8">
        <v>1.4382000000000001E-12</v>
      </c>
      <c r="J42" s="8"/>
      <c r="K42" s="1"/>
      <c r="L42" s="1"/>
      <c r="N42" s="7"/>
      <c r="O42">
        <f t="shared" si="4"/>
        <v>65.766666666666666</v>
      </c>
      <c r="P42" s="6">
        <f t="shared" si="5"/>
        <v>1.1292659286009405</v>
      </c>
      <c r="Q42" s="6">
        <f t="shared" si="0"/>
        <v>0</v>
      </c>
      <c r="R42" s="6">
        <f t="shared" si="1"/>
        <v>0</v>
      </c>
      <c r="S42" s="5">
        <f t="shared" si="2"/>
        <v>0</v>
      </c>
      <c r="T42" s="6">
        <f t="shared" si="6"/>
        <v>1.1292659286009405</v>
      </c>
      <c r="U42" s="1">
        <f t="shared" si="6"/>
        <v>1.1292659286009405</v>
      </c>
      <c r="V42" s="1">
        <f t="shared" si="6"/>
        <v>1.1292659286009405</v>
      </c>
      <c r="X42" s="5"/>
      <c r="Y42" s="5"/>
      <c r="Z42" s="5"/>
      <c r="AA42" s="5"/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>
      <c r="B43" s="7">
        <v>4133.6000000000004</v>
      </c>
      <c r="C43" s="8">
        <v>1.1621000000000001E-12</v>
      </c>
      <c r="D43" s="8">
        <v>1.1621000000000001E-12</v>
      </c>
      <c r="E43" s="8">
        <v>1.1621000000000001E-12</v>
      </c>
      <c r="J43" s="8"/>
      <c r="K43" s="1"/>
      <c r="L43" s="1"/>
      <c r="N43" s="7"/>
      <c r="O43">
        <f t="shared" si="4"/>
        <v>68.893333333333345</v>
      </c>
      <c r="P43" s="6">
        <f t="shared" si="5"/>
        <v>0.91247388098119397</v>
      </c>
      <c r="Q43" s="6">
        <f t="shared" si="0"/>
        <v>0</v>
      </c>
      <c r="R43" s="6">
        <f t="shared" si="1"/>
        <v>0</v>
      </c>
      <c r="S43" s="5">
        <f t="shared" si="2"/>
        <v>0</v>
      </c>
      <c r="T43" s="6">
        <f t="shared" si="6"/>
        <v>0.91247388098119397</v>
      </c>
      <c r="U43" s="1">
        <f t="shared" si="6"/>
        <v>0.91247388098119397</v>
      </c>
      <c r="V43" s="1">
        <f t="shared" si="6"/>
        <v>0.91247388098119397</v>
      </c>
      <c r="X43" s="5"/>
      <c r="Y43" s="5"/>
      <c r="Z43" s="5"/>
      <c r="AA43" s="5"/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>
      <c r="B44" s="7">
        <v>4320</v>
      </c>
      <c r="C44" s="8">
        <v>9.4019999999999997E-13</v>
      </c>
      <c r="D44" s="8">
        <v>9.4019999999999997E-13</v>
      </c>
      <c r="E44" s="8">
        <v>9.4019999999999997E-13</v>
      </c>
      <c r="J44" s="8"/>
      <c r="K44" s="1"/>
      <c r="L44" s="1"/>
      <c r="N44" s="7"/>
      <c r="O44">
        <f t="shared" si="4"/>
        <v>72</v>
      </c>
      <c r="P44" s="6">
        <f t="shared" si="5"/>
        <v>0.73823934506369371</v>
      </c>
      <c r="Q44" s="6">
        <f t="shared" si="0"/>
        <v>0</v>
      </c>
      <c r="R44" s="6">
        <f t="shared" si="1"/>
        <v>0</v>
      </c>
      <c r="S44" s="5">
        <f t="shared" si="2"/>
        <v>0</v>
      </c>
      <c r="T44" s="6">
        <f t="shared" si="6"/>
        <v>0.73823934506369371</v>
      </c>
      <c r="U44" s="1">
        <f t="shared" si="6"/>
        <v>0.73823934506369371</v>
      </c>
      <c r="V44" s="1">
        <f t="shared" si="6"/>
        <v>0.73823934506369371</v>
      </c>
      <c r="X44" s="5"/>
      <c r="Y44" s="5"/>
      <c r="Z44" s="5"/>
      <c r="AA44" s="5"/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>
      <c r="B45" s="7">
        <v>3158.7</v>
      </c>
      <c r="C45" s="8">
        <v>1.8079E-12</v>
      </c>
      <c r="D45" s="8">
        <v>1.8079E-12</v>
      </c>
      <c r="E45" s="8">
        <v>1.8079E-12</v>
      </c>
      <c r="J45" s="8"/>
      <c r="K45" s="1"/>
      <c r="L45" s="1"/>
      <c r="N45" s="7"/>
      <c r="O45">
        <f t="shared" si="4"/>
        <v>52.644999999999996</v>
      </c>
      <c r="P45" s="6">
        <f t="shared" si="5"/>
        <v>1.4195521292710613</v>
      </c>
      <c r="Q45" s="6">
        <f t="shared" si="0"/>
        <v>0</v>
      </c>
      <c r="R45" s="6">
        <f t="shared" si="1"/>
        <v>0</v>
      </c>
      <c r="S45" s="5">
        <f t="shared" si="2"/>
        <v>0</v>
      </c>
      <c r="T45" s="6">
        <f t="shared" si="6"/>
        <v>1.4195521292710613</v>
      </c>
      <c r="U45" s="1">
        <f t="shared" si="6"/>
        <v>1.4195521292710613</v>
      </c>
      <c r="V45" s="1">
        <f t="shared" si="6"/>
        <v>1.4195521292710613</v>
      </c>
      <c r="X45" s="5"/>
      <c r="Y45" s="5"/>
      <c r="Z45" s="5"/>
      <c r="AA45" s="5"/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>
      <c r="B46" s="7">
        <v>3289.6</v>
      </c>
      <c r="C46" s="8">
        <v>1.5147E-12</v>
      </c>
      <c r="D46" s="8">
        <v>1.5147E-12</v>
      </c>
      <c r="E46" s="8">
        <v>1.5147E-12</v>
      </c>
      <c r="J46" s="8"/>
      <c r="K46" s="1"/>
      <c r="L46" s="1"/>
      <c r="N46" s="7"/>
      <c r="O46">
        <f t="shared" si="4"/>
        <v>54.826666666666668</v>
      </c>
      <c r="P46" s="6">
        <f t="shared" si="5"/>
        <v>1.1893332652286501</v>
      </c>
      <c r="Q46" s="6">
        <f t="shared" si="0"/>
        <v>0</v>
      </c>
      <c r="R46" s="6">
        <f t="shared" si="1"/>
        <v>0</v>
      </c>
      <c r="S46" s="5">
        <f t="shared" si="2"/>
        <v>0</v>
      </c>
      <c r="T46" s="6">
        <f t="shared" si="6"/>
        <v>1.1893332652286501</v>
      </c>
      <c r="U46" s="1">
        <f t="shared" si="6"/>
        <v>1.1893332652286501</v>
      </c>
      <c r="V46" s="1">
        <f t="shared" si="6"/>
        <v>1.1893332652286501</v>
      </c>
      <c r="X46" s="5"/>
      <c r="Y46" s="5"/>
      <c r="Z46" s="5"/>
      <c r="AA46" s="5"/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>
      <c r="B47" s="7">
        <v>3420.6</v>
      </c>
      <c r="C47" s="8">
        <v>1.2690999999999999E-12</v>
      </c>
      <c r="D47" s="8">
        <v>1.2690999999999999E-12</v>
      </c>
      <c r="E47" s="8">
        <v>1.2690999999999999E-12</v>
      </c>
      <c r="J47" s="8"/>
      <c r="K47" s="1"/>
      <c r="L47" s="1"/>
      <c r="N47" s="7"/>
      <c r="O47">
        <f t="shared" si="4"/>
        <v>57.01</v>
      </c>
      <c r="P47" s="6">
        <f t="shared" si="5"/>
        <v>0.99648963286570258</v>
      </c>
      <c r="Q47" s="6">
        <f t="shared" si="0"/>
        <v>0</v>
      </c>
      <c r="R47" s="6">
        <f t="shared" si="1"/>
        <v>0</v>
      </c>
      <c r="S47" s="5">
        <f t="shared" si="2"/>
        <v>0</v>
      </c>
      <c r="T47" s="6">
        <f t="shared" si="6"/>
        <v>0.99648963286570258</v>
      </c>
      <c r="U47" s="1">
        <f t="shared" si="6"/>
        <v>0.99648963286570258</v>
      </c>
      <c r="V47" s="1">
        <f t="shared" si="6"/>
        <v>0.99648963286570258</v>
      </c>
      <c r="X47" s="5"/>
      <c r="Y47" s="5"/>
      <c r="Z47" s="5"/>
      <c r="AA47" s="5"/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>
      <c r="B48" s="7">
        <v>3551.5</v>
      </c>
      <c r="C48" s="8">
        <v>1.0632999999999999E-12</v>
      </c>
      <c r="D48" s="8">
        <v>1.0632999999999999E-12</v>
      </c>
      <c r="E48" s="8">
        <v>1.0632999999999999E-12</v>
      </c>
      <c r="J48" s="8"/>
      <c r="K48" s="1"/>
      <c r="L48" s="1"/>
      <c r="N48" s="7"/>
      <c r="O48">
        <f t="shared" si="4"/>
        <v>59.19166666666667</v>
      </c>
      <c r="P48" s="6">
        <f t="shared" si="5"/>
        <v>0.83489671942802124</v>
      </c>
      <c r="Q48" s="6">
        <f t="shared" si="0"/>
        <v>0</v>
      </c>
      <c r="R48" s="6">
        <f t="shared" si="1"/>
        <v>0</v>
      </c>
      <c r="S48" s="5">
        <f t="shared" si="2"/>
        <v>0</v>
      </c>
      <c r="T48" s="6">
        <f t="shared" si="6"/>
        <v>0.83489671942802124</v>
      </c>
      <c r="U48" s="1">
        <f t="shared" si="6"/>
        <v>0.83489671942802124</v>
      </c>
      <c r="V48" s="1">
        <f t="shared" si="6"/>
        <v>0.83489671942802124</v>
      </c>
      <c r="X48" s="5"/>
      <c r="Y48" s="5"/>
      <c r="Z48" s="5"/>
      <c r="AA48" s="5"/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>
      <c r="B49" s="7">
        <v>3682.4</v>
      </c>
      <c r="C49" s="8">
        <v>8.9087000000000002E-13</v>
      </c>
      <c r="D49" s="8">
        <v>8.9087000000000002E-13</v>
      </c>
      <c r="E49" s="8">
        <v>8.9087000000000002E-13</v>
      </c>
      <c r="J49" s="8"/>
      <c r="K49" s="1"/>
      <c r="L49" s="1"/>
      <c r="N49" s="7"/>
      <c r="O49">
        <f t="shared" si="4"/>
        <v>61.373333333333335</v>
      </c>
      <c r="P49" s="6">
        <f t="shared" si="5"/>
        <v>0.69950572786310661</v>
      </c>
      <c r="Q49" s="6">
        <f t="shared" si="0"/>
        <v>0</v>
      </c>
      <c r="R49" s="6">
        <f t="shared" si="1"/>
        <v>0</v>
      </c>
      <c r="S49" s="5">
        <f t="shared" si="2"/>
        <v>0</v>
      </c>
      <c r="T49" s="6">
        <f t="shared" si="6"/>
        <v>0.69950572786310661</v>
      </c>
      <c r="U49" s="1">
        <f t="shared" si="6"/>
        <v>0.69950572786310661</v>
      </c>
      <c r="V49" s="1">
        <f t="shared" si="6"/>
        <v>0.69950572786310661</v>
      </c>
      <c r="X49" s="5"/>
      <c r="Y49" s="5"/>
      <c r="Z49" s="5"/>
      <c r="AA49" s="5"/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>
      <c r="B50" s="7">
        <v>3813.3</v>
      </c>
      <c r="C50" s="8">
        <v>7.4640000000000003E-13</v>
      </c>
      <c r="D50" s="8">
        <v>7.4640000000000003E-13</v>
      </c>
      <c r="E50" s="8">
        <v>7.4640000000000003E-13</v>
      </c>
      <c r="J50" s="8"/>
      <c r="K50" s="1"/>
      <c r="L50" s="1"/>
      <c r="N50" s="7"/>
      <c r="O50">
        <f t="shared" si="4"/>
        <v>63.555</v>
      </c>
      <c r="P50" s="6">
        <f t="shared" si="5"/>
        <v>0.58606875894016275</v>
      </c>
      <c r="Q50" s="6">
        <f t="shared" si="0"/>
        <v>0</v>
      </c>
      <c r="R50" s="6">
        <f t="shared" si="1"/>
        <v>0</v>
      </c>
      <c r="S50" s="5">
        <f t="shared" si="2"/>
        <v>0</v>
      </c>
      <c r="T50" s="6">
        <f t="shared" si="6"/>
        <v>0.58606875894016275</v>
      </c>
      <c r="U50" s="1">
        <f t="shared" si="6"/>
        <v>0.58606875894016275</v>
      </c>
      <c r="V50" s="1">
        <f t="shared" si="6"/>
        <v>0.58606875894016275</v>
      </c>
      <c r="X50" s="5"/>
      <c r="Y50" s="5"/>
      <c r="Z50" s="5"/>
      <c r="AA50" s="5"/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>
      <c r="B51" s="7">
        <v>3944.2</v>
      </c>
      <c r="C51" s="8">
        <v>6.2535999999999997E-13</v>
      </c>
      <c r="D51" s="8">
        <v>6.2535999999999997E-13</v>
      </c>
      <c r="E51" s="8">
        <v>6.2535999999999997E-13</v>
      </c>
      <c r="J51" s="8"/>
      <c r="K51" s="1"/>
      <c r="L51" s="1"/>
      <c r="N51" s="7"/>
      <c r="O51">
        <f t="shared" si="4"/>
        <v>65.736666666666665</v>
      </c>
      <c r="P51" s="6">
        <f t="shared" si="5"/>
        <v>0.4910288840980977</v>
      </c>
      <c r="Q51" s="6">
        <f t="shared" si="0"/>
        <v>0</v>
      </c>
      <c r="R51" s="6">
        <f t="shared" si="1"/>
        <v>0</v>
      </c>
      <c r="S51" s="5">
        <f t="shared" si="2"/>
        <v>0</v>
      </c>
      <c r="T51" s="6">
        <f t="shared" si="6"/>
        <v>0.4910288840980977</v>
      </c>
      <c r="U51" s="1">
        <f t="shared" si="6"/>
        <v>0.4910288840980977</v>
      </c>
      <c r="V51" s="1">
        <f t="shared" si="6"/>
        <v>0.4910288840980977</v>
      </c>
      <c r="X51" s="5"/>
      <c r="Y51" s="5"/>
      <c r="Z51" s="5"/>
      <c r="AA51" s="5"/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>
      <c r="B52" s="7">
        <v>4075.1</v>
      </c>
      <c r="C52" s="8">
        <v>5.2395E-13</v>
      </c>
      <c r="D52" s="8">
        <v>5.2395E-13</v>
      </c>
      <c r="E52" s="8">
        <v>5.2395E-13</v>
      </c>
      <c r="J52" s="8"/>
      <c r="K52" s="1"/>
      <c r="L52" s="1"/>
      <c r="N52" s="7"/>
      <c r="O52">
        <f t="shared" si="4"/>
        <v>67.918333333333337</v>
      </c>
      <c r="P52" s="6">
        <f t="shared" si="5"/>
        <v>0.41140236635409733</v>
      </c>
      <c r="Q52" s="6">
        <f t="shared" si="0"/>
        <v>0</v>
      </c>
      <c r="R52" s="6">
        <f t="shared" si="1"/>
        <v>0</v>
      </c>
      <c r="S52" s="5">
        <f t="shared" si="2"/>
        <v>0</v>
      </c>
      <c r="T52" s="6">
        <f t="shared" si="6"/>
        <v>0.41140236635409733</v>
      </c>
      <c r="U52" s="1">
        <f t="shared" si="6"/>
        <v>0.41140236635409733</v>
      </c>
      <c r="V52" s="1">
        <f t="shared" si="6"/>
        <v>0.41140236635409733</v>
      </c>
      <c r="X52" s="5"/>
      <c r="Y52" s="5"/>
      <c r="Z52" s="5"/>
      <c r="AA52" s="5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>
      <c r="B53" s="7">
        <v>4206</v>
      </c>
      <c r="C53" s="8">
        <v>4.3898000000000001E-13</v>
      </c>
      <c r="D53" s="8">
        <v>4.3898000000000001E-13</v>
      </c>
      <c r="E53" s="8">
        <v>4.3898000000000001E-13</v>
      </c>
      <c r="J53" s="8"/>
      <c r="K53" s="1"/>
      <c r="L53" s="1"/>
      <c r="N53" s="7"/>
      <c r="O53">
        <f t="shared" si="4"/>
        <v>70.099999999999994</v>
      </c>
      <c r="P53" s="6">
        <f t="shared" si="5"/>
        <v>0.34468443703048318</v>
      </c>
      <c r="Q53" s="6">
        <f t="shared" si="0"/>
        <v>0</v>
      </c>
      <c r="R53" s="6">
        <f t="shared" si="1"/>
        <v>0</v>
      </c>
      <c r="S53" s="5">
        <f t="shared" si="2"/>
        <v>0</v>
      </c>
      <c r="T53" s="6">
        <f t="shared" si="6"/>
        <v>0.34468443703048318</v>
      </c>
      <c r="U53" s="1">
        <f t="shared" si="6"/>
        <v>0.34468443703048318</v>
      </c>
      <c r="V53" s="1">
        <f t="shared" si="6"/>
        <v>0.34468443703048318</v>
      </c>
      <c r="X53" s="5"/>
      <c r="Y53" s="5"/>
      <c r="Z53" s="5"/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>
      <c r="B54" s="7">
        <v>4320</v>
      </c>
      <c r="C54" s="8">
        <v>3.7621999999999999E-13</v>
      </c>
      <c r="D54" s="8">
        <v>3.7621999999999999E-13</v>
      </c>
      <c r="E54" s="8">
        <v>3.7621999999999999E-13</v>
      </c>
      <c r="J54" s="8"/>
      <c r="K54" s="1"/>
      <c r="L54" s="1"/>
      <c r="N54" s="7"/>
      <c r="O54">
        <f t="shared" si="4"/>
        <v>72</v>
      </c>
      <c r="P54" s="6">
        <f t="shared" si="5"/>
        <v>0.29540566517747591</v>
      </c>
      <c r="Q54" s="6">
        <f t="shared" si="0"/>
        <v>0</v>
      </c>
      <c r="R54" s="6">
        <f t="shared" si="1"/>
        <v>0</v>
      </c>
      <c r="S54" s="5">
        <f t="shared" si="2"/>
        <v>0</v>
      </c>
      <c r="T54" s="6">
        <f t="shared" si="6"/>
        <v>0.29540566517747591</v>
      </c>
      <c r="U54" s="1">
        <f t="shared" si="6"/>
        <v>0.29540566517747591</v>
      </c>
      <c r="V54" s="1">
        <f t="shared" si="6"/>
        <v>0.29540566517747591</v>
      </c>
      <c r="X54" s="5"/>
      <c r="Y54" s="5"/>
      <c r="Z54" s="5"/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>
      <c r="B55" s="7">
        <v>175</v>
      </c>
      <c r="C55" s="8">
        <v>1.142E-10</v>
      </c>
      <c r="D55" s="8">
        <v>1.142E-10</v>
      </c>
      <c r="E55" s="8">
        <v>1.142E-10</v>
      </c>
      <c r="J55" s="8"/>
      <c r="K55" s="1"/>
      <c r="L55" s="1"/>
      <c r="N55" s="7"/>
      <c r="P55" s="6"/>
      <c r="Q55" s="6"/>
      <c r="R55" s="6"/>
      <c r="S55" s="5"/>
      <c r="T55" s="6"/>
      <c r="U55" s="1"/>
      <c r="V55" s="1"/>
      <c r="X55" s="5"/>
      <c r="Y55" s="5"/>
      <c r="Z55" s="5"/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>
      <c r="B56" s="7">
        <v>180</v>
      </c>
      <c r="C56" s="8">
        <v>1.139E-10</v>
      </c>
      <c r="D56" s="8">
        <v>1.139E-10</v>
      </c>
      <c r="E56" s="8">
        <v>1.139E-10</v>
      </c>
      <c r="J56" s="8"/>
      <c r="K56" s="1"/>
      <c r="L56" s="1"/>
      <c r="N56" s="7"/>
      <c r="P56" s="6"/>
      <c r="Q56" s="6"/>
      <c r="R56" s="6"/>
      <c r="S56" s="5"/>
      <c r="T56" s="6"/>
      <c r="U56" s="1"/>
      <c r="V56" s="1"/>
      <c r="X56" s="5"/>
      <c r="Y56" s="5"/>
      <c r="Z56" s="5"/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>
      <c r="B57" s="7">
        <v>185</v>
      </c>
      <c r="C57" s="8">
        <v>1.136E-10</v>
      </c>
      <c r="D57" s="8">
        <v>1.136E-10</v>
      </c>
      <c r="E57" s="8">
        <v>1.136E-10</v>
      </c>
      <c r="J57" s="8"/>
      <c r="K57" s="1"/>
      <c r="L57" s="1"/>
      <c r="N57" s="7"/>
      <c r="P57" s="6"/>
      <c r="Q57" s="6"/>
      <c r="R57" s="6"/>
      <c r="S57" s="5"/>
      <c r="T57" s="6"/>
      <c r="U57" s="1"/>
      <c r="V57" s="1"/>
      <c r="X57" s="5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>
      <c r="B58" s="7">
        <v>190</v>
      </c>
      <c r="C58" s="8">
        <v>1.133E-10</v>
      </c>
      <c r="D58" s="8">
        <v>1.133E-10</v>
      </c>
      <c r="E58" s="8">
        <v>1.133E-10</v>
      </c>
      <c r="J58" s="8"/>
      <c r="K58" s="1"/>
      <c r="L58" s="1"/>
      <c r="N58" s="7"/>
      <c r="P58" s="6"/>
      <c r="Q58" s="6"/>
      <c r="R58" s="6"/>
      <c r="S58" s="5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>
      <c r="B59" s="7">
        <v>195</v>
      </c>
      <c r="C59" s="8">
        <v>1.13E-10</v>
      </c>
      <c r="D59" s="8">
        <v>1.13E-10</v>
      </c>
      <c r="E59" s="8">
        <v>1.13E-10</v>
      </c>
      <c r="J59" s="8"/>
      <c r="K59" s="1"/>
      <c r="L59" s="1"/>
      <c r="N59" s="7"/>
      <c r="P59" s="6"/>
      <c r="Q59" s="6"/>
      <c r="R59" s="6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>
      <c r="B60" s="7">
        <v>200</v>
      </c>
      <c r="C60" s="8">
        <v>1.127E-10</v>
      </c>
      <c r="D60" s="8">
        <v>1.127E-10</v>
      </c>
      <c r="E60" s="8">
        <v>1.127E-10</v>
      </c>
      <c r="J60" s="8"/>
      <c r="K60" s="1"/>
      <c r="L60" s="1"/>
      <c r="N60" s="7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>
      <c r="B61" s="7">
        <v>205</v>
      </c>
      <c r="C61" s="8">
        <v>1.1241E-10</v>
      </c>
      <c r="D61" s="8">
        <v>1.1241E-10</v>
      </c>
      <c r="E61" s="8">
        <v>1.1241E-10</v>
      </c>
      <c r="J61" s="8"/>
      <c r="K61" s="1"/>
      <c r="L61" s="1"/>
      <c r="N61" s="7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>
      <c r="B62" s="7">
        <v>210</v>
      </c>
      <c r="C62" s="8">
        <v>1.1211E-10</v>
      </c>
      <c r="D62" s="8">
        <v>1.1211E-10</v>
      </c>
      <c r="E62" s="8">
        <v>1.1211E-10</v>
      </c>
      <c r="J62" s="8"/>
      <c r="K62" s="1"/>
      <c r="L62" s="1"/>
      <c r="N62" s="7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>
      <c r="B63" s="7">
        <v>215</v>
      </c>
      <c r="C63" s="8">
        <v>1.1181E-10</v>
      </c>
      <c r="D63" s="8">
        <v>1.1181E-10</v>
      </c>
      <c r="E63" s="8">
        <v>1.1181E-10</v>
      </c>
      <c r="J63" s="8"/>
      <c r="K63" s="1"/>
      <c r="L63" s="1"/>
      <c r="N63" s="7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>
      <c r="B64" s="7">
        <v>220</v>
      </c>
      <c r="C64" s="8">
        <v>1.1152000000000001E-10</v>
      </c>
      <c r="D64" s="8">
        <v>1.1152000000000001E-10</v>
      </c>
      <c r="E64" s="8">
        <v>1.1152000000000001E-10</v>
      </c>
      <c r="J64" s="8"/>
      <c r="K64" s="1"/>
      <c r="L64" s="1"/>
      <c r="N64" s="7"/>
      <c r="P64" s="6"/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2:65">
      <c r="B65" s="7">
        <v>225</v>
      </c>
      <c r="C65" s="8">
        <v>1.1122E-10</v>
      </c>
      <c r="D65" s="8">
        <v>1.1122E-10</v>
      </c>
      <c r="E65" s="8">
        <v>1.1122E-10</v>
      </c>
      <c r="J65" s="8"/>
      <c r="K65" s="1"/>
      <c r="L65" s="1"/>
      <c r="N65" s="7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2:65">
      <c r="B66" s="7">
        <v>230</v>
      </c>
      <c r="C66" s="8">
        <v>1.1093E-10</v>
      </c>
      <c r="D66" s="8">
        <v>1.1093E-10</v>
      </c>
      <c r="E66" s="8">
        <v>1.1093E-10</v>
      </c>
      <c r="J66" s="8"/>
      <c r="K66" s="1"/>
      <c r="L66" s="1"/>
      <c r="N66" s="7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2:65">
      <c r="B67" s="7">
        <v>235</v>
      </c>
      <c r="C67" s="8">
        <v>1.1063E-10</v>
      </c>
      <c r="D67" s="8">
        <v>1.1063E-10</v>
      </c>
      <c r="E67" s="8">
        <v>1.1063E-10</v>
      </c>
      <c r="J67" s="8"/>
      <c r="K67" s="1"/>
      <c r="L67" s="1"/>
      <c r="N67" s="7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2:65">
      <c r="B68" s="7">
        <v>240</v>
      </c>
      <c r="C68" s="8">
        <v>1.1034E-10</v>
      </c>
      <c r="D68" s="8">
        <v>1.1034E-10</v>
      </c>
      <c r="E68" s="8">
        <v>1.1034E-10</v>
      </c>
      <c r="J68" s="8"/>
      <c r="K68" s="1"/>
      <c r="L68" s="1"/>
      <c r="N68" s="7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2:65">
      <c r="B69" s="7">
        <v>245</v>
      </c>
      <c r="C69" s="8">
        <v>1.1005E-10</v>
      </c>
      <c r="D69" s="8">
        <v>1.1005E-10</v>
      </c>
      <c r="E69" s="8">
        <v>1.1005E-10</v>
      </c>
      <c r="J69" s="8"/>
      <c r="K69" s="1"/>
      <c r="L69" s="1"/>
      <c r="N69" s="7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2:65">
      <c r="B70" s="7">
        <v>250</v>
      </c>
      <c r="C70" s="8">
        <v>1.0976E-10</v>
      </c>
      <c r="D70" s="8">
        <v>1.0976E-10</v>
      </c>
      <c r="E70" s="8">
        <v>1.0976E-10</v>
      </c>
      <c r="J70" s="8"/>
      <c r="K70" s="1"/>
      <c r="L70" s="1"/>
      <c r="N70" s="7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2:65">
      <c r="B71" s="7">
        <v>255</v>
      </c>
      <c r="C71" s="8">
        <v>1.0947E-10</v>
      </c>
      <c r="D71" s="8">
        <v>1.0947E-10</v>
      </c>
      <c r="E71" s="8">
        <v>1.0947E-10</v>
      </c>
      <c r="J71" s="8"/>
      <c r="K71" s="1"/>
      <c r="L71" s="1"/>
      <c r="N71" s="7"/>
      <c r="P71" s="6"/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2:65">
      <c r="B72" s="7">
        <v>260</v>
      </c>
      <c r="C72" s="8">
        <v>1.0918E-10</v>
      </c>
      <c r="D72" s="8">
        <v>1.0918E-10</v>
      </c>
      <c r="E72" s="8">
        <v>1.0918E-10</v>
      </c>
      <c r="J72" s="8"/>
      <c r="K72" s="1"/>
      <c r="L72" s="1"/>
      <c r="N72" s="7"/>
      <c r="P72" s="6"/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2:65">
      <c r="B73" s="7">
        <v>265</v>
      </c>
      <c r="C73" s="8">
        <v>1.0889E-10</v>
      </c>
      <c r="D73" s="8">
        <v>1.0889E-10</v>
      </c>
      <c r="E73" s="8">
        <v>1.0889E-10</v>
      </c>
      <c r="J73" s="8"/>
      <c r="K73" s="1"/>
      <c r="L73" s="1"/>
      <c r="N73" s="7"/>
      <c r="P73" s="6"/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2:65">
      <c r="B74" s="7">
        <v>270</v>
      </c>
      <c r="C74" s="8">
        <v>1.086E-10</v>
      </c>
      <c r="D74" s="8">
        <v>1.086E-10</v>
      </c>
      <c r="E74" s="8">
        <v>1.086E-10</v>
      </c>
      <c r="J74" s="8"/>
      <c r="K74" s="1"/>
      <c r="L74" s="1"/>
      <c r="N74" s="7"/>
      <c r="P74" s="6"/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2:65">
      <c r="B75" s="7">
        <v>275</v>
      </c>
      <c r="C75" s="8">
        <v>1.0831E-10</v>
      </c>
      <c r="D75" s="8">
        <v>1.0831E-10</v>
      </c>
      <c r="E75" s="8">
        <v>1.0831E-10</v>
      </c>
      <c r="J75" s="8"/>
      <c r="K75" s="1"/>
      <c r="L75" s="1"/>
      <c r="N75" s="7"/>
      <c r="P75" s="6"/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2:65">
      <c r="B76" s="7">
        <v>280</v>
      </c>
      <c r="C76" s="8">
        <v>1.0802000000000001E-10</v>
      </c>
      <c r="D76" s="8">
        <v>1.0802000000000001E-10</v>
      </c>
      <c r="E76" s="8">
        <v>1.0802000000000001E-10</v>
      </c>
      <c r="J76" s="8"/>
      <c r="K76" s="1"/>
      <c r="L76" s="1"/>
      <c r="N76" s="7"/>
      <c r="P76" s="6"/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2:65">
      <c r="B77" s="7">
        <v>285</v>
      </c>
      <c r="C77" s="8">
        <v>1.0773E-10</v>
      </c>
      <c r="D77" s="8">
        <v>1.0773E-10</v>
      </c>
      <c r="E77" s="8">
        <v>1.0773E-10</v>
      </c>
      <c r="J77" s="8"/>
      <c r="K77" s="1"/>
      <c r="L77" s="1"/>
      <c r="N77" s="7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2:65">
      <c r="B78" s="7">
        <v>290</v>
      </c>
      <c r="C78" s="8">
        <v>1.0745E-10</v>
      </c>
      <c r="D78" s="8">
        <v>1.0745E-10</v>
      </c>
      <c r="E78" s="8">
        <v>1.0745E-10</v>
      </c>
      <c r="J78" s="8"/>
      <c r="K78" s="1"/>
      <c r="L78" s="1"/>
      <c r="N78" s="7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2:65">
      <c r="B79" s="7">
        <v>295</v>
      </c>
      <c r="C79" s="8">
        <v>1.0715999999999999E-10</v>
      </c>
      <c r="D79" s="8">
        <v>1.0715999999999999E-10</v>
      </c>
      <c r="E79" s="8">
        <v>1.0715999999999999E-10</v>
      </c>
      <c r="J79" s="8"/>
      <c r="K79" s="1"/>
      <c r="L79" s="1"/>
      <c r="N79" s="7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2:65">
      <c r="B80" s="7">
        <v>300</v>
      </c>
      <c r="C80" s="8">
        <v>1.0688E-10</v>
      </c>
      <c r="D80" s="8">
        <v>1.0688E-10</v>
      </c>
      <c r="E80" s="8">
        <v>1.0688E-10</v>
      </c>
      <c r="J80" s="8"/>
      <c r="K80" s="1"/>
      <c r="L80" s="1"/>
      <c r="N80" s="7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2:65">
      <c r="B81" s="7">
        <v>310</v>
      </c>
      <c r="C81" s="8">
        <v>1.0631000000000001E-10</v>
      </c>
      <c r="D81" s="8">
        <v>1.0631000000000001E-10</v>
      </c>
      <c r="E81" s="8">
        <v>1.0631000000000001E-10</v>
      </c>
      <c r="J81" s="8"/>
      <c r="K81" s="1"/>
      <c r="L81" s="1"/>
      <c r="N81" s="7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2:65">
      <c r="B82" s="7">
        <v>320</v>
      </c>
      <c r="C82" s="8">
        <v>1.0575E-10</v>
      </c>
      <c r="D82" s="8">
        <v>1.0575E-10</v>
      </c>
      <c r="E82" s="8">
        <v>1.0575E-10</v>
      </c>
      <c r="J82" s="8"/>
      <c r="K82" s="1"/>
      <c r="L82" s="1"/>
      <c r="N82" s="7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2:65">
      <c r="B83" s="7">
        <v>330</v>
      </c>
      <c r="C83" s="8">
        <v>1.0518000000000001E-10</v>
      </c>
      <c r="D83" s="8">
        <v>1.0518000000000001E-10</v>
      </c>
      <c r="E83" s="8">
        <v>1.0518000000000001E-10</v>
      </c>
      <c r="J83" s="8"/>
      <c r="K83" s="1"/>
      <c r="L83" s="1"/>
      <c r="N83" s="7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2:65">
      <c r="B84" s="7">
        <v>340</v>
      </c>
      <c r="C84" s="8">
        <v>1.0463E-10</v>
      </c>
      <c r="D84" s="8">
        <v>1.0463E-10</v>
      </c>
      <c r="E84" s="8">
        <v>1.0463E-10</v>
      </c>
      <c r="J84" s="8"/>
      <c r="K84" s="1"/>
      <c r="L84" s="1"/>
      <c r="N84" s="7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2:65">
      <c r="B85" s="7">
        <v>350</v>
      </c>
      <c r="C85" s="8">
        <v>1.0407E-10</v>
      </c>
      <c r="D85" s="8">
        <v>1.0407E-10</v>
      </c>
      <c r="E85" s="8">
        <v>1.0407E-10</v>
      </c>
      <c r="J85" s="8"/>
      <c r="K85" s="1"/>
      <c r="L85" s="1"/>
      <c r="N85" s="7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2:65">
      <c r="B86" s="7">
        <v>360</v>
      </c>
      <c r="C86" s="8">
        <v>1.0352E-10</v>
      </c>
      <c r="D86" s="8">
        <v>1.0352E-10</v>
      </c>
      <c r="E86" s="8">
        <v>1.0352E-10</v>
      </c>
      <c r="J86" s="8"/>
      <c r="K86" s="1"/>
      <c r="L86" s="1"/>
      <c r="N86" s="7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2:65">
      <c r="B87" s="7">
        <v>370</v>
      </c>
      <c r="C87" s="8">
        <v>1.0296999999999999E-10</v>
      </c>
      <c r="D87" s="8">
        <v>1.0296999999999999E-10</v>
      </c>
      <c r="E87" s="8">
        <v>1.0296999999999999E-10</v>
      </c>
      <c r="J87" s="8"/>
      <c r="K87" s="1"/>
      <c r="L87" s="1"/>
      <c r="N87" s="7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2:65">
      <c r="B88" s="7">
        <v>380</v>
      </c>
      <c r="C88" s="8">
        <v>1.0241999999999999E-10</v>
      </c>
      <c r="D88" s="8">
        <v>1.0241999999999999E-10</v>
      </c>
      <c r="E88" s="8">
        <v>1.0241999999999999E-10</v>
      </c>
      <c r="J88" s="8"/>
      <c r="K88" s="1"/>
      <c r="L88" s="1"/>
      <c r="N88" s="7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2:65">
      <c r="B89" s="7">
        <v>390</v>
      </c>
      <c r="C89" s="8">
        <v>1.0188E-10</v>
      </c>
      <c r="D89" s="8">
        <v>1.0188E-10</v>
      </c>
      <c r="E89" s="8">
        <v>1.0188E-10</v>
      </c>
      <c r="J89" s="8"/>
      <c r="K89" s="1"/>
      <c r="L89" s="1"/>
      <c r="N89" s="7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2:65">
      <c r="B90" s="7">
        <v>400</v>
      </c>
      <c r="C90" s="8">
        <v>1.0133E-10</v>
      </c>
      <c r="D90" s="8">
        <v>1.0133E-10</v>
      </c>
      <c r="E90" s="8">
        <v>1.0133E-10</v>
      </c>
      <c r="J90" s="8"/>
      <c r="K90" s="1"/>
      <c r="L90" s="1"/>
      <c r="N90" s="7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2:65">
      <c r="B91" s="7">
        <v>410</v>
      </c>
      <c r="C91" s="8">
        <v>1.008E-10</v>
      </c>
      <c r="D91" s="8">
        <v>1.008E-10</v>
      </c>
      <c r="E91" s="8">
        <v>1.008E-10</v>
      </c>
      <c r="J91" s="8"/>
      <c r="K91" s="1"/>
      <c r="L91" s="1"/>
      <c r="N91" s="7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2:65">
      <c r="B92" s="7">
        <v>420</v>
      </c>
      <c r="C92" s="8">
        <v>1.0026E-10</v>
      </c>
      <c r="D92" s="8">
        <v>1.0026E-10</v>
      </c>
      <c r="E92" s="8">
        <v>1.0026E-10</v>
      </c>
      <c r="J92" s="8"/>
      <c r="K92" s="1"/>
      <c r="L92" s="1"/>
      <c r="N92" s="7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2:65">
      <c r="B93" s="7">
        <v>430</v>
      </c>
      <c r="C93" s="8">
        <v>9.9727999999999997E-11</v>
      </c>
      <c r="D93" s="8">
        <v>9.9727999999999997E-11</v>
      </c>
      <c r="E93" s="8">
        <v>9.9727999999999997E-11</v>
      </c>
      <c r="J93" s="8"/>
      <c r="K93" s="1"/>
      <c r="L93" s="1"/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2:65">
      <c r="B94" s="7">
        <v>440</v>
      </c>
      <c r="C94" s="8">
        <v>9.9198E-11</v>
      </c>
      <c r="D94" s="8">
        <v>9.9198E-11</v>
      </c>
      <c r="E94" s="8">
        <v>9.9198E-11</v>
      </c>
      <c r="J94" s="8"/>
      <c r="K94" s="1"/>
      <c r="L94" s="1"/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2:65">
      <c r="B95" s="7">
        <v>450</v>
      </c>
      <c r="C95" s="8">
        <v>9.8671000000000002E-11</v>
      </c>
      <c r="D95" s="8">
        <v>9.8671000000000002E-11</v>
      </c>
      <c r="E95" s="8">
        <v>9.8671000000000002E-11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2:65">
      <c r="B96" s="7">
        <v>460</v>
      </c>
      <c r="C96" s="8">
        <v>9.8147000000000005E-11</v>
      </c>
      <c r="D96" s="8">
        <v>9.8147000000000005E-11</v>
      </c>
      <c r="E96" s="8">
        <v>9.8147000000000005E-11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>
      <c r="B97" s="7">
        <v>470</v>
      </c>
      <c r="C97" s="8">
        <v>9.7625999999999995E-11</v>
      </c>
      <c r="D97" s="8">
        <v>9.7625999999999995E-11</v>
      </c>
      <c r="E97" s="8">
        <v>9.7625999999999995E-11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>
      <c r="B98" s="7">
        <v>480</v>
      </c>
      <c r="C98" s="8">
        <v>9.7107000000000001E-11</v>
      </c>
      <c r="D98" s="8">
        <v>9.7107000000000001E-11</v>
      </c>
      <c r="E98" s="8">
        <v>9.7107000000000001E-11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>
      <c r="B99" s="7">
        <v>490</v>
      </c>
      <c r="C99" s="8">
        <v>9.6590999999999995E-11</v>
      </c>
      <c r="D99" s="8">
        <v>9.6590999999999995E-11</v>
      </c>
      <c r="E99" s="8">
        <v>9.6590999999999995E-11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>
      <c r="B100" s="7">
        <v>500</v>
      </c>
      <c r="C100" s="8">
        <v>9.6078000000000002E-11</v>
      </c>
      <c r="D100" s="8">
        <v>9.6078000000000002E-11</v>
      </c>
      <c r="E100" s="8">
        <v>9.6078000000000002E-11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>
      <c r="B101" s="7">
        <v>510</v>
      </c>
      <c r="C101" s="8">
        <v>9.5567999999999995E-11</v>
      </c>
      <c r="D101" s="8">
        <v>9.5567999999999995E-11</v>
      </c>
      <c r="E101" s="8">
        <v>9.5567999999999995E-11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>
      <c r="B102" s="7">
        <v>520</v>
      </c>
      <c r="C102" s="8">
        <v>9.5060000000000006E-11</v>
      </c>
      <c r="D102" s="8">
        <v>9.5060000000000006E-11</v>
      </c>
      <c r="E102" s="8">
        <v>9.5060000000000006E-11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>
      <c r="B103" s="7">
        <v>530</v>
      </c>
      <c r="C103" s="8">
        <v>9.4555999999999999E-11</v>
      </c>
      <c r="D103" s="8">
        <v>9.4555999999999999E-11</v>
      </c>
      <c r="E103" s="8">
        <v>9.4555999999999999E-11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>
      <c r="B104" s="7">
        <v>540</v>
      </c>
      <c r="C104" s="8">
        <v>9.4053000000000001E-11</v>
      </c>
      <c r="D104" s="8">
        <v>9.4053000000000001E-11</v>
      </c>
      <c r="E104" s="8">
        <v>9.4053000000000001E-11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>
      <c r="B105" s="7">
        <v>550</v>
      </c>
      <c r="C105" s="8">
        <v>9.3553999999999998E-11</v>
      </c>
      <c r="D105" s="8">
        <v>9.3553999999999998E-11</v>
      </c>
      <c r="E105" s="8">
        <v>9.3553999999999998E-11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>
      <c r="B106" s="7">
        <v>560</v>
      </c>
      <c r="C106" s="8">
        <v>9.3057E-11</v>
      </c>
      <c r="D106" s="8">
        <v>9.3057E-11</v>
      </c>
      <c r="E106" s="8">
        <v>9.3057E-11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>
      <c r="B107" s="7">
        <v>570</v>
      </c>
      <c r="C107" s="8">
        <v>9.2563000000000001E-11</v>
      </c>
      <c r="D107" s="8">
        <v>9.2563000000000001E-11</v>
      </c>
      <c r="E107" s="8">
        <v>9.2563000000000001E-11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>
      <c r="B108" s="7">
        <v>580</v>
      </c>
      <c r="C108" s="8">
        <v>9.2072000000000003E-11</v>
      </c>
      <c r="D108" s="8">
        <v>9.2072000000000003E-11</v>
      </c>
      <c r="E108" s="8">
        <v>9.2072000000000003E-11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>
      <c r="B109" s="7">
        <v>590</v>
      </c>
      <c r="C109" s="8">
        <v>9.1582999999999995E-11</v>
      </c>
      <c r="D109" s="8">
        <v>9.1582999999999995E-11</v>
      </c>
      <c r="E109" s="8">
        <v>9.1582999999999995E-11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>
      <c r="B110" s="7">
        <v>600</v>
      </c>
      <c r="C110" s="8">
        <v>9.1097000000000001E-11</v>
      </c>
      <c r="D110" s="8">
        <v>9.1097000000000001E-11</v>
      </c>
      <c r="E110" s="8">
        <v>9.1097000000000001E-11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>
      <c r="B111" s="7">
        <v>610</v>
      </c>
      <c r="C111" s="8">
        <v>9.0612999999999998E-11</v>
      </c>
      <c r="D111" s="8">
        <v>9.0612999999999998E-11</v>
      </c>
      <c r="E111" s="8">
        <v>9.0612999999999998E-11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>
      <c r="B112" s="7">
        <v>620</v>
      </c>
      <c r="C112" s="8">
        <v>9.0131999999999994E-11</v>
      </c>
      <c r="D112" s="8">
        <v>9.0131999999999994E-11</v>
      </c>
      <c r="E112" s="8">
        <v>9.0131999999999994E-11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>
      <c r="B113" s="7">
        <v>630</v>
      </c>
      <c r="C113" s="8">
        <v>8.9654000000000004E-11</v>
      </c>
      <c r="D113" s="8">
        <v>8.9654000000000004E-11</v>
      </c>
      <c r="E113" s="8">
        <v>8.9654000000000004E-11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>
      <c r="B114" s="7">
        <v>640</v>
      </c>
      <c r="C114" s="8">
        <v>8.9178000000000005E-11</v>
      </c>
      <c r="D114" s="8">
        <v>8.9178000000000005E-11</v>
      </c>
      <c r="E114" s="8">
        <v>8.9178000000000005E-11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>
      <c r="B115" s="7">
        <v>650</v>
      </c>
      <c r="C115" s="8">
        <v>8.8705000000000005E-11</v>
      </c>
      <c r="D115" s="8">
        <v>8.8705000000000005E-11</v>
      </c>
      <c r="E115" s="8">
        <v>8.8705000000000005E-11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>
      <c r="B116" s="7">
        <v>660</v>
      </c>
      <c r="C116" s="8">
        <v>8.8233999999999997E-11</v>
      </c>
      <c r="D116" s="8">
        <v>8.8233999999999997E-11</v>
      </c>
      <c r="E116" s="8">
        <v>8.8233999999999997E-11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>
      <c r="B117" s="7">
        <v>670</v>
      </c>
      <c r="C117" s="8">
        <v>8.7766000000000002E-11</v>
      </c>
      <c r="D117" s="8">
        <v>8.7766000000000002E-11</v>
      </c>
      <c r="E117" s="8">
        <v>8.7766000000000002E-11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>
      <c r="B118" s="7">
        <v>680</v>
      </c>
      <c r="C118" s="8">
        <v>8.7299999999999998E-11</v>
      </c>
      <c r="D118" s="8">
        <v>8.7299999999999998E-11</v>
      </c>
      <c r="E118" s="8">
        <v>8.7299999999999998E-11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>
      <c r="B119" s="7">
        <v>690</v>
      </c>
      <c r="C119" s="8">
        <v>8.6836999999999994E-11</v>
      </c>
      <c r="D119" s="8">
        <v>8.6836999999999994E-11</v>
      </c>
      <c r="E119" s="8">
        <v>8.6836999999999994E-11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>
      <c r="B120" s="7">
        <v>700</v>
      </c>
      <c r="C120" s="8">
        <v>8.6375999999999995E-11</v>
      </c>
      <c r="D120" s="8">
        <v>8.6375999999999995E-11</v>
      </c>
      <c r="E120" s="8">
        <v>8.6375999999999995E-11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>
      <c r="B121" s="7">
        <v>720</v>
      </c>
      <c r="C121" s="8">
        <v>8.5461000000000003E-11</v>
      </c>
      <c r="D121" s="8">
        <v>8.5461000000000003E-11</v>
      </c>
      <c r="E121" s="8">
        <v>8.5461000000000003E-11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>
      <c r="B122" s="7">
        <v>740</v>
      </c>
      <c r="C122" s="8">
        <v>8.4561999999999995E-11</v>
      </c>
      <c r="D122" s="8">
        <v>8.4561999999999995E-11</v>
      </c>
      <c r="E122" s="8">
        <v>8.4561999999999995E-11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>
      <c r="B123" s="7">
        <v>760</v>
      </c>
      <c r="C123" s="8">
        <v>8.3671000000000002E-11</v>
      </c>
      <c r="D123" s="8">
        <v>8.3671000000000002E-11</v>
      </c>
      <c r="E123" s="8">
        <v>8.3671000000000002E-11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>
      <c r="B124" s="7">
        <v>780</v>
      </c>
      <c r="C124" s="8">
        <v>8.2791000000000001E-11</v>
      </c>
      <c r="D124" s="8">
        <v>8.2791000000000001E-11</v>
      </c>
      <c r="E124" s="8">
        <v>8.2791000000000001E-11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>
      <c r="B125" s="7">
        <v>800</v>
      </c>
      <c r="C125" s="8">
        <v>8.1916000000000004E-11</v>
      </c>
      <c r="D125" s="8">
        <v>8.1916000000000004E-11</v>
      </c>
      <c r="E125" s="8">
        <v>8.1916000000000004E-11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>
      <c r="B126" s="7">
        <v>820</v>
      </c>
      <c r="C126" s="8">
        <v>8.1049999999999994E-11</v>
      </c>
      <c r="D126" s="8">
        <v>8.1049999999999994E-11</v>
      </c>
      <c r="E126" s="8">
        <v>8.1049999999999994E-11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>
      <c r="B127" s="7">
        <v>840</v>
      </c>
      <c r="C127" s="8">
        <v>8.0192000000000001E-11</v>
      </c>
      <c r="D127" s="8">
        <v>8.0192000000000001E-11</v>
      </c>
      <c r="E127" s="8">
        <v>8.0192000000000001E-11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>
      <c r="B128" s="7">
        <v>860</v>
      </c>
      <c r="C128" s="8">
        <v>7.9344000000000003E-11</v>
      </c>
      <c r="D128" s="8">
        <v>7.9344000000000003E-11</v>
      </c>
      <c r="E128" s="8">
        <v>7.9344000000000003E-11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>
      <c r="B129" s="7">
        <v>880</v>
      </c>
      <c r="C129" s="8">
        <v>7.8503999999999996E-11</v>
      </c>
      <c r="D129" s="8">
        <v>7.8503999999999996E-11</v>
      </c>
      <c r="E129" s="8">
        <v>7.8503999999999996E-11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>
      <c r="B130" s="7">
        <v>900</v>
      </c>
      <c r="C130" s="8">
        <v>7.7673999999999997E-11</v>
      </c>
      <c r="D130" s="8">
        <v>7.7673999999999997E-11</v>
      </c>
      <c r="E130" s="8">
        <v>7.7673999999999997E-11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>
      <c r="B131" s="7">
        <v>920</v>
      </c>
      <c r="C131" s="8">
        <v>7.6852000000000003E-11</v>
      </c>
      <c r="D131" s="8">
        <v>7.6852000000000003E-11</v>
      </c>
      <c r="E131" s="8">
        <v>7.6852000000000003E-11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>
      <c r="B132" s="7">
        <v>940</v>
      </c>
      <c r="C132" s="8">
        <v>7.6038999999999995E-11</v>
      </c>
      <c r="D132" s="8">
        <v>7.6038999999999995E-11</v>
      </c>
      <c r="E132" s="8">
        <v>7.6038999999999995E-11</v>
      </c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>
      <c r="B133" s="7">
        <v>960</v>
      </c>
      <c r="C133" s="8">
        <v>7.5234999999999999E-11</v>
      </c>
      <c r="D133" s="8">
        <v>7.5234999999999999E-11</v>
      </c>
      <c r="E133" s="8">
        <v>7.5234999999999999E-11</v>
      </c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>
      <c r="B134" s="7">
        <v>980</v>
      </c>
      <c r="C134" s="8">
        <v>7.4438999999999995E-11</v>
      </c>
      <c r="D134" s="8">
        <v>7.4438999999999995E-11</v>
      </c>
      <c r="E134" s="8">
        <v>7.4438999999999995E-11</v>
      </c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>
      <c r="B135" s="7">
        <v>1000</v>
      </c>
      <c r="C135" s="8">
        <v>7.3650999999999995E-11</v>
      </c>
      <c r="D135" s="8">
        <v>7.3650999999999995E-11</v>
      </c>
      <c r="E135" s="8">
        <v>7.3650999999999995E-11</v>
      </c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>
      <c r="B136" s="7">
        <v>1020</v>
      </c>
      <c r="C136" s="8">
        <v>7.2871999999999994E-11</v>
      </c>
      <c r="D136" s="8">
        <v>7.2871999999999994E-11</v>
      </c>
      <c r="E136" s="8">
        <v>7.2871999999999994E-11</v>
      </c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>
      <c r="B137" s="7">
        <v>1040</v>
      </c>
      <c r="C137" s="8">
        <v>7.2102000000000006E-11</v>
      </c>
      <c r="D137" s="8">
        <v>7.2102000000000006E-11</v>
      </c>
      <c r="E137" s="8">
        <v>7.2102000000000006E-11</v>
      </c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>
      <c r="B138" s="7">
        <v>1060</v>
      </c>
      <c r="C138" s="8">
        <v>7.1339E-11</v>
      </c>
      <c r="D138" s="8">
        <v>7.1339E-11</v>
      </c>
      <c r="E138" s="8">
        <v>7.1339E-11</v>
      </c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>
      <c r="B139" s="7">
        <v>1080</v>
      </c>
      <c r="C139" s="8">
        <v>7.0583999999999999E-11</v>
      </c>
      <c r="D139" s="8">
        <v>7.0583999999999999E-11</v>
      </c>
      <c r="E139" s="8">
        <v>7.0583999999999999E-11</v>
      </c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>
      <c r="B140" s="7">
        <v>1100</v>
      </c>
      <c r="C140" s="8">
        <v>6.9837999999999997E-11</v>
      </c>
      <c r="D140" s="8">
        <v>6.9837999999999997E-11</v>
      </c>
      <c r="E140" s="8">
        <v>6.9837999999999997E-11</v>
      </c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>
      <c r="B141" s="7">
        <v>1120</v>
      </c>
      <c r="C141" s="8">
        <v>6.9099000000000004E-11</v>
      </c>
      <c r="D141" s="8">
        <v>6.9099000000000004E-11</v>
      </c>
      <c r="E141" s="8">
        <v>6.9099000000000004E-11</v>
      </c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>
      <c r="B142" s="7">
        <v>1140</v>
      </c>
      <c r="C142" s="8">
        <v>6.8368000000000001E-11</v>
      </c>
      <c r="D142" s="8">
        <v>6.8368000000000001E-11</v>
      </c>
      <c r="E142" s="8">
        <v>6.8368000000000001E-11</v>
      </c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>
      <c r="B143" s="7">
        <v>1160</v>
      </c>
      <c r="C143" s="8">
        <v>6.7645000000000003E-11</v>
      </c>
      <c r="D143" s="8">
        <v>6.7645000000000003E-11</v>
      </c>
      <c r="E143" s="8">
        <v>6.7645000000000003E-11</v>
      </c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>
      <c r="B144" s="7">
        <v>1180</v>
      </c>
      <c r="C144" s="8">
        <v>6.6929999999999995E-11</v>
      </c>
      <c r="D144" s="8">
        <v>6.6929999999999995E-11</v>
      </c>
      <c r="E144" s="8">
        <v>6.6929999999999995E-11</v>
      </c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>
      <c r="B145" s="7">
        <v>1200</v>
      </c>
      <c r="C145" s="8">
        <v>6.6221999999999996E-11</v>
      </c>
      <c r="D145" s="8">
        <v>6.6221999999999996E-11</v>
      </c>
      <c r="E145" s="8">
        <v>6.6221999999999996E-11</v>
      </c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>
      <c r="B146" s="7">
        <v>1220</v>
      </c>
      <c r="C146" s="8">
        <v>6.5522000000000001E-11</v>
      </c>
      <c r="D146" s="8">
        <v>6.5522000000000001E-11</v>
      </c>
      <c r="E146" s="8">
        <v>6.5522000000000001E-11</v>
      </c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>
      <c r="B147" s="7">
        <v>1240</v>
      </c>
      <c r="C147" s="8">
        <v>6.4829000000000002E-11</v>
      </c>
      <c r="D147" s="8">
        <v>6.4829000000000002E-11</v>
      </c>
      <c r="E147" s="8">
        <v>6.4829000000000002E-11</v>
      </c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>
      <c r="B148" s="7">
        <v>1260</v>
      </c>
      <c r="C148" s="8">
        <v>6.4142999999999998E-11</v>
      </c>
      <c r="D148" s="8">
        <v>6.4142999999999998E-11</v>
      </c>
      <c r="E148" s="8">
        <v>6.4142999999999998E-11</v>
      </c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>
      <c r="B149" s="7">
        <v>1280</v>
      </c>
      <c r="C149" s="8">
        <v>6.3464999999999997E-11</v>
      </c>
      <c r="D149" s="8">
        <v>6.3464999999999997E-11</v>
      </c>
      <c r="E149" s="8">
        <v>6.3464999999999997E-11</v>
      </c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>
      <c r="B150" s="7">
        <v>1300</v>
      </c>
      <c r="C150" s="8">
        <v>6.2794000000000006E-11</v>
      </c>
      <c r="D150" s="8">
        <v>6.2794000000000006E-11</v>
      </c>
      <c r="E150" s="8">
        <v>6.2794000000000006E-11</v>
      </c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>
      <c r="B151" s="7">
        <v>1320</v>
      </c>
      <c r="C151" s="8">
        <v>6.2129999999999996E-11</v>
      </c>
      <c r="D151" s="8">
        <v>6.2129999999999996E-11</v>
      </c>
      <c r="E151" s="8">
        <v>6.2129999999999996E-11</v>
      </c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>
      <c r="B152" s="7">
        <v>1340</v>
      </c>
      <c r="C152" s="8">
        <v>6.1472E-11</v>
      </c>
      <c r="D152" s="8">
        <v>6.1472E-11</v>
      </c>
      <c r="E152" s="8">
        <v>6.1472E-11</v>
      </c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>
      <c r="B153" s="7">
        <v>1360</v>
      </c>
      <c r="C153" s="8">
        <v>6.0821999999999994E-11</v>
      </c>
      <c r="D153" s="8">
        <v>6.0821999999999994E-11</v>
      </c>
      <c r="E153" s="8">
        <v>6.0821999999999994E-11</v>
      </c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>
      <c r="B154" s="7">
        <v>1380</v>
      </c>
      <c r="C154" s="8">
        <v>6.0178999999999997E-11</v>
      </c>
      <c r="D154" s="8">
        <v>6.0178999999999997E-11</v>
      </c>
      <c r="E154" s="8">
        <v>6.0178999999999997E-11</v>
      </c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>
      <c r="B155" s="7">
        <v>1400</v>
      </c>
      <c r="C155" s="8">
        <v>5.9542999999999995E-11</v>
      </c>
      <c r="D155" s="8">
        <v>5.9542999999999995E-11</v>
      </c>
      <c r="E155" s="8">
        <v>5.9542999999999995E-11</v>
      </c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>
      <c r="B156" s="7">
        <v>1420</v>
      </c>
      <c r="C156" s="8">
        <v>5.8913000000000006E-11</v>
      </c>
      <c r="D156" s="8">
        <v>5.8913000000000006E-11</v>
      </c>
      <c r="E156" s="8">
        <v>5.8913000000000006E-11</v>
      </c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>
      <c r="B157" s="7">
        <v>1440</v>
      </c>
      <c r="C157" s="8">
        <v>5.829E-11</v>
      </c>
      <c r="D157" s="8">
        <v>5.829E-11</v>
      </c>
      <c r="E157" s="8">
        <v>5.829E-11</v>
      </c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>
      <c r="B158" s="7">
        <v>1460</v>
      </c>
      <c r="C158" s="8">
        <v>5.7674000000000002E-11</v>
      </c>
      <c r="D158" s="8">
        <v>5.7674000000000002E-11</v>
      </c>
      <c r="E158" s="8">
        <v>5.7674000000000002E-11</v>
      </c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>
      <c r="B159" s="7">
        <v>1480</v>
      </c>
      <c r="C159" s="8">
        <v>5.7064000000000003E-11</v>
      </c>
      <c r="D159" s="8">
        <v>5.7064000000000003E-11</v>
      </c>
      <c r="E159" s="8">
        <v>5.7064000000000003E-11</v>
      </c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>
      <c r="B160" s="7">
        <v>1500</v>
      </c>
      <c r="C160" s="8">
        <v>5.6459999999999998E-11</v>
      </c>
      <c r="D160" s="8">
        <v>5.6459999999999998E-11</v>
      </c>
      <c r="E160" s="8">
        <v>5.6459999999999998E-11</v>
      </c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>
      <c r="B161" s="7">
        <v>1520</v>
      </c>
      <c r="C161" s="8">
        <v>5.5863000000000001E-11</v>
      </c>
      <c r="D161" s="8">
        <v>5.5863000000000001E-11</v>
      </c>
      <c r="E161" s="8">
        <v>5.5863000000000001E-11</v>
      </c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>
      <c r="B162" s="7">
        <v>1560</v>
      </c>
      <c r="C162" s="8">
        <v>5.4688000000000003E-11</v>
      </c>
      <c r="D162" s="8">
        <v>5.4688000000000003E-11</v>
      </c>
      <c r="E162" s="8">
        <v>5.4688000000000003E-11</v>
      </c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>
      <c r="B163" s="7">
        <v>1600</v>
      </c>
      <c r="C163" s="8">
        <v>5.3536999999999997E-11</v>
      </c>
      <c r="D163" s="8">
        <v>5.3536999999999997E-11</v>
      </c>
      <c r="E163" s="8">
        <v>5.3536999999999997E-11</v>
      </c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>
      <c r="B164" s="7">
        <v>1640</v>
      </c>
      <c r="C164" s="8">
        <v>5.2410999999999999E-11</v>
      </c>
      <c r="D164" s="8">
        <v>5.2410999999999999E-11</v>
      </c>
      <c r="E164" s="8">
        <v>5.2410999999999999E-11</v>
      </c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>
      <c r="B165" s="7">
        <v>1680</v>
      </c>
      <c r="C165" s="8">
        <v>5.1307999999999997E-11</v>
      </c>
      <c r="D165" s="8">
        <v>5.1307999999999997E-11</v>
      </c>
      <c r="E165" s="8">
        <v>5.1307999999999997E-11</v>
      </c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>
      <c r="B166" s="7">
        <v>1720</v>
      </c>
      <c r="C166" s="8">
        <v>5.0229000000000002E-11</v>
      </c>
      <c r="D166" s="8">
        <v>5.0229000000000002E-11</v>
      </c>
      <c r="E166" s="8">
        <v>5.0229000000000002E-11</v>
      </c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>
      <c r="B167" s="7">
        <v>1760</v>
      </c>
      <c r="C167" s="8">
        <v>4.9172000000000001E-11</v>
      </c>
      <c r="D167" s="8">
        <v>4.9172000000000001E-11</v>
      </c>
      <c r="E167" s="8">
        <v>4.9172000000000001E-11</v>
      </c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>
      <c r="B168" s="7">
        <v>1800</v>
      </c>
      <c r="C168" s="8">
        <v>4.8137999999999997E-11</v>
      </c>
      <c r="D168" s="8">
        <v>4.8137999999999997E-11</v>
      </c>
      <c r="E168" s="8">
        <v>4.8137999999999997E-11</v>
      </c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>
      <c r="B169" s="7">
        <v>1840</v>
      </c>
      <c r="C169" s="8">
        <v>4.7124999999999999E-11</v>
      </c>
      <c r="D169" s="8">
        <v>4.7124999999999999E-11</v>
      </c>
      <c r="E169" s="8">
        <v>4.7124999999999999E-11</v>
      </c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>
      <c r="B170" s="7">
        <v>1880</v>
      </c>
      <c r="C170" s="8">
        <v>4.6133E-11</v>
      </c>
      <c r="D170" s="8">
        <v>4.6133E-11</v>
      </c>
      <c r="E170" s="8">
        <v>4.6133E-11</v>
      </c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>
      <c r="B171" s="7">
        <v>1920</v>
      </c>
      <c r="C171" s="8">
        <v>4.5163000000000002E-11</v>
      </c>
      <c r="D171" s="8">
        <v>4.5163000000000002E-11</v>
      </c>
      <c r="E171" s="8">
        <v>4.5163000000000002E-11</v>
      </c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>
      <c r="B172" s="7">
        <v>1960</v>
      </c>
      <c r="C172" s="8">
        <v>4.4213000000000002E-11</v>
      </c>
      <c r="D172" s="8">
        <v>4.4213000000000002E-11</v>
      </c>
      <c r="E172" s="8">
        <v>4.4213000000000002E-11</v>
      </c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>
      <c r="B173" s="7">
        <v>2000</v>
      </c>
      <c r="C173" s="8">
        <v>4.3282000000000002E-11</v>
      </c>
      <c r="D173" s="8">
        <v>4.3282000000000002E-11</v>
      </c>
      <c r="E173" s="8">
        <v>4.3282000000000002E-11</v>
      </c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>
      <c r="B174" s="7">
        <v>2040</v>
      </c>
      <c r="C174" s="8">
        <v>4.2372000000000002E-11</v>
      </c>
      <c r="D174" s="8">
        <v>4.2372000000000002E-11</v>
      </c>
      <c r="E174" s="8">
        <v>4.2372000000000002E-11</v>
      </c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>
      <c r="B175" s="7">
        <v>2080</v>
      </c>
      <c r="C175" s="8">
        <v>4.1480000000000002E-11</v>
      </c>
      <c r="D175" s="8">
        <v>4.1480000000000002E-11</v>
      </c>
      <c r="E175" s="8">
        <v>4.1480000000000002E-11</v>
      </c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>
      <c r="B176" s="7">
        <v>2120</v>
      </c>
      <c r="C176" s="8">
        <v>4.0607999999999998E-11</v>
      </c>
      <c r="D176" s="8">
        <v>4.0607999999999998E-11</v>
      </c>
      <c r="E176" s="8">
        <v>4.0607999999999998E-11</v>
      </c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>
      <c r="B177" s="7">
        <v>2160</v>
      </c>
      <c r="C177" s="8">
        <v>3.9752999999999998E-11</v>
      </c>
      <c r="D177" s="8">
        <v>3.9752999999999998E-11</v>
      </c>
      <c r="E177" s="8">
        <v>3.9752999999999998E-11</v>
      </c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>
      <c r="B178" s="7">
        <v>2200</v>
      </c>
      <c r="C178" s="8">
        <v>3.8917E-11</v>
      </c>
      <c r="D178" s="8">
        <v>3.8917E-11</v>
      </c>
      <c r="E178" s="8">
        <v>3.8917E-11</v>
      </c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>
      <c r="B179" s="7">
        <v>2240</v>
      </c>
      <c r="C179" s="8">
        <v>3.8097999999999999E-11</v>
      </c>
      <c r="D179" s="8">
        <v>3.8097999999999999E-11</v>
      </c>
      <c r="E179" s="8">
        <v>3.8097999999999999E-11</v>
      </c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>
      <c r="B180" s="7">
        <v>2280</v>
      </c>
      <c r="C180" s="8">
        <v>3.7297000000000003E-11</v>
      </c>
      <c r="D180" s="8">
        <v>3.7297000000000003E-11</v>
      </c>
      <c r="E180" s="8">
        <v>3.7297000000000003E-11</v>
      </c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>
      <c r="B181" s="7">
        <v>2320</v>
      </c>
      <c r="C181" s="8">
        <v>3.6512000000000003E-11</v>
      </c>
      <c r="D181" s="8">
        <v>3.6512000000000003E-11</v>
      </c>
      <c r="E181" s="8">
        <v>3.6512000000000003E-11</v>
      </c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>
      <c r="B182" s="7">
        <v>2360</v>
      </c>
      <c r="C182" s="8">
        <v>3.5744E-11</v>
      </c>
      <c r="D182" s="8">
        <v>3.5744E-11</v>
      </c>
      <c r="E182" s="8">
        <v>3.5744E-11</v>
      </c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>
      <c r="B183" s="7">
        <v>2400</v>
      </c>
      <c r="C183" s="8">
        <v>3.4991999999999998E-11</v>
      </c>
      <c r="D183" s="8">
        <v>3.4991999999999998E-11</v>
      </c>
      <c r="E183" s="8">
        <v>3.4991999999999998E-11</v>
      </c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>
      <c r="B184" s="7">
        <v>2440</v>
      </c>
      <c r="C184" s="8">
        <v>3.4255999999999998E-11</v>
      </c>
      <c r="D184" s="8">
        <v>3.4255999999999998E-11</v>
      </c>
      <c r="E184" s="8">
        <v>3.4255999999999998E-11</v>
      </c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>
      <c r="B185" s="7">
        <v>2480</v>
      </c>
      <c r="C185" s="8">
        <v>3.3534999999999997E-11</v>
      </c>
      <c r="D185" s="8">
        <v>3.3534999999999997E-11</v>
      </c>
      <c r="E185" s="8">
        <v>3.3534999999999997E-11</v>
      </c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>
      <c r="B186" s="7">
        <v>2520</v>
      </c>
      <c r="C186" s="8">
        <v>3.2829999999999998E-11</v>
      </c>
      <c r="D186" s="8">
        <v>3.2829999999999998E-11</v>
      </c>
      <c r="E186" s="8">
        <v>3.2829999999999998E-11</v>
      </c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>
      <c r="B187" s="7">
        <v>2560</v>
      </c>
      <c r="C187" s="8">
        <v>3.2139000000000003E-11</v>
      </c>
      <c r="D187" s="8">
        <v>3.2139000000000003E-11</v>
      </c>
      <c r="E187" s="8">
        <v>3.2139000000000003E-11</v>
      </c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>
      <c r="B188" s="7">
        <v>2600</v>
      </c>
      <c r="C188" s="8">
        <v>3.1463E-11</v>
      </c>
      <c r="D188" s="8">
        <v>3.1463E-11</v>
      </c>
      <c r="E188" s="8">
        <v>3.1463E-11</v>
      </c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>
      <c r="B189" s="7">
        <v>2640</v>
      </c>
      <c r="C189" s="8">
        <v>3.0801000000000002E-11</v>
      </c>
      <c r="D189" s="8">
        <v>3.0801000000000002E-11</v>
      </c>
      <c r="E189" s="8">
        <v>3.0801000000000002E-11</v>
      </c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>
      <c r="B190" s="7">
        <v>2680</v>
      </c>
      <c r="C190" s="8">
        <v>3.0153E-11</v>
      </c>
      <c r="D190" s="8">
        <v>3.0153E-11</v>
      </c>
      <c r="E190" s="8">
        <v>3.0153E-11</v>
      </c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>
      <c r="B191" s="7">
        <v>2720</v>
      </c>
      <c r="C191" s="8">
        <v>2.9518000000000001E-11</v>
      </c>
      <c r="D191" s="8">
        <v>2.9518000000000001E-11</v>
      </c>
      <c r="E191" s="8">
        <v>2.9518000000000001E-11</v>
      </c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>
      <c r="B192" s="7">
        <v>2760</v>
      </c>
      <c r="C192" s="8">
        <v>2.8896999999999999E-11</v>
      </c>
      <c r="D192" s="8">
        <v>2.8896999999999999E-11</v>
      </c>
      <c r="E192" s="8">
        <v>2.8896999999999999E-11</v>
      </c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>
      <c r="B193" s="7">
        <v>2800</v>
      </c>
      <c r="C193" s="8">
        <v>2.8289000000000001E-11</v>
      </c>
      <c r="D193" s="8">
        <v>2.8289000000000001E-11</v>
      </c>
      <c r="E193" s="8">
        <v>2.8289000000000001E-11</v>
      </c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>
      <c r="B194" s="7">
        <v>2840</v>
      </c>
      <c r="C194" s="8">
        <v>2.7693999999999999E-11</v>
      </c>
      <c r="D194" s="8">
        <v>2.7693999999999999E-11</v>
      </c>
      <c r="E194" s="8">
        <v>2.7693999999999999E-11</v>
      </c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>
      <c r="B195" s="7">
        <v>2880</v>
      </c>
      <c r="C195" s="8">
        <v>2.7112000000000002E-11</v>
      </c>
      <c r="D195" s="8">
        <v>2.7112000000000002E-11</v>
      </c>
      <c r="E195" s="8">
        <v>2.7112000000000002E-11</v>
      </c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>
      <c r="B196" s="7">
        <v>2920</v>
      </c>
      <c r="C196" s="8">
        <v>2.6540999999999998E-11</v>
      </c>
      <c r="D196" s="8">
        <v>2.6540999999999998E-11</v>
      </c>
      <c r="E196" s="8">
        <v>2.6540999999999998E-11</v>
      </c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>
      <c r="B197" s="7">
        <v>2960</v>
      </c>
      <c r="C197" s="8">
        <v>2.5983E-11</v>
      </c>
      <c r="D197" s="8">
        <v>2.5983E-11</v>
      </c>
      <c r="E197" s="8">
        <v>2.5983E-11</v>
      </c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>
      <c r="B198" s="7">
        <v>3000</v>
      </c>
      <c r="C198" s="8">
        <v>2.5435999999999999E-11</v>
      </c>
      <c r="D198" s="8">
        <v>2.5435999999999999E-11</v>
      </c>
      <c r="E198" s="8">
        <v>2.5435999999999999E-11</v>
      </c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>
      <c r="B199" s="7">
        <v>3040</v>
      </c>
      <c r="C199" s="8">
        <v>2.4901000000000001E-11</v>
      </c>
      <c r="D199" s="8">
        <v>2.4901000000000001E-11</v>
      </c>
      <c r="E199" s="8">
        <v>2.4901000000000001E-11</v>
      </c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>
      <c r="B200" s="7">
        <v>3080</v>
      </c>
      <c r="C200" s="8">
        <v>2.4377000000000001E-11</v>
      </c>
      <c r="D200" s="8">
        <v>2.4377000000000001E-11</v>
      </c>
      <c r="E200" s="8">
        <v>2.4377000000000001E-11</v>
      </c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>
      <c r="B201" s="7">
        <v>3120</v>
      </c>
      <c r="C201" s="8">
        <v>2.3864000000000001E-11</v>
      </c>
      <c r="D201" s="8">
        <v>2.3864000000000001E-11</v>
      </c>
      <c r="E201" s="8">
        <v>2.3864000000000001E-11</v>
      </c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>
      <c r="B202" s="7">
        <v>3160</v>
      </c>
      <c r="C202" s="8">
        <v>2.3361999999999998E-11</v>
      </c>
      <c r="D202" s="8">
        <v>2.3361999999999998E-11</v>
      </c>
      <c r="E202" s="8">
        <v>2.3361999999999998E-11</v>
      </c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>
      <c r="B203" s="7">
        <v>3200</v>
      </c>
      <c r="C203" s="8">
        <v>2.2871E-11</v>
      </c>
      <c r="D203" s="8">
        <v>2.2871E-11</v>
      </c>
      <c r="E203" s="8">
        <v>2.2871E-11</v>
      </c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>
      <c r="B204" s="7">
        <v>3240</v>
      </c>
      <c r="C204" s="8">
        <v>2.239E-11</v>
      </c>
      <c r="D204" s="8">
        <v>2.239E-11</v>
      </c>
      <c r="E204" s="8">
        <v>2.239E-11</v>
      </c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>
      <c r="B205" s="7">
        <v>3280</v>
      </c>
      <c r="C205" s="8">
        <v>2.1919000000000001E-11</v>
      </c>
      <c r="D205" s="8">
        <v>2.1919000000000001E-11</v>
      </c>
      <c r="E205" s="8">
        <v>2.1919000000000001E-11</v>
      </c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>
      <c r="B206" s="7">
        <v>3320</v>
      </c>
      <c r="C206" s="8">
        <v>2.1457E-11</v>
      </c>
      <c r="D206" s="8">
        <v>2.1457E-11</v>
      </c>
      <c r="E206" s="8">
        <v>2.1457E-11</v>
      </c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>
      <c r="B207" s="7">
        <v>3360</v>
      </c>
      <c r="C207" s="8">
        <v>2.1006000000000002E-11</v>
      </c>
      <c r="D207" s="8">
        <v>2.1006000000000002E-11</v>
      </c>
      <c r="E207" s="8">
        <v>2.1006000000000002E-11</v>
      </c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>
      <c r="B208" s="7">
        <v>3400</v>
      </c>
      <c r="C208" s="8">
        <v>2.0564E-11</v>
      </c>
      <c r="D208" s="8">
        <v>2.0564E-11</v>
      </c>
      <c r="E208" s="8">
        <v>2.0564E-11</v>
      </c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>
      <c r="B209" s="7">
        <v>3440</v>
      </c>
      <c r="C209" s="8">
        <v>2.0131000000000001E-11</v>
      </c>
      <c r="D209" s="8">
        <v>2.0131000000000001E-11</v>
      </c>
      <c r="E209" s="8">
        <v>2.0131000000000001E-11</v>
      </c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>
      <c r="B210" s="7">
        <v>3480</v>
      </c>
      <c r="C210" s="8">
        <v>1.9708000000000001E-11</v>
      </c>
      <c r="D210" s="8">
        <v>1.9708000000000001E-11</v>
      </c>
      <c r="E210" s="8">
        <v>1.9708000000000001E-11</v>
      </c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>
      <c r="B211" s="7">
        <v>3520</v>
      </c>
      <c r="C211" s="8">
        <v>1.9292999999999999E-11</v>
      </c>
      <c r="D211" s="8">
        <v>1.9292999999999999E-11</v>
      </c>
      <c r="E211" s="8">
        <v>1.9292999999999999E-11</v>
      </c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>
      <c r="B212" s="7">
        <v>3560</v>
      </c>
      <c r="C212" s="8">
        <v>1.8886999999999999E-11</v>
      </c>
      <c r="D212" s="8">
        <v>1.8886999999999999E-11</v>
      </c>
      <c r="E212" s="8">
        <v>1.8886999999999999E-11</v>
      </c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>
      <c r="B213" s="7">
        <v>3600</v>
      </c>
      <c r="C213" s="8">
        <v>1.8489999999999999E-11</v>
      </c>
      <c r="D213" s="8">
        <v>1.8489999999999999E-11</v>
      </c>
      <c r="E213" s="8">
        <v>1.8489999999999999E-11</v>
      </c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>
      <c r="B214" s="7">
        <v>3640</v>
      </c>
      <c r="C214" s="8">
        <v>1.8101E-11</v>
      </c>
      <c r="D214" s="8">
        <v>1.8101E-11</v>
      </c>
      <c r="E214" s="8">
        <v>1.8101E-11</v>
      </c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>
      <c r="B215" s="7">
        <v>3680</v>
      </c>
      <c r="C215" s="8">
        <v>1.7720000000000001E-11</v>
      </c>
      <c r="D215" s="8">
        <v>1.7720000000000001E-11</v>
      </c>
      <c r="E215" s="8">
        <v>1.7720000000000001E-11</v>
      </c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>
      <c r="B216" s="7">
        <v>3720</v>
      </c>
      <c r="C216" s="8">
        <v>1.7347E-11</v>
      </c>
      <c r="D216" s="8">
        <v>1.7347E-11</v>
      </c>
      <c r="E216" s="8">
        <v>1.7347E-11</v>
      </c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>
      <c r="B217" s="7">
        <v>3760</v>
      </c>
      <c r="C217" s="8">
        <v>1.6982E-11</v>
      </c>
      <c r="D217" s="8">
        <v>1.6982E-11</v>
      </c>
      <c r="E217" s="8">
        <v>1.6982E-11</v>
      </c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>
      <c r="B218" s="7">
        <v>3800</v>
      </c>
      <c r="C218" s="8">
        <v>1.6625000000000001E-11</v>
      </c>
      <c r="D218" s="8">
        <v>1.6625000000000001E-11</v>
      </c>
      <c r="E218" s="8">
        <v>1.6625000000000001E-11</v>
      </c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>
      <c r="B219" s="7">
        <v>3840</v>
      </c>
      <c r="C219" s="8">
        <v>1.6275E-11</v>
      </c>
      <c r="D219" s="8">
        <v>1.6275E-11</v>
      </c>
      <c r="E219" s="8">
        <v>1.6275E-11</v>
      </c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>
      <c r="B220" s="7">
        <v>3880</v>
      </c>
      <c r="C220" s="8">
        <v>1.5933E-11</v>
      </c>
      <c r="D220" s="8">
        <v>1.5933E-11</v>
      </c>
      <c r="E220" s="8">
        <v>1.5933E-11</v>
      </c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>
      <c r="B221" s="7">
        <v>3920</v>
      </c>
      <c r="C221" s="8">
        <v>1.5597999999999999E-11</v>
      </c>
      <c r="D221" s="8">
        <v>1.5597999999999999E-11</v>
      </c>
      <c r="E221" s="8">
        <v>1.5597999999999999E-11</v>
      </c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>
      <c r="B222" s="7">
        <v>3960</v>
      </c>
      <c r="C222" s="8">
        <v>1.5269999999999999E-11</v>
      </c>
      <c r="D222" s="8">
        <v>1.5269999999999999E-11</v>
      </c>
      <c r="E222" s="8">
        <v>1.5269999999999999E-11</v>
      </c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>
      <c r="B223" s="7">
        <v>4000</v>
      </c>
      <c r="C223" s="8">
        <v>1.4948E-11</v>
      </c>
      <c r="D223" s="8">
        <v>1.4948E-11</v>
      </c>
      <c r="E223" s="8">
        <v>1.4948E-11</v>
      </c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>
      <c r="B224" s="7">
        <v>4040</v>
      </c>
      <c r="C224" s="8">
        <v>1.4634000000000001E-11</v>
      </c>
      <c r="D224" s="8">
        <v>1.4634000000000001E-11</v>
      </c>
      <c r="E224" s="8">
        <v>1.4634000000000001E-11</v>
      </c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>
      <c r="B225" s="7">
        <v>4080</v>
      </c>
      <c r="C225" s="8">
        <v>1.4326E-11</v>
      </c>
      <c r="D225" s="8">
        <v>1.4326E-11</v>
      </c>
      <c r="E225" s="8">
        <v>1.4326E-11</v>
      </c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>
      <c r="B226" s="7">
        <v>4120</v>
      </c>
      <c r="C226" s="8">
        <v>1.4025E-11</v>
      </c>
      <c r="D226" s="8">
        <v>1.4025E-11</v>
      </c>
      <c r="E226" s="8">
        <v>1.4025E-11</v>
      </c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>
      <c r="B227" s="7">
        <v>4160</v>
      </c>
      <c r="C227" s="8">
        <v>1.3730000000000001E-11</v>
      </c>
      <c r="D227" s="8">
        <v>1.3730000000000001E-11</v>
      </c>
      <c r="E227" s="8">
        <v>1.3730000000000001E-11</v>
      </c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>
      <c r="B228" s="7">
        <v>4200</v>
      </c>
      <c r="C228" s="8">
        <v>1.3441E-11</v>
      </c>
      <c r="D228" s="8">
        <v>1.3441E-11</v>
      </c>
      <c r="E228" s="8">
        <v>1.3441E-11</v>
      </c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>
      <c r="B229" s="7">
        <v>4240</v>
      </c>
      <c r="C229" s="8">
        <v>1.3158E-11</v>
      </c>
      <c r="D229" s="8">
        <v>1.3158E-11</v>
      </c>
      <c r="E229" s="8">
        <v>1.3158E-11</v>
      </c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>
      <c r="B230" s="7">
        <v>4280</v>
      </c>
      <c r="C230" s="8">
        <v>1.2881000000000001E-11</v>
      </c>
      <c r="D230" s="8">
        <v>1.2881000000000001E-11</v>
      </c>
      <c r="E230" s="8">
        <v>1.2881000000000001E-11</v>
      </c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>
      <c r="B231" s="7">
        <v>4320</v>
      </c>
      <c r="C231" s="8">
        <v>1.2610000000000001E-11</v>
      </c>
      <c r="D231" s="8">
        <v>1.2610000000000001E-11</v>
      </c>
      <c r="E231" s="8">
        <v>1.2610000000000001E-11</v>
      </c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10.Document" shapeId="20484" r:id="rId4">
          <objectPr defaultSize="0" r:id="rId5">
            <anchor moveWithCells="1">
              <from>
                <xdr:col>23</xdr:col>
                <xdr:colOff>0</xdr:colOff>
                <xdr:row>19</xdr:row>
                <xdr:rowOff>0</xdr:rowOff>
              </from>
              <to>
                <xdr:col>28</xdr:col>
                <xdr:colOff>711200</xdr:colOff>
                <xdr:row>33</xdr:row>
                <xdr:rowOff>25400</xdr:rowOff>
              </to>
            </anchor>
          </objectPr>
        </oleObject>
      </mc:Choice>
      <mc:Fallback>
        <oleObject progId="Prism10.Document" shapeId="20484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0885-7511-44EF-82B4-CA87BAD46E3C}">
  <dimension ref="A1:BM602"/>
  <sheetViews>
    <sheetView topLeftCell="K23" zoomScaleNormal="100" workbookViewId="0">
      <selection activeCell="O43" sqref="O43:V231"/>
    </sheetView>
  </sheetViews>
  <sheetFormatPr baseColWidth="10" defaultColWidth="8.83203125" defaultRowHeight="17"/>
  <cols>
    <col min="11" max="11" width="9.1640625" bestFit="1" customWidth="1"/>
    <col min="13" max="13" width="13.1640625" bestFit="1" customWidth="1"/>
    <col min="16" max="16" width="13.5" customWidth="1"/>
    <col min="17" max="17" width="9.83203125" bestFit="1" customWidth="1"/>
    <col min="18" max="18" width="9.5" bestFit="1" customWidth="1"/>
    <col min="20" max="20" width="11" bestFit="1" customWidth="1"/>
    <col min="21" max="21" width="9.5" bestFit="1" customWidth="1"/>
    <col min="22" max="22" width="13.33203125" bestFit="1" customWidth="1"/>
    <col min="29" max="29" width="9.5" bestFit="1" customWidth="1"/>
    <col min="33" max="34" width="9.1640625" bestFit="1" customWidth="1"/>
    <col min="35" max="35" width="9.1640625" customWidth="1"/>
    <col min="46" max="46" width="7.5" customWidth="1"/>
    <col min="47" max="47" width="15" customWidth="1"/>
    <col min="48" max="48" width="11" bestFit="1" customWidth="1"/>
    <col min="49" max="49" width="9.1640625" bestFit="1" customWidth="1"/>
    <col min="51" max="56" width="9.1640625" bestFit="1" customWidth="1"/>
  </cols>
  <sheetData>
    <row r="1" spans="1:65">
      <c r="A1" s="1">
        <f>K2</f>
        <v>1.29565510246E-10</v>
      </c>
      <c r="B1" s="7" t="s">
        <v>0</v>
      </c>
      <c r="C1" s="7" t="s">
        <v>120</v>
      </c>
      <c r="D1" s="7" t="s">
        <v>120</v>
      </c>
      <c r="E1" s="7" t="s">
        <v>120</v>
      </c>
      <c r="F1" s="7" t="s">
        <v>120</v>
      </c>
      <c r="G1" s="7" t="s">
        <v>120</v>
      </c>
      <c r="H1" s="7" t="s">
        <v>121</v>
      </c>
      <c r="I1" s="7" t="s">
        <v>122</v>
      </c>
      <c r="J1" s="7"/>
      <c r="N1" s="7"/>
      <c r="O1" t="s">
        <v>35</v>
      </c>
      <c r="P1" t="s">
        <v>5</v>
      </c>
      <c r="Q1" t="s">
        <v>30</v>
      </c>
      <c r="R1" t="s">
        <v>38</v>
      </c>
      <c r="S1" s="3" t="s">
        <v>11</v>
      </c>
      <c r="T1" t="s">
        <v>32</v>
      </c>
      <c r="U1" t="s">
        <v>3</v>
      </c>
      <c r="V1" s="4" t="s">
        <v>4</v>
      </c>
      <c r="X1" s="3"/>
      <c r="Y1" s="3" t="s">
        <v>12</v>
      </c>
      <c r="Z1" s="3" t="s">
        <v>36</v>
      </c>
      <c r="AA1" s="3" t="s">
        <v>37</v>
      </c>
      <c r="AB1" s="3" t="s">
        <v>39</v>
      </c>
      <c r="AC1" s="3" t="s">
        <v>13</v>
      </c>
      <c r="AF1" s="35" t="s">
        <v>85</v>
      </c>
      <c r="AJ1" s="7"/>
      <c r="AK1" s="7"/>
    </row>
    <row r="2" spans="1:65">
      <c r="B2" s="7">
        <v>0</v>
      </c>
      <c r="C2" s="8">
        <v>1.2710000000000001E-10</v>
      </c>
      <c r="D2" s="8">
        <v>1.2710000000000001E-10</v>
      </c>
      <c r="E2" s="8">
        <v>1.2710000000000001E-10</v>
      </c>
      <c r="F2" s="8">
        <v>2.4654999999999999E-12</v>
      </c>
      <c r="G2" s="8">
        <v>1.0245999999999999E-17</v>
      </c>
      <c r="H2" s="8">
        <v>5.3882E-14</v>
      </c>
      <c r="I2" s="8">
        <v>1.9712999999999999E-15</v>
      </c>
      <c r="J2" s="8"/>
      <c r="K2" s="1">
        <f>SUM(C2,F2,G2)</f>
        <v>1.29565510246E-10</v>
      </c>
      <c r="N2" s="7"/>
      <c r="O2">
        <f>B2/60</f>
        <v>0</v>
      </c>
      <c r="P2" s="6">
        <f>(SUM(F2:J2)+C2)/$A$1*100</f>
        <v>100.04310815424103</v>
      </c>
      <c r="Q2" s="6">
        <f t="shared" ref="Q2:Q65" si="0">(H2+F2)/$A$1*100</f>
        <v>1.9444850679911394</v>
      </c>
      <c r="R2" s="6">
        <f t="shared" ref="R2:R65" si="1">(G2+I2)/$A$1*100</f>
        <v>1.5293776841056937E-3</v>
      </c>
      <c r="S2" s="5">
        <f t="shared" ref="S2:S65" si="2">J2/$A$1*100</f>
        <v>0</v>
      </c>
      <c r="T2" s="6">
        <f t="shared" ref="T2:V17" si="3">C2/$A$1*100</f>
        <v>98.097093708565779</v>
      </c>
      <c r="U2" s="1">
        <f t="shared" si="3"/>
        <v>98.097093708565779</v>
      </c>
      <c r="V2" s="1">
        <f t="shared" si="3"/>
        <v>98.097093708565779</v>
      </c>
      <c r="X2" s="9" t="s">
        <v>26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" t="s">
        <v>84</v>
      </c>
      <c r="AG2" t="s">
        <v>81</v>
      </c>
      <c r="AH2" s="7" t="s">
        <v>82</v>
      </c>
      <c r="AI2" s="7" t="s">
        <v>83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>
      <c r="B3" s="7">
        <v>2.2200000000000002</v>
      </c>
      <c r="C3" s="8">
        <v>1.2488999999999999E-10</v>
      </c>
      <c r="D3" s="8">
        <v>1.2488999999999999E-10</v>
      </c>
      <c r="E3" s="8">
        <v>1.2488999999999999E-10</v>
      </c>
      <c r="F3" s="8">
        <v>2.8060999999999999E-12</v>
      </c>
      <c r="G3" s="8">
        <v>1.3480000000000001E-17</v>
      </c>
      <c r="H3" s="8">
        <v>1.5069000000000001E-13</v>
      </c>
      <c r="I3" s="8">
        <v>5.7480000000000003E-15</v>
      </c>
      <c r="J3" s="8"/>
      <c r="K3" s="1"/>
      <c r="L3" s="1"/>
      <c r="N3" s="7"/>
      <c r="O3">
        <f t="shared" ref="O3:O66" si="4">B3/60</f>
        <v>3.7000000000000005E-2</v>
      </c>
      <c r="P3" s="6">
        <f t="shared" ref="P3:P66" si="5">(SUM(F3:J3)+C3)/$A$1*100</f>
        <v>98.677920719219415</v>
      </c>
      <c r="Q3" s="6">
        <f t="shared" si="0"/>
        <v>2.2820810834504339</v>
      </c>
      <c r="R3" s="6">
        <f t="shared" si="1"/>
        <v>4.4467698147917199E-3</v>
      </c>
      <c r="S3" s="5">
        <f t="shared" si="2"/>
        <v>0</v>
      </c>
      <c r="T3" s="6">
        <f t="shared" si="3"/>
        <v>96.391392865954202</v>
      </c>
      <c r="U3" s="1">
        <f t="shared" si="3"/>
        <v>96.391392865954202</v>
      </c>
      <c r="V3" s="1">
        <f t="shared" si="3"/>
        <v>96.391392865954202</v>
      </c>
      <c r="X3" s="9"/>
      <c r="Y3" s="2"/>
      <c r="Z3" s="2"/>
      <c r="AA3" s="2"/>
      <c r="AB3" s="2"/>
      <c r="AC3" s="2"/>
      <c r="AD3" s="1"/>
      <c r="AE3" s="1"/>
      <c r="AF3" t="s">
        <v>40</v>
      </c>
      <c r="AG3" t="s">
        <v>41</v>
      </c>
      <c r="AH3" s="7" t="s">
        <v>42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B4" s="7">
        <v>4.78</v>
      </c>
      <c r="C4" s="8">
        <v>1.2433E-10</v>
      </c>
      <c r="D4" s="8">
        <v>1.2433E-10</v>
      </c>
      <c r="E4" s="8">
        <v>1.2433E-10</v>
      </c>
      <c r="F4" s="8">
        <v>2.9304000000000001E-12</v>
      </c>
      <c r="G4" s="8">
        <v>1.7008999999999999E-17</v>
      </c>
      <c r="H4" s="8">
        <v>2.5850000000000001E-13</v>
      </c>
      <c r="I4" s="8">
        <v>1.0594E-14</v>
      </c>
      <c r="J4" s="8"/>
      <c r="K4" s="1"/>
      <c r="L4" s="1"/>
      <c r="N4" s="7"/>
      <c r="O4">
        <f t="shared" si="4"/>
        <v>7.9666666666666677E-2</v>
      </c>
      <c r="P4" s="6">
        <f t="shared" si="5"/>
        <v>98.42859474474777</v>
      </c>
      <c r="Q4" s="6">
        <f t="shared" si="0"/>
        <v>2.4612259805448105</v>
      </c>
      <c r="R4" s="6">
        <f t="shared" si="1"/>
        <v>8.1896864218366228E-3</v>
      </c>
      <c r="S4" s="5">
        <f t="shared" si="2"/>
        <v>0</v>
      </c>
      <c r="T4" s="6">
        <f t="shared" si="3"/>
        <v>95.95917907778113</v>
      </c>
      <c r="U4" s="1">
        <f t="shared" si="3"/>
        <v>95.95917907778113</v>
      </c>
      <c r="V4" s="1">
        <f t="shared" si="3"/>
        <v>95.95917907778113</v>
      </c>
      <c r="X4" s="9" t="s">
        <v>27</v>
      </c>
      <c r="Y4" s="2">
        <v>7149</v>
      </c>
      <c r="Z4" s="2">
        <v>3614</v>
      </c>
      <c r="AA4" s="2">
        <v>963.4</v>
      </c>
      <c r="AB4" s="2">
        <v>0</v>
      </c>
      <c r="AC4" s="2">
        <v>2572</v>
      </c>
      <c r="AD4" s="1"/>
      <c r="AE4" s="1"/>
      <c r="AF4" t="s">
        <v>43</v>
      </c>
      <c r="AG4" t="s">
        <v>44</v>
      </c>
      <c r="AH4" s="1" t="s">
        <v>45</v>
      </c>
      <c r="AI4" s="1" t="s">
        <v>46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B5" s="7">
        <v>6.8280000000000003</v>
      </c>
      <c r="C5" s="8">
        <v>1.2409999999999999E-10</v>
      </c>
      <c r="D5" s="8">
        <v>1.2409999999999999E-10</v>
      </c>
      <c r="E5" s="8">
        <v>1.2409999999999999E-10</v>
      </c>
      <c r="F5" s="8">
        <v>2.9809999999999999E-12</v>
      </c>
      <c r="G5" s="8">
        <v>2.0493999999999999E-17</v>
      </c>
      <c r="H5" s="8">
        <v>3.7076999999999999E-13</v>
      </c>
      <c r="I5" s="8">
        <v>1.6593000000000001E-14</v>
      </c>
      <c r="J5" s="8"/>
      <c r="K5" s="1"/>
      <c r="L5" s="1"/>
      <c r="N5" s="7"/>
      <c r="O5">
        <f t="shared" si="4"/>
        <v>0.1138</v>
      </c>
      <c r="P5" s="6">
        <f t="shared" si="5"/>
        <v>98.381415896855344</v>
      </c>
      <c r="Q5" s="6">
        <f t="shared" si="0"/>
        <v>2.5869307299729307</v>
      </c>
      <c r="R5" s="6">
        <f t="shared" si="1"/>
        <v>1.2822466386661647E-2</v>
      </c>
      <c r="S5" s="5">
        <f t="shared" si="2"/>
        <v>0</v>
      </c>
      <c r="T5" s="6">
        <f t="shared" si="3"/>
        <v>95.781662700495758</v>
      </c>
      <c r="U5" s="1">
        <f t="shared" si="3"/>
        <v>95.781662700495758</v>
      </c>
      <c r="V5" s="1">
        <f t="shared" si="3"/>
        <v>95.781662700495758</v>
      </c>
      <c r="X5" s="9" t="s">
        <v>28</v>
      </c>
      <c r="Y5" s="2">
        <v>7149</v>
      </c>
      <c r="Z5" s="2">
        <v>3614</v>
      </c>
      <c r="AA5" s="2">
        <v>963.4</v>
      </c>
      <c r="AB5" s="2">
        <v>0</v>
      </c>
      <c r="AC5" s="2">
        <v>2572</v>
      </c>
      <c r="AD5" s="1"/>
      <c r="AE5" s="1"/>
      <c r="AF5" s="41" t="s">
        <v>60</v>
      </c>
      <c r="AG5" s="41" t="s">
        <v>98</v>
      </c>
      <c r="AH5" s="41" t="s">
        <v>98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B6" s="7">
        <v>9.9</v>
      </c>
      <c r="C6" s="8">
        <v>1.2386E-10</v>
      </c>
      <c r="D6" s="8">
        <v>1.2386E-10</v>
      </c>
      <c r="E6" s="8">
        <v>1.2386E-10</v>
      </c>
      <c r="F6" s="8">
        <v>3.0010999999999998E-12</v>
      </c>
      <c r="G6" s="8">
        <v>2.4156999999999999E-17</v>
      </c>
      <c r="H6" s="8">
        <v>4.8499000000000004E-13</v>
      </c>
      <c r="I6" s="8">
        <v>2.3860999999999999E-14</v>
      </c>
      <c r="J6" s="8"/>
      <c r="K6" s="1"/>
      <c r="L6" s="1"/>
      <c r="N6" s="7"/>
      <c r="O6">
        <f t="shared" si="4"/>
        <v>0.16500000000000001</v>
      </c>
      <c r="P6" s="6">
        <f t="shared" si="5"/>
        <v>98.305463325207882</v>
      </c>
      <c r="Q6" s="6">
        <f t="shared" si="0"/>
        <v>2.6906002943075844</v>
      </c>
      <c r="R6" s="6">
        <f t="shared" si="1"/>
        <v>1.8434811050140089E-2</v>
      </c>
      <c r="S6" s="5">
        <f t="shared" si="2"/>
        <v>0</v>
      </c>
      <c r="T6" s="6">
        <f t="shared" si="3"/>
        <v>95.596428219850154</v>
      </c>
      <c r="U6" s="1">
        <f t="shared" si="3"/>
        <v>95.596428219850154</v>
      </c>
      <c r="V6" s="1">
        <f t="shared" si="3"/>
        <v>95.596428219850154</v>
      </c>
      <c r="X6" s="9" t="s">
        <v>29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36" t="s">
        <v>18</v>
      </c>
      <c r="AG6" s="38">
        <v>0.1</v>
      </c>
      <c r="AH6" s="39">
        <v>0.1</v>
      </c>
      <c r="AI6" s="1" t="s">
        <v>47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B7" s="7">
        <v>11.948</v>
      </c>
      <c r="C7" s="8">
        <v>1.2373E-10</v>
      </c>
      <c r="D7" s="8">
        <v>1.2373E-10</v>
      </c>
      <c r="E7" s="8">
        <v>1.2373E-10</v>
      </c>
      <c r="F7" s="8">
        <v>3.0082E-12</v>
      </c>
      <c r="G7" s="8">
        <v>2.8791999999999999E-17</v>
      </c>
      <c r="H7" s="8">
        <v>6.0010000000000004E-13</v>
      </c>
      <c r="I7" s="8">
        <v>3.2539000000000003E-14</v>
      </c>
      <c r="J7" s="8"/>
      <c r="K7" s="1"/>
      <c r="L7" s="1"/>
      <c r="N7" s="7"/>
      <c r="O7">
        <f t="shared" si="4"/>
        <v>0.19913333333333333</v>
      </c>
      <c r="P7" s="6">
        <f t="shared" si="5"/>
        <v>98.306152270127171</v>
      </c>
      <c r="Q7" s="6">
        <f t="shared" si="0"/>
        <v>2.7849232354729967</v>
      </c>
      <c r="R7" s="6">
        <f t="shared" si="1"/>
        <v>2.5136158487058052E-2</v>
      </c>
      <c r="S7" s="5">
        <f t="shared" si="2"/>
        <v>0</v>
      </c>
      <c r="T7" s="6">
        <f t="shared" si="3"/>
        <v>95.496092876167125</v>
      </c>
      <c r="U7" s="1">
        <f t="shared" si="3"/>
        <v>95.496092876167125</v>
      </c>
      <c r="V7" s="1">
        <f t="shared" si="3"/>
        <v>95.496092876167125</v>
      </c>
      <c r="X7" s="9"/>
      <c r="Y7" s="2"/>
      <c r="Z7" s="2"/>
      <c r="AA7" s="2"/>
      <c r="AB7" s="2"/>
      <c r="AC7" s="2"/>
      <c r="AD7" s="1"/>
      <c r="AE7" s="1"/>
      <c r="AF7" t="s">
        <v>48</v>
      </c>
      <c r="AG7" t="s">
        <v>94</v>
      </c>
      <c r="AH7" s="1" t="s">
        <v>95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B8" s="7">
        <v>13.996</v>
      </c>
      <c r="C8" s="8">
        <v>1.2359999999999999E-10</v>
      </c>
      <c r="D8" s="8">
        <v>1.2359999999999999E-10</v>
      </c>
      <c r="E8" s="8">
        <v>1.2359999999999999E-10</v>
      </c>
      <c r="F8" s="8">
        <v>3.0085999999999999E-12</v>
      </c>
      <c r="G8" s="8">
        <v>3.3791000000000001E-17</v>
      </c>
      <c r="H8" s="8">
        <v>7.1561000000000002E-13</v>
      </c>
      <c r="I8" s="8">
        <v>4.2739E-14</v>
      </c>
      <c r="J8" s="8"/>
      <c r="K8" s="1"/>
      <c r="L8" s="1"/>
      <c r="M8" s="4"/>
      <c r="N8" s="7"/>
      <c r="O8">
        <f t="shared" si="4"/>
        <v>0.23326666666666668</v>
      </c>
      <c r="P8" s="6">
        <f t="shared" si="5"/>
        <v>98.303153786199914</v>
      </c>
      <c r="Q8" s="6">
        <f t="shared" si="0"/>
        <v>2.8743837715214613</v>
      </c>
      <c r="R8" s="6">
        <f t="shared" si="1"/>
        <v>3.3012482194365846E-2</v>
      </c>
      <c r="S8" s="5">
        <f t="shared" si="2"/>
        <v>0</v>
      </c>
      <c r="T8" s="6">
        <f t="shared" si="3"/>
        <v>95.395757532484097</v>
      </c>
      <c r="U8" s="1">
        <f t="shared" si="3"/>
        <v>95.395757532484097</v>
      </c>
      <c r="V8" s="1">
        <f t="shared" si="3"/>
        <v>95.395757532484097</v>
      </c>
      <c r="X8" s="9"/>
      <c r="Y8" s="2">
        <f>Y4/$Y$4*100</f>
        <v>100</v>
      </c>
      <c r="Z8" s="10">
        <f>Z4/$Y$4*100</f>
        <v>50.552524828647364</v>
      </c>
      <c r="AA8" s="10">
        <f>AA4/$Y$4*100</f>
        <v>13.476010630857463</v>
      </c>
      <c r="AB8" s="10">
        <f>AB4/$Y$4*100</f>
        <v>0</v>
      </c>
      <c r="AC8" s="10">
        <f>AC4/$Y$4*100</f>
        <v>35.977059728633378</v>
      </c>
      <c r="AD8" s="1"/>
      <c r="AE8" s="1"/>
      <c r="AF8" s="1" t="s">
        <v>20</v>
      </c>
      <c r="AG8" s="1">
        <v>0</v>
      </c>
      <c r="AH8" s="1">
        <v>0</v>
      </c>
      <c r="AI8" s="1" t="s">
        <v>49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>
      <c r="B9" s="7">
        <v>16.044</v>
      </c>
      <c r="C9" s="8">
        <v>1.2346999999999999E-10</v>
      </c>
      <c r="D9" s="8">
        <v>1.2346999999999999E-10</v>
      </c>
      <c r="E9" s="8">
        <v>1.2346999999999999E-10</v>
      </c>
      <c r="F9" s="8">
        <v>3.0065000000000002E-12</v>
      </c>
      <c r="G9" s="8">
        <v>3.8258000000000001E-17</v>
      </c>
      <c r="H9" s="8">
        <v>8.3128999999999998E-13</v>
      </c>
      <c r="I9" s="8">
        <v>5.4506999999999997E-14</v>
      </c>
      <c r="J9" s="8"/>
      <c r="K9" s="1"/>
      <c r="L9" s="1"/>
      <c r="N9" s="7"/>
      <c r="O9">
        <f t="shared" si="4"/>
        <v>0.26740000000000003</v>
      </c>
      <c r="P9" s="6">
        <f t="shared" si="5"/>
        <v>98.299566772193501</v>
      </c>
      <c r="Q9" s="6">
        <f t="shared" si="0"/>
        <v>2.9620459894869917</v>
      </c>
      <c r="R9" s="6">
        <f t="shared" si="1"/>
        <v>4.2098593905459447E-2</v>
      </c>
      <c r="S9" s="5">
        <f t="shared" si="2"/>
        <v>0</v>
      </c>
      <c r="T9" s="6">
        <f t="shared" si="3"/>
        <v>95.295422188801055</v>
      </c>
      <c r="U9" s="1">
        <f t="shared" si="3"/>
        <v>95.295422188801055</v>
      </c>
      <c r="V9" s="1">
        <f t="shared" si="3"/>
        <v>95.295422188801055</v>
      </c>
      <c r="X9" s="9"/>
      <c r="Y9" s="2"/>
      <c r="Z9" s="2"/>
      <c r="AA9" s="2"/>
      <c r="AB9" s="2"/>
      <c r="AC9" s="2"/>
      <c r="AD9" s="1"/>
      <c r="AE9" s="1"/>
      <c r="AF9" s="1" t="s">
        <v>22</v>
      </c>
      <c r="AG9" s="1">
        <v>0</v>
      </c>
      <c r="AH9" s="1">
        <v>0</v>
      </c>
      <c r="AI9" s="1" t="s">
        <v>50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8" thickBot="1">
      <c r="B10" s="7">
        <v>20.14</v>
      </c>
      <c r="C10" s="8">
        <v>1.2321999999999999E-10</v>
      </c>
      <c r="D10" s="8">
        <v>1.2321999999999999E-10</v>
      </c>
      <c r="E10" s="8">
        <v>1.2321999999999999E-10</v>
      </c>
      <c r="F10" s="8">
        <v>3.0005E-12</v>
      </c>
      <c r="G10" s="8">
        <v>4.6374000000000003E-17</v>
      </c>
      <c r="H10" s="8">
        <v>1.0628000000000001E-12</v>
      </c>
      <c r="I10" s="8">
        <v>8.2694999999999995E-14</v>
      </c>
      <c r="J10" s="8"/>
      <c r="K10" s="1"/>
      <c r="L10" s="1"/>
      <c r="N10" s="7"/>
      <c r="O10">
        <f t="shared" si="4"/>
        <v>0.33566666666666667</v>
      </c>
      <c r="P10" s="6">
        <f t="shared" si="5"/>
        <v>98.302427190828809</v>
      </c>
      <c r="Q10" s="6">
        <f t="shared" si="0"/>
        <v>3.1360969383636137</v>
      </c>
      <c r="R10" s="6">
        <f t="shared" si="1"/>
        <v>6.3860647669972348E-2</v>
      </c>
      <c r="S10" s="5">
        <f t="shared" si="2"/>
        <v>0</v>
      </c>
      <c r="T10" s="6">
        <f t="shared" si="3"/>
        <v>95.102469604795218</v>
      </c>
      <c r="U10" s="1">
        <f t="shared" si="3"/>
        <v>95.102469604795218</v>
      </c>
      <c r="V10" s="1">
        <f t="shared" si="3"/>
        <v>95.102469604795218</v>
      </c>
      <c r="X10" s="9"/>
      <c r="Y10" s="2"/>
      <c r="Z10" s="2"/>
      <c r="AA10" s="2"/>
      <c r="AB10" s="2"/>
      <c r="AC10" s="2"/>
      <c r="AD10" s="1"/>
      <c r="AE10" s="1"/>
      <c r="AF10" s="1" t="s">
        <v>24</v>
      </c>
      <c r="AG10" s="1">
        <v>0</v>
      </c>
      <c r="AH10" s="1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>
      <c r="B11" s="7">
        <v>24.236000000000001</v>
      </c>
      <c r="C11" s="8">
        <v>1.2296000000000001E-10</v>
      </c>
      <c r="D11" s="8">
        <v>1.2296000000000001E-10</v>
      </c>
      <c r="E11" s="8">
        <v>1.2296000000000001E-10</v>
      </c>
      <c r="F11" s="8">
        <v>2.9931999999999998E-12</v>
      </c>
      <c r="G11" s="8">
        <v>5.4957000000000001E-17</v>
      </c>
      <c r="H11" s="8">
        <v>1.2942000000000001E-12</v>
      </c>
      <c r="I11" s="8">
        <v>1.1675000000000001E-13</v>
      </c>
      <c r="J11" s="8"/>
      <c r="K11" s="1"/>
      <c r="L11" s="1"/>
      <c r="N11" s="7"/>
      <c r="O11">
        <f t="shared" si="4"/>
        <v>0.40393333333333337</v>
      </c>
      <c r="P11" s="6">
        <f t="shared" si="5"/>
        <v>98.301009825206961</v>
      </c>
      <c r="Q11" s="6">
        <f t="shared" si="0"/>
        <v>3.3090596346664425</v>
      </c>
      <c r="R11" s="6">
        <f t="shared" si="1"/>
        <v>9.0151273111361091E-2</v>
      </c>
      <c r="S11" s="5">
        <f t="shared" si="2"/>
        <v>0</v>
      </c>
      <c r="T11" s="6">
        <f t="shared" si="3"/>
        <v>94.901798917429176</v>
      </c>
      <c r="U11" s="1">
        <f t="shared" si="3"/>
        <v>94.901798917429176</v>
      </c>
      <c r="V11" s="1">
        <f t="shared" si="3"/>
        <v>94.901798917429176</v>
      </c>
      <c r="X11" s="9"/>
      <c r="Y11" s="2"/>
      <c r="Z11" s="2"/>
      <c r="AA11" s="16"/>
      <c r="AB11" s="11" t="s">
        <v>33</v>
      </c>
      <c r="AC11" s="2"/>
      <c r="AD11" s="1"/>
      <c r="AE11" s="1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B12" s="7">
        <v>28.332000000000001</v>
      </c>
      <c r="C12" s="8">
        <v>1.227E-10</v>
      </c>
      <c r="D12" s="8">
        <v>1.227E-10</v>
      </c>
      <c r="E12" s="8">
        <v>1.227E-10</v>
      </c>
      <c r="F12" s="8">
        <v>2.9858000000000001E-12</v>
      </c>
      <c r="G12" s="8">
        <v>6.2713999999999995E-17</v>
      </c>
      <c r="H12" s="8">
        <v>1.5254999999999999E-12</v>
      </c>
      <c r="I12" s="8">
        <v>1.5602E-13</v>
      </c>
      <c r="J12" s="8"/>
      <c r="K12" s="1"/>
      <c r="L12" s="1"/>
      <c r="N12" s="7"/>
      <c r="O12">
        <f t="shared" si="4"/>
        <v>0.47220000000000001</v>
      </c>
      <c r="P12" s="6">
        <f t="shared" si="5"/>
        <v>98.303462450904931</v>
      </c>
      <c r="Q12" s="6">
        <f t="shared" si="0"/>
        <v>3.4818679689020673</v>
      </c>
      <c r="R12" s="6">
        <f t="shared" si="1"/>
        <v>0.12046625193977396</v>
      </c>
      <c r="S12" s="5">
        <f t="shared" si="2"/>
        <v>0</v>
      </c>
      <c r="T12" s="6">
        <f t="shared" si="3"/>
        <v>94.701128230063091</v>
      </c>
      <c r="U12" s="1">
        <f t="shared" si="3"/>
        <v>94.701128230063091</v>
      </c>
      <c r="V12" s="1">
        <f t="shared" si="3"/>
        <v>94.701128230063091</v>
      </c>
      <c r="X12" s="9"/>
      <c r="Y12" s="2"/>
      <c r="Z12" s="2"/>
      <c r="AA12" s="12" t="s">
        <v>32</v>
      </c>
      <c r="AB12" s="17">
        <f>AC8</f>
        <v>35.977059728633378</v>
      </c>
      <c r="AC12" s="2"/>
      <c r="AD12" s="1"/>
      <c r="AE12" s="1"/>
      <c r="AF12" s="1" t="s">
        <v>51</v>
      </c>
      <c r="AG12" s="1" t="s">
        <v>52</v>
      </c>
      <c r="AH12" s="1" t="s">
        <v>53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>
      <c r="B13" s="7">
        <v>32.427999999999997</v>
      </c>
      <c r="C13" s="8">
        <v>1.2243000000000001E-10</v>
      </c>
      <c r="D13" s="8">
        <v>1.2243000000000001E-10</v>
      </c>
      <c r="E13" s="8">
        <v>1.2243000000000001E-10</v>
      </c>
      <c r="F13" s="8">
        <v>2.9712000000000001E-12</v>
      </c>
      <c r="G13" s="8">
        <v>7.2725000000000001E-17</v>
      </c>
      <c r="H13" s="8">
        <v>1.9871999999999999E-12</v>
      </c>
      <c r="I13" s="8">
        <v>2.4676E-13</v>
      </c>
      <c r="J13" s="8"/>
      <c r="K13" s="1"/>
      <c r="L13" s="1"/>
      <c r="N13" s="7"/>
      <c r="O13">
        <f t="shared" si="4"/>
        <v>0.54046666666666665</v>
      </c>
      <c r="P13" s="6">
        <f t="shared" si="5"/>
        <v>98.510191857898704</v>
      </c>
      <c r="Q13" s="6">
        <f t="shared" si="0"/>
        <v>3.8269443701381003</v>
      </c>
      <c r="R13" s="6">
        <f t="shared" si="1"/>
        <v>0.1905080484238052</v>
      </c>
      <c r="S13" s="5">
        <f t="shared" si="2"/>
        <v>0</v>
      </c>
      <c r="T13" s="6">
        <f t="shared" si="3"/>
        <v>94.492739439336802</v>
      </c>
      <c r="U13" s="1">
        <f t="shared" si="3"/>
        <v>94.492739439336802</v>
      </c>
      <c r="V13" s="1">
        <f t="shared" si="3"/>
        <v>94.492739439336802</v>
      </c>
      <c r="X13" s="9"/>
      <c r="Y13" s="2"/>
      <c r="Z13" s="2"/>
      <c r="AA13" s="13" t="s">
        <v>31</v>
      </c>
      <c r="AB13" s="18">
        <f>AA8</f>
        <v>13.476010630857463</v>
      </c>
      <c r="AC13" s="2"/>
      <c r="AD13" s="1"/>
      <c r="AE13" s="1"/>
      <c r="AF13" s="1" t="s">
        <v>54</v>
      </c>
      <c r="AG13" s="1" t="s">
        <v>55</v>
      </c>
      <c r="AH13" s="1" t="s">
        <v>56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>
      <c r="B14" s="7">
        <v>40.619999999999997</v>
      </c>
      <c r="C14" s="8">
        <v>1.2189000000000001E-10</v>
      </c>
      <c r="D14" s="8">
        <v>1.2189000000000001E-10</v>
      </c>
      <c r="E14" s="8">
        <v>1.2189000000000001E-10</v>
      </c>
      <c r="F14" s="8">
        <v>2.9571E-12</v>
      </c>
      <c r="G14" s="8">
        <v>7.8535999999999996E-17</v>
      </c>
      <c r="H14" s="8">
        <v>2.4474999999999998E-12</v>
      </c>
      <c r="I14" s="8">
        <v>3.4987E-13</v>
      </c>
      <c r="J14" s="8"/>
      <c r="K14" s="1"/>
      <c r="L14" s="1"/>
      <c r="N14" s="7"/>
      <c r="O14">
        <f t="shared" si="4"/>
        <v>0.67699999999999994</v>
      </c>
      <c r="P14" s="6">
        <f t="shared" si="5"/>
        <v>98.517381897116948</v>
      </c>
      <c r="Q14" s="6">
        <f t="shared" si="0"/>
        <v>4.1713261420717114</v>
      </c>
      <c r="R14" s="6">
        <f t="shared" si="1"/>
        <v>0.27009389716103382</v>
      </c>
      <c r="S14" s="5">
        <f t="shared" si="2"/>
        <v>0</v>
      </c>
      <c r="T14" s="6">
        <f t="shared" si="3"/>
        <v>94.075961857884195</v>
      </c>
      <c r="U14" s="1">
        <f t="shared" si="3"/>
        <v>94.075961857884195</v>
      </c>
      <c r="V14" s="1">
        <f t="shared" si="3"/>
        <v>94.075961857884195</v>
      </c>
      <c r="X14" s="9"/>
      <c r="Y14" s="2"/>
      <c r="Z14" s="2"/>
      <c r="AA14" s="14" t="s">
        <v>30</v>
      </c>
      <c r="AB14" s="19">
        <f>Z8</f>
        <v>50.552524828647364</v>
      </c>
      <c r="AC14" s="2"/>
      <c r="AD14" s="1"/>
      <c r="AE14" s="1"/>
      <c r="AF14" s="1" t="s">
        <v>57</v>
      </c>
      <c r="AG14" s="1" t="s">
        <v>58</v>
      </c>
      <c r="AH14" s="1" t="s">
        <v>59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8" thickBot="1">
      <c r="B15" s="7">
        <v>48.811999999999998</v>
      </c>
      <c r="C15" s="8">
        <v>1.2133999999999999E-10</v>
      </c>
      <c r="D15" s="8">
        <v>1.2133999999999999E-10</v>
      </c>
      <c r="E15" s="8">
        <v>1.2133999999999999E-10</v>
      </c>
      <c r="F15" s="8">
        <v>2.9430999999999998E-12</v>
      </c>
      <c r="G15" s="8">
        <v>8.3958999999999995E-17</v>
      </c>
      <c r="H15" s="8">
        <v>2.9062999999999998E-12</v>
      </c>
      <c r="I15" s="8">
        <v>4.6110000000000002E-13</v>
      </c>
      <c r="J15" s="8"/>
      <c r="K15" s="1"/>
      <c r="L15" s="1"/>
      <c r="N15" s="7"/>
      <c r="O15">
        <f t="shared" si="4"/>
        <v>0.81353333333333333</v>
      </c>
      <c r="P15" s="6">
        <f t="shared" si="5"/>
        <v>98.522040098970592</v>
      </c>
      <c r="Q15" s="6">
        <f t="shared" si="0"/>
        <v>4.5146273795348906</v>
      </c>
      <c r="R15" s="6">
        <f t="shared" si="1"/>
        <v>0.35594654636436157</v>
      </c>
      <c r="S15" s="5">
        <f t="shared" si="2"/>
        <v>0</v>
      </c>
      <c r="T15" s="6">
        <f t="shared" si="3"/>
        <v>93.651466173071356</v>
      </c>
      <c r="U15" s="1">
        <f t="shared" si="3"/>
        <v>93.651466173071356</v>
      </c>
      <c r="V15" s="1">
        <f t="shared" si="3"/>
        <v>93.651466173071356</v>
      </c>
      <c r="X15" s="1"/>
      <c r="Y15" s="5"/>
      <c r="Z15" s="1"/>
      <c r="AA15" s="15" t="s">
        <v>11</v>
      </c>
      <c r="AB15" s="20">
        <f>AB8</f>
        <v>0</v>
      </c>
      <c r="AC15" s="1"/>
      <c r="AD15" s="1"/>
      <c r="AE15" s="1"/>
      <c r="AF15" s="1" t="s">
        <v>19</v>
      </c>
      <c r="AG15" s="1">
        <v>0.1</v>
      </c>
      <c r="AH15" s="1">
        <v>0.1</v>
      </c>
      <c r="AI15" s="1" t="s">
        <v>47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>
      <c r="B16" s="7">
        <v>57.003999999999998</v>
      </c>
      <c r="C16" s="8">
        <v>1.2078E-10</v>
      </c>
      <c r="D16" s="8">
        <v>1.2078E-10</v>
      </c>
      <c r="E16" s="8">
        <v>1.2078E-10</v>
      </c>
      <c r="F16" s="8">
        <v>2.9292000000000001E-12</v>
      </c>
      <c r="G16" s="8">
        <v>8.7823999999999997E-17</v>
      </c>
      <c r="H16" s="8">
        <v>3.3634E-12</v>
      </c>
      <c r="I16" s="8">
        <v>5.7749E-13</v>
      </c>
      <c r="J16" s="8"/>
      <c r="K16" s="1"/>
      <c r="L16" s="1"/>
      <c r="N16" s="7"/>
      <c r="O16">
        <f t="shared" si="4"/>
        <v>0.95006666666666661</v>
      </c>
      <c r="P16" s="6">
        <f t="shared" si="5"/>
        <v>98.521726639779786</v>
      </c>
      <c r="Q16" s="6">
        <f t="shared" si="0"/>
        <v>4.8566937204604326</v>
      </c>
      <c r="R16" s="6">
        <f t="shared" si="1"/>
        <v>0.44578053442106613</v>
      </c>
      <c r="S16" s="5">
        <f t="shared" si="2"/>
        <v>0</v>
      </c>
      <c r="T16" s="6">
        <f t="shared" si="3"/>
        <v>93.219252384898283</v>
      </c>
      <c r="U16" s="1">
        <f t="shared" si="3"/>
        <v>93.219252384898283</v>
      </c>
      <c r="V16" s="1">
        <f t="shared" si="3"/>
        <v>93.219252384898283</v>
      </c>
      <c r="X16" s="1"/>
      <c r="AD16" s="1"/>
      <c r="AE16" s="1"/>
      <c r="AF16" s="1" t="s">
        <v>63</v>
      </c>
      <c r="AG16" s="1" t="s">
        <v>64</v>
      </c>
      <c r="AH16" s="1" t="s">
        <v>65</v>
      </c>
      <c r="AI16" s="1" t="s">
        <v>66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>
      <c r="B17" s="7">
        <v>65.195999999999998</v>
      </c>
      <c r="C17" s="8">
        <v>1.2023000000000001E-10</v>
      </c>
      <c r="D17" s="8">
        <v>1.2023000000000001E-10</v>
      </c>
      <c r="E17" s="8">
        <v>1.2023000000000001E-10</v>
      </c>
      <c r="F17" s="8">
        <v>2.9153999999999999E-12</v>
      </c>
      <c r="G17" s="8">
        <v>8.9439E-17</v>
      </c>
      <c r="H17" s="8">
        <v>3.8187000000000003E-12</v>
      </c>
      <c r="I17" s="8">
        <v>6.9705000000000004E-13</v>
      </c>
      <c r="J17" s="8"/>
      <c r="K17" s="1"/>
      <c r="L17" s="1"/>
      <c r="N17" s="7"/>
      <c r="O17">
        <f t="shared" si="4"/>
        <v>1.0866</v>
      </c>
      <c r="P17" s="6">
        <f t="shared" si="5"/>
        <v>98.530264108569895</v>
      </c>
      <c r="Q17" s="6">
        <f t="shared" si="0"/>
        <v>5.1974479838147349</v>
      </c>
      <c r="R17" s="6">
        <f t="shared" si="1"/>
        <v>0.53805942466970857</v>
      </c>
      <c r="S17" s="5">
        <f t="shared" si="2"/>
        <v>0</v>
      </c>
      <c r="T17" s="6">
        <f t="shared" si="3"/>
        <v>92.794756700085472</v>
      </c>
      <c r="U17" s="1">
        <f t="shared" si="3"/>
        <v>92.794756700085472</v>
      </c>
      <c r="V17" s="1">
        <f t="shared" si="3"/>
        <v>92.794756700085472</v>
      </c>
      <c r="X17" s="5"/>
      <c r="Y17" s="5"/>
      <c r="Z17" s="5"/>
      <c r="AA17" s="5"/>
      <c r="AB17" s="5"/>
      <c r="AC17" s="1"/>
      <c r="AD17" s="5"/>
      <c r="AE17" s="5"/>
      <c r="AF17" s="1" t="s">
        <v>67</v>
      </c>
      <c r="AG17" s="1">
        <v>0.7</v>
      </c>
      <c r="AH17" s="1">
        <v>0.7</v>
      </c>
      <c r="AI17" s="1" t="s">
        <v>68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>
      <c r="B18" s="7">
        <v>73.388000000000005</v>
      </c>
      <c r="C18" s="8">
        <v>1.1967000000000001E-10</v>
      </c>
      <c r="D18" s="8">
        <v>1.1967000000000001E-10</v>
      </c>
      <c r="E18" s="8">
        <v>1.1967000000000001E-10</v>
      </c>
      <c r="F18" s="8">
        <v>2.9017E-12</v>
      </c>
      <c r="G18" s="8">
        <v>9.0495000000000004E-17</v>
      </c>
      <c r="H18" s="8">
        <v>4.2720999999999999E-12</v>
      </c>
      <c r="I18" s="8">
        <v>8.1843999999999999E-13</v>
      </c>
      <c r="J18" s="8"/>
      <c r="K18" s="1"/>
      <c r="L18" s="1"/>
      <c r="N18" s="7"/>
      <c r="O18">
        <f t="shared" si="4"/>
        <v>1.2231333333333334</v>
      </c>
      <c r="P18" s="6">
        <f t="shared" si="5"/>
        <v>98.531106196867896</v>
      </c>
      <c r="Q18" s="6">
        <f t="shared" si="0"/>
        <v>5.5368129885641943</v>
      </c>
      <c r="R18" s="6">
        <f t="shared" si="1"/>
        <v>0.63175029639129598</v>
      </c>
      <c r="S18" s="5">
        <f t="shared" si="2"/>
        <v>0</v>
      </c>
      <c r="T18" s="6">
        <f t="shared" ref="T18:V81" si="6">C18/$A$1*100</f>
        <v>92.362542911912399</v>
      </c>
      <c r="U18" s="1">
        <f t="shared" si="6"/>
        <v>92.362542911912399</v>
      </c>
      <c r="V18" s="1">
        <f t="shared" si="6"/>
        <v>92.362542911912399</v>
      </c>
      <c r="X18" s="5"/>
      <c r="Y18" s="5"/>
      <c r="Z18" s="5"/>
      <c r="AA18" s="5"/>
      <c r="AB18" s="5"/>
      <c r="AC18" s="1"/>
      <c r="AD18" s="5"/>
      <c r="AE18" s="5"/>
      <c r="AF18" t="s">
        <v>69</v>
      </c>
      <c r="AG18" s="1" t="s">
        <v>70</v>
      </c>
      <c r="AH18" s="1" t="s">
        <v>71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>
      <c r="B19" s="7">
        <v>81.58</v>
      </c>
      <c r="C19" s="8">
        <v>1.1910999999999999E-10</v>
      </c>
      <c r="D19" s="8">
        <v>1.1910999999999999E-10</v>
      </c>
      <c r="E19" s="8">
        <v>1.1910999999999999E-10</v>
      </c>
      <c r="F19" s="8">
        <v>2.8743999999999999E-12</v>
      </c>
      <c r="G19" s="8">
        <v>8.9223E-17</v>
      </c>
      <c r="H19" s="8">
        <v>5.1731999999999998E-12</v>
      </c>
      <c r="I19" s="8">
        <v>1.0634000000000001E-12</v>
      </c>
      <c r="J19" s="8"/>
      <c r="K19" s="1"/>
      <c r="L19" s="1"/>
      <c r="N19" s="7"/>
      <c r="O19">
        <f t="shared" si="4"/>
        <v>1.3596666666666666</v>
      </c>
      <c r="P19" s="6">
        <f t="shared" si="5"/>
        <v>98.962361958481509</v>
      </c>
      <c r="Q19" s="6">
        <f t="shared" si="0"/>
        <v>6.2112208601813839</v>
      </c>
      <c r="R19" s="6">
        <f t="shared" si="1"/>
        <v>0.82081197456082466</v>
      </c>
      <c r="S19" s="5">
        <f t="shared" si="2"/>
        <v>0</v>
      </c>
      <c r="T19" s="6">
        <f t="shared" si="6"/>
        <v>91.930329123739313</v>
      </c>
      <c r="U19" s="1">
        <f t="shared" si="6"/>
        <v>91.930329123739313</v>
      </c>
      <c r="V19" s="1">
        <f t="shared" si="6"/>
        <v>91.930329123739313</v>
      </c>
      <c r="X19" s="5"/>
      <c r="Y19" s="5"/>
      <c r="Z19" s="5"/>
      <c r="AA19" s="5"/>
      <c r="AB19" s="5"/>
      <c r="AC19" s="1"/>
      <c r="AD19" s="5"/>
      <c r="AE19" s="5"/>
      <c r="AF19" t="s">
        <v>72</v>
      </c>
      <c r="AG19" s="1" t="s">
        <v>73</v>
      </c>
      <c r="AH19" s="1" t="s">
        <v>74</v>
      </c>
      <c r="AI19" s="1" t="s">
        <v>75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>
      <c r="B20" s="7">
        <v>97.963999999999999</v>
      </c>
      <c r="C20" s="8">
        <v>1.1799E-10</v>
      </c>
      <c r="D20" s="8">
        <v>1.1799E-10</v>
      </c>
      <c r="E20" s="8">
        <v>1.1799E-10</v>
      </c>
      <c r="F20" s="8">
        <v>2.8475000000000001E-12</v>
      </c>
      <c r="G20" s="8">
        <v>8.7825000000000002E-17</v>
      </c>
      <c r="H20" s="8">
        <v>6.0662999999999997E-12</v>
      </c>
      <c r="I20" s="8">
        <v>1.309E-12</v>
      </c>
      <c r="J20" s="8"/>
      <c r="K20" s="1"/>
      <c r="L20" s="1"/>
      <c r="N20" s="7"/>
      <c r="O20">
        <f t="shared" si="4"/>
        <v>1.6327333333333334</v>
      </c>
      <c r="P20" s="6">
        <f t="shared" si="5"/>
        <v>98.956032034735287</v>
      </c>
      <c r="Q20" s="6">
        <f t="shared" si="0"/>
        <v>6.8797629732447945</v>
      </c>
      <c r="R20" s="6">
        <f t="shared" si="1"/>
        <v>1.0103675140973056</v>
      </c>
      <c r="S20" s="5">
        <f t="shared" si="2"/>
        <v>0</v>
      </c>
      <c r="T20" s="6">
        <f t="shared" si="6"/>
        <v>91.065901547393196</v>
      </c>
      <c r="U20" s="1">
        <f t="shared" si="6"/>
        <v>91.065901547393196</v>
      </c>
      <c r="V20" s="1">
        <f t="shared" si="6"/>
        <v>91.065901547393196</v>
      </c>
      <c r="X20" s="5"/>
      <c r="Y20" s="5"/>
      <c r="Z20" s="5"/>
      <c r="AA20" s="5"/>
      <c r="AB20" s="5"/>
      <c r="AC20" s="1"/>
      <c r="AD20" s="5"/>
      <c r="AE20" s="5"/>
      <c r="AF20" t="s">
        <v>76</v>
      </c>
      <c r="AG20" s="1" t="s">
        <v>77</v>
      </c>
      <c r="AH20" s="1" t="s">
        <v>78</v>
      </c>
      <c r="AI20" s="1" t="s">
        <v>79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>
      <c r="B21" s="7">
        <v>114.35</v>
      </c>
      <c r="C21" s="8">
        <v>1.1687999999999999E-10</v>
      </c>
      <c r="D21" s="8">
        <v>1.1687999999999999E-10</v>
      </c>
      <c r="E21" s="8">
        <v>1.1687999999999999E-10</v>
      </c>
      <c r="F21" s="8">
        <v>2.8207999999999999E-12</v>
      </c>
      <c r="G21" s="8">
        <v>8.8957999999999998E-17</v>
      </c>
      <c r="H21" s="8">
        <v>6.9513000000000001E-12</v>
      </c>
      <c r="I21" s="8">
        <v>1.5534E-12</v>
      </c>
      <c r="J21" s="8"/>
      <c r="K21" s="1"/>
      <c r="L21" s="1"/>
      <c r="N21" s="7"/>
      <c r="O21">
        <f t="shared" si="4"/>
        <v>1.9058333333333333</v>
      </c>
      <c r="P21" s="6">
        <f t="shared" si="5"/>
        <v>98.950398693743409</v>
      </c>
      <c r="Q21" s="6">
        <f t="shared" si="0"/>
        <v>7.5422077846536233</v>
      </c>
      <c r="R21" s="6">
        <f t="shared" si="1"/>
        <v>1.1989988346825191</v>
      </c>
      <c r="S21" s="5">
        <f t="shared" si="2"/>
        <v>0</v>
      </c>
      <c r="T21" s="6">
        <f t="shared" si="6"/>
        <v>90.209192074407284</v>
      </c>
      <c r="U21" s="1">
        <f t="shared" si="6"/>
        <v>90.209192074407284</v>
      </c>
      <c r="V21" s="1">
        <f t="shared" si="6"/>
        <v>90.209192074407284</v>
      </c>
      <c r="X21" s="5"/>
      <c r="Y21" s="5"/>
      <c r="Z21" s="5"/>
      <c r="AA21" s="5"/>
      <c r="AB21" s="5"/>
      <c r="AC21" s="1"/>
      <c r="AD21" s="5"/>
      <c r="AE21" s="5"/>
      <c r="AF21" t="s">
        <v>80</v>
      </c>
      <c r="AG21" s="1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49"/>
      <c r="AW21" s="49"/>
      <c r="AX21" s="49"/>
      <c r="AY21" s="49"/>
      <c r="AZ21" s="49"/>
      <c r="BA21" s="49"/>
      <c r="BB21" s="49"/>
      <c r="BC21" s="49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>
      <c r="B22" s="7">
        <v>130.72999999999999</v>
      </c>
      <c r="C22" s="8">
        <v>1.1579E-10</v>
      </c>
      <c r="D22" s="8">
        <v>1.1579E-10</v>
      </c>
      <c r="E22" s="8">
        <v>1.1579E-10</v>
      </c>
      <c r="F22" s="8">
        <v>2.7942999999999999E-12</v>
      </c>
      <c r="G22" s="8">
        <v>8.9589E-17</v>
      </c>
      <c r="H22" s="8">
        <v>7.8281000000000005E-12</v>
      </c>
      <c r="I22" s="8">
        <v>1.7962999999999999E-12</v>
      </c>
      <c r="J22" s="8"/>
      <c r="K22" s="1"/>
      <c r="L22" s="1"/>
      <c r="N22" s="7"/>
      <c r="O22">
        <f t="shared" si="4"/>
        <v>2.178833333333333</v>
      </c>
      <c r="P22" s="6">
        <f t="shared" si="5"/>
        <v>98.952868973831016</v>
      </c>
      <c r="Q22" s="6">
        <f t="shared" si="0"/>
        <v>8.1984781133742644</v>
      </c>
      <c r="R22" s="6">
        <f t="shared" si="1"/>
        <v>1.386472052314909</v>
      </c>
      <c r="S22" s="5">
        <f t="shared" si="2"/>
        <v>0</v>
      </c>
      <c r="T22" s="6">
        <f t="shared" si="6"/>
        <v>89.367918808141852</v>
      </c>
      <c r="U22" s="1">
        <f t="shared" si="6"/>
        <v>89.367918808141852</v>
      </c>
      <c r="V22" s="1">
        <f t="shared" si="6"/>
        <v>89.367918808141852</v>
      </c>
      <c r="X22" s="5"/>
      <c r="Y22" s="5"/>
      <c r="Z22" s="5"/>
      <c r="AA22" s="5"/>
      <c r="AB22" s="5"/>
      <c r="AC22" s="1"/>
      <c r="AD22" s="5"/>
      <c r="AE22" s="5"/>
      <c r="AF22" s="1" t="s">
        <v>144</v>
      </c>
      <c r="AG22" s="1" t="s">
        <v>145</v>
      </c>
      <c r="AH22" s="1" t="s">
        <v>146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>
      <c r="B23" s="7">
        <v>163.5</v>
      </c>
      <c r="C23" s="8">
        <v>1.1362E-10</v>
      </c>
      <c r="D23" s="8">
        <v>1.1362E-10</v>
      </c>
      <c r="E23" s="8">
        <v>1.1362E-10</v>
      </c>
      <c r="F23" s="8">
        <v>2.7422000000000002E-12</v>
      </c>
      <c r="G23" s="8">
        <v>8.5077999999999997E-17</v>
      </c>
      <c r="H23" s="8">
        <v>9.5575E-12</v>
      </c>
      <c r="I23" s="8">
        <v>2.2754000000000002E-12</v>
      </c>
      <c r="J23" s="8"/>
      <c r="K23" s="1"/>
      <c r="L23" s="1"/>
      <c r="N23" s="7"/>
      <c r="O23">
        <f t="shared" si="4"/>
        <v>2.7250000000000001</v>
      </c>
      <c r="P23" s="6">
        <f t="shared" si="5"/>
        <v>98.942368871624694</v>
      </c>
      <c r="Q23" s="6">
        <f t="shared" si="0"/>
        <v>9.4930355899862029</v>
      </c>
      <c r="R23" s="6">
        <f t="shared" si="1"/>
        <v>1.756242902667263</v>
      </c>
      <c r="S23" s="5">
        <f t="shared" si="2"/>
        <v>0</v>
      </c>
      <c r="T23" s="6">
        <f t="shared" si="6"/>
        <v>87.693090378971235</v>
      </c>
      <c r="U23" s="1">
        <f t="shared" si="6"/>
        <v>87.693090378971235</v>
      </c>
      <c r="V23" s="1">
        <f t="shared" si="6"/>
        <v>87.693090378971235</v>
      </c>
      <c r="X23" s="5"/>
      <c r="Y23" s="5"/>
      <c r="Z23" s="5"/>
      <c r="AA23" s="5"/>
      <c r="AB23" s="5"/>
      <c r="AC23" s="1"/>
      <c r="AD23" s="5"/>
      <c r="AE23" s="5"/>
      <c r="AF23" s="1" t="s">
        <v>147</v>
      </c>
      <c r="AG23" s="1" t="s">
        <v>148</v>
      </c>
      <c r="AH23" s="1" t="s">
        <v>149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>
      <c r="B24" s="7">
        <v>229.04</v>
      </c>
      <c r="C24" s="8">
        <v>1.0948000000000001E-10</v>
      </c>
      <c r="D24" s="8">
        <v>1.0948000000000001E-10</v>
      </c>
      <c r="E24" s="8">
        <v>1.0948000000000001E-10</v>
      </c>
      <c r="F24" s="8">
        <v>2.6422000000000002E-12</v>
      </c>
      <c r="G24" s="8">
        <v>8.3248E-17</v>
      </c>
      <c r="H24" s="8">
        <v>1.2922E-11</v>
      </c>
      <c r="I24" s="8">
        <v>3.2066000000000001E-12</v>
      </c>
      <c r="J24" s="8"/>
      <c r="K24" s="1"/>
      <c r="L24" s="1"/>
      <c r="N24" s="7"/>
      <c r="O24">
        <f t="shared" si="4"/>
        <v>3.817333333333333</v>
      </c>
      <c r="P24" s="6">
        <f t="shared" si="5"/>
        <v>98.985357294928278</v>
      </c>
      <c r="Q24" s="6">
        <f t="shared" si="0"/>
        <v>12.012610431934377</v>
      </c>
      <c r="R24" s="6">
        <f t="shared" si="1"/>
        <v>2.4749512751592766</v>
      </c>
      <c r="S24" s="5">
        <f t="shared" si="2"/>
        <v>0</v>
      </c>
      <c r="T24" s="6">
        <f t="shared" si="6"/>
        <v>84.497795587834617</v>
      </c>
      <c r="U24" s="1">
        <f t="shared" si="6"/>
        <v>84.497795587834617</v>
      </c>
      <c r="V24" s="1">
        <f t="shared" si="6"/>
        <v>84.497795587834617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>
      <c r="B25" s="7">
        <v>294.57</v>
      </c>
      <c r="C25" s="8">
        <v>1.0549E-10</v>
      </c>
      <c r="D25" s="8">
        <v>1.0549E-10</v>
      </c>
      <c r="E25" s="8">
        <v>1.0549E-10</v>
      </c>
      <c r="F25" s="8">
        <v>2.5459999999999999E-12</v>
      </c>
      <c r="G25" s="8">
        <v>8.1911000000000001E-17</v>
      </c>
      <c r="H25" s="8">
        <v>1.6162999999999999E-11</v>
      </c>
      <c r="I25" s="8">
        <v>4.1044000000000002E-12</v>
      </c>
      <c r="J25" s="8"/>
      <c r="K25" s="1"/>
      <c r="L25" s="1"/>
      <c r="N25" s="7"/>
      <c r="O25">
        <f t="shared" si="4"/>
        <v>4.9094999999999995</v>
      </c>
      <c r="P25" s="6">
        <f t="shared" si="5"/>
        <v>99.025953486692686</v>
      </c>
      <c r="Q25" s="6">
        <f t="shared" si="0"/>
        <v>14.439799576660556</v>
      </c>
      <c r="R25" s="6">
        <f t="shared" si="1"/>
        <v>3.1678815629306065</v>
      </c>
      <c r="S25" s="5">
        <f t="shared" si="2"/>
        <v>0</v>
      </c>
      <c r="T25" s="6">
        <f t="shared" si="6"/>
        <v>81.418272347101521</v>
      </c>
      <c r="U25" s="1">
        <f t="shared" si="6"/>
        <v>81.418272347101521</v>
      </c>
      <c r="V25" s="1">
        <f t="shared" si="6"/>
        <v>81.418272347101521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>
      <c r="B26" s="7">
        <v>425.64</v>
      </c>
      <c r="C26" s="8">
        <v>9.8073000000000003E-11</v>
      </c>
      <c r="D26" s="8">
        <v>9.8073000000000003E-11</v>
      </c>
      <c r="E26" s="8">
        <v>9.8073000000000003E-11</v>
      </c>
      <c r="F26" s="8">
        <v>2.3668999999999999E-12</v>
      </c>
      <c r="G26" s="8">
        <v>7.5787999999999998E-17</v>
      </c>
      <c r="H26" s="8">
        <v>2.2303E-11</v>
      </c>
      <c r="I26" s="8">
        <v>5.8054000000000003E-12</v>
      </c>
      <c r="J26" s="8"/>
      <c r="K26" s="1"/>
      <c r="L26" s="1"/>
      <c r="N26" s="7"/>
      <c r="O26">
        <f t="shared" si="4"/>
        <v>7.0939999999999994</v>
      </c>
      <c r="P26" s="6">
        <f t="shared" si="5"/>
        <v>99.2149651121901</v>
      </c>
      <c r="Q26" s="6">
        <f t="shared" si="0"/>
        <v>19.040483808662049</v>
      </c>
      <c r="R26" s="6">
        <f t="shared" si="1"/>
        <v>4.4807262187116104</v>
      </c>
      <c r="S26" s="5">
        <f t="shared" si="2"/>
        <v>0</v>
      </c>
      <c r="T26" s="6">
        <f t="shared" si="6"/>
        <v>75.693755084816445</v>
      </c>
      <c r="U26" s="1">
        <f t="shared" si="6"/>
        <v>75.693755084816445</v>
      </c>
      <c r="V26" s="1">
        <f t="shared" si="6"/>
        <v>75.693755084816445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>
      <c r="B27" s="7">
        <v>556.72</v>
      </c>
      <c r="C27" s="8">
        <v>9.1175999999999994E-11</v>
      </c>
      <c r="D27" s="8">
        <v>9.1175999999999994E-11</v>
      </c>
      <c r="E27" s="8">
        <v>9.1175999999999994E-11</v>
      </c>
      <c r="F27" s="8">
        <v>2.2005000000000002E-12</v>
      </c>
      <c r="G27" s="8">
        <v>7.0701E-17</v>
      </c>
      <c r="H27" s="8">
        <v>2.8009999999999999E-11</v>
      </c>
      <c r="I27" s="8">
        <v>7.3866999999999996E-12</v>
      </c>
      <c r="J27" s="8"/>
      <c r="K27" s="1"/>
      <c r="L27" s="1"/>
      <c r="N27" s="7"/>
      <c r="O27">
        <f t="shared" si="4"/>
        <v>9.278666666666668</v>
      </c>
      <c r="P27" s="6">
        <f t="shared" si="5"/>
        <v>99.388541330562575</v>
      </c>
      <c r="Q27" s="6">
        <f t="shared" si="0"/>
        <v>23.31677615643293</v>
      </c>
      <c r="R27" s="6">
        <f t="shared" si="1"/>
        <v>5.701185976866129</v>
      </c>
      <c r="S27" s="5">
        <f t="shared" si="2"/>
        <v>0</v>
      </c>
      <c r="T27" s="6">
        <f t="shared" si="6"/>
        <v>70.37057919726351</v>
      </c>
      <c r="U27" s="1">
        <f t="shared" si="6"/>
        <v>70.37057919726351</v>
      </c>
      <c r="V27" s="1">
        <f t="shared" si="6"/>
        <v>70.37057919726351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>
      <c r="B28" s="7">
        <v>687.79</v>
      </c>
      <c r="C28" s="8">
        <v>8.4763999999999995E-11</v>
      </c>
      <c r="D28" s="8">
        <v>8.4763999999999995E-11</v>
      </c>
      <c r="E28" s="8">
        <v>8.4763999999999995E-11</v>
      </c>
      <c r="F28" s="8">
        <v>2.0456000000000001E-12</v>
      </c>
      <c r="G28" s="8">
        <v>6.5683999999999997E-17</v>
      </c>
      <c r="H28" s="8">
        <v>3.3315999999999999E-11</v>
      </c>
      <c r="I28" s="8">
        <v>8.8568999999999996E-12</v>
      </c>
      <c r="J28" s="8"/>
      <c r="K28" s="1"/>
      <c r="L28" s="1"/>
      <c r="N28" s="7"/>
      <c r="O28">
        <f t="shared" si="4"/>
        <v>11.463166666666666</v>
      </c>
      <c r="P28" s="6">
        <f t="shared" si="5"/>
        <v>99.550077361719801</v>
      </c>
      <c r="Q28" s="6">
        <f t="shared" si="0"/>
        <v>27.292448378322732</v>
      </c>
      <c r="R28" s="6">
        <f t="shared" si="1"/>
        <v>6.8358976607151787</v>
      </c>
      <c r="S28" s="5">
        <f t="shared" si="2"/>
        <v>0</v>
      </c>
      <c r="T28" s="6">
        <f t="shared" si="6"/>
        <v>65.421731322681893</v>
      </c>
      <c r="U28" s="1">
        <f t="shared" si="6"/>
        <v>65.421731322681893</v>
      </c>
      <c r="V28" s="1">
        <f t="shared" si="6"/>
        <v>65.421731322681893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>
      <c r="B29" s="7">
        <v>949.93</v>
      </c>
      <c r="C29" s="8">
        <v>7.2977000000000003E-11</v>
      </c>
      <c r="D29" s="8">
        <v>7.2977000000000003E-11</v>
      </c>
      <c r="E29" s="8">
        <v>7.2977000000000003E-11</v>
      </c>
      <c r="F29" s="8">
        <v>1.7611E-12</v>
      </c>
      <c r="G29" s="8">
        <v>5.5305E-17</v>
      </c>
      <c r="H29" s="8">
        <v>4.2830000000000002E-11</v>
      </c>
      <c r="I29" s="8">
        <v>1.1493E-11</v>
      </c>
      <c r="J29" s="8"/>
      <c r="K29" s="1"/>
      <c r="L29" s="1"/>
      <c r="N29" s="7"/>
      <c r="O29">
        <f t="shared" si="4"/>
        <v>15.832166666666666</v>
      </c>
      <c r="P29" s="6">
        <f t="shared" si="5"/>
        <v>99.61073364351175</v>
      </c>
      <c r="Q29" s="6">
        <f t="shared" si="0"/>
        <v>34.415871874650094</v>
      </c>
      <c r="R29" s="6">
        <f t="shared" si="1"/>
        <v>8.8704588768868131</v>
      </c>
      <c r="S29" s="5">
        <f t="shared" si="2"/>
        <v>0</v>
      </c>
      <c r="T29" s="6">
        <f t="shared" si="6"/>
        <v>56.324402891974856</v>
      </c>
      <c r="U29" s="1">
        <f t="shared" si="6"/>
        <v>56.324402891974856</v>
      </c>
      <c r="V29" s="1">
        <f t="shared" si="6"/>
        <v>56.324402891974856</v>
      </c>
      <c r="X29" s="5"/>
      <c r="Y29" s="5"/>
      <c r="Z29" s="5"/>
      <c r="AA29" s="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>
      <c r="B30" s="7">
        <v>1212.0999999999999</v>
      </c>
      <c r="C30" s="8">
        <v>6.2724999999999995E-11</v>
      </c>
      <c r="D30" s="8">
        <v>6.2724999999999995E-11</v>
      </c>
      <c r="E30" s="8">
        <v>6.2724999999999995E-11</v>
      </c>
      <c r="F30" s="8">
        <v>1.5136999999999999E-12</v>
      </c>
      <c r="G30" s="8">
        <v>4.7139000000000002E-17</v>
      </c>
      <c r="H30" s="8">
        <v>5.1014999999999998E-11</v>
      </c>
      <c r="I30" s="8">
        <v>1.3758E-11</v>
      </c>
      <c r="J30" s="8"/>
      <c r="K30" s="1"/>
      <c r="L30" s="1"/>
      <c r="N30" s="7"/>
      <c r="O30">
        <f t="shared" si="4"/>
        <v>20.201666666666664</v>
      </c>
      <c r="P30" s="6">
        <f t="shared" si="5"/>
        <v>99.572599910309009</v>
      </c>
      <c r="Q30" s="6">
        <f t="shared" si="0"/>
        <v>40.542193597868909</v>
      </c>
      <c r="R30" s="6">
        <f t="shared" si="1"/>
        <v>10.618602985376461</v>
      </c>
      <c r="S30" s="5">
        <f t="shared" si="2"/>
        <v>0</v>
      </c>
      <c r="T30" s="6">
        <f t="shared" si="6"/>
        <v>48.41180332706363</v>
      </c>
      <c r="U30" s="1">
        <f t="shared" si="6"/>
        <v>48.41180332706363</v>
      </c>
      <c r="V30" s="1">
        <f t="shared" si="6"/>
        <v>48.41180332706363</v>
      </c>
      <c r="X30" s="5"/>
      <c r="Y30" s="5"/>
      <c r="Z30" s="5"/>
      <c r="AA30" s="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>
      <c r="B31" s="7">
        <v>1474.2</v>
      </c>
      <c r="C31" s="8">
        <v>5.3878999999999997E-11</v>
      </c>
      <c r="D31" s="8">
        <v>5.3878999999999997E-11</v>
      </c>
      <c r="E31" s="8">
        <v>5.3878999999999997E-11</v>
      </c>
      <c r="F31" s="8">
        <v>1.3002000000000001E-12</v>
      </c>
      <c r="G31" s="8">
        <v>4.1056000000000001E-17</v>
      </c>
      <c r="H31" s="8">
        <v>5.8047000000000003E-11</v>
      </c>
      <c r="I31" s="8">
        <v>1.5704999999999999E-11</v>
      </c>
      <c r="J31" s="8"/>
      <c r="K31" s="1"/>
      <c r="L31" s="1"/>
      <c r="N31" s="7"/>
      <c r="O31">
        <f t="shared" si="4"/>
        <v>24.57</v>
      </c>
      <c r="P31" s="6">
        <f t="shared" si="5"/>
        <v>99.510464483336847</v>
      </c>
      <c r="Q31" s="6">
        <f t="shared" si="0"/>
        <v>45.804782374044017</v>
      </c>
      <c r="R31" s="6">
        <f t="shared" si="1"/>
        <v>12.121313014691616</v>
      </c>
      <c r="S31" s="5">
        <f t="shared" si="2"/>
        <v>0</v>
      </c>
      <c r="T31" s="6">
        <f t="shared" si="6"/>
        <v>41.584369094601215</v>
      </c>
      <c r="U31" s="1">
        <f t="shared" si="6"/>
        <v>41.584369094601215</v>
      </c>
      <c r="V31" s="1">
        <f t="shared" si="6"/>
        <v>41.584369094601215</v>
      </c>
      <c r="X31" s="5"/>
      <c r="Y31" s="5"/>
      <c r="Z31" s="5"/>
      <c r="AA31" s="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>
      <c r="B32" s="7">
        <v>1736.4</v>
      </c>
      <c r="C32" s="8">
        <v>4.6268999999999997E-11</v>
      </c>
      <c r="D32" s="8">
        <v>4.6268999999999997E-11</v>
      </c>
      <c r="E32" s="8">
        <v>4.6268999999999997E-11</v>
      </c>
      <c r="F32" s="8">
        <v>1.1165999999999999E-12</v>
      </c>
      <c r="G32" s="8">
        <v>3.5451999999999999E-17</v>
      </c>
      <c r="H32" s="8">
        <v>6.4086999999999995E-11</v>
      </c>
      <c r="I32" s="8">
        <v>1.7376999999999999E-11</v>
      </c>
      <c r="J32" s="8"/>
      <c r="K32" s="1"/>
      <c r="L32" s="1"/>
      <c r="N32" s="7"/>
      <c r="O32">
        <f t="shared" si="4"/>
        <v>28.94</v>
      </c>
      <c r="P32" s="6">
        <f t="shared" si="5"/>
        <v>99.447480434692224</v>
      </c>
      <c r="Q32" s="6">
        <f t="shared" si="0"/>
        <v>50.324812425931064</v>
      </c>
      <c r="R32" s="6">
        <f t="shared" si="1"/>
        <v>13.411775571297508</v>
      </c>
      <c r="S32" s="5">
        <f t="shared" si="2"/>
        <v>0</v>
      </c>
      <c r="T32" s="6">
        <f t="shared" si="6"/>
        <v>35.710892437463642</v>
      </c>
      <c r="U32" s="1">
        <f t="shared" si="6"/>
        <v>35.710892437463642</v>
      </c>
      <c r="V32" s="1">
        <f t="shared" si="6"/>
        <v>35.710892437463642</v>
      </c>
      <c r="X32" s="5"/>
      <c r="Y32" s="5"/>
      <c r="Z32" s="5"/>
      <c r="AA32" s="5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>
      <c r="B33" s="7">
        <v>1998.5</v>
      </c>
      <c r="C33" s="8">
        <v>3.9730000000000001E-11</v>
      </c>
      <c r="D33" s="8">
        <v>3.9730000000000001E-11</v>
      </c>
      <c r="E33" s="8">
        <v>3.9730000000000001E-11</v>
      </c>
      <c r="F33" s="8">
        <v>9.5879E-13</v>
      </c>
      <c r="G33" s="8">
        <v>3.0245999999999998E-17</v>
      </c>
      <c r="H33" s="8">
        <v>6.9274000000000006E-11</v>
      </c>
      <c r="I33" s="8">
        <v>1.8813000000000001E-11</v>
      </c>
      <c r="J33" s="8"/>
      <c r="K33" s="1"/>
      <c r="L33" s="1"/>
      <c r="N33" s="7"/>
      <c r="O33">
        <f t="shared" si="4"/>
        <v>33.30833333333333</v>
      </c>
      <c r="P33" s="6">
        <f t="shared" si="5"/>
        <v>99.390509095745742</v>
      </c>
      <c r="Q33" s="6">
        <f t="shared" si="0"/>
        <v>54.206393249756267</v>
      </c>
      <c r="R33" s="6">
        <f t="shared" si="1"/>
        <v>14.520091195782408</v>
      </c>
      <c r="S33" s="5">
        <f t="shared" si="2"/>
        <v>0</v>
      </c>
      <c r="T33" s="6">
        <f t="shared" si="6"/>
        <v>30.664024650207068</v>
      </c>
      <c r="U33" s="1">
        <f t="shared" si="6"/>
        <v>30.664024650207068</v>
      </c>
      <c r="V33" s="1">
        <f t="shared" si="6"/>
        <v>30.664024650207068</v>
      </c>
      <c r="X33" s="5"/>
      <c r="Y33" s="5"/>
      <c r="Z33" s="5"/>
      <c r="AA33" s="5"/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>
      <c r="B34" s="7">
        <v>2260.6999999999998</v>
      </c>
      <c r="C34" s="8">
        <v>3.4114000000000001E-11</v>
      </c>
      <c r="D34" s="8">
        <v>3.4114000000000001E-11</v>
      </c>
      <c r="E34" s="8">
        <v>3.4114000000000001E-11</v>
      </c>
      <c r="F34" s="8">
        <v>8.2325999999999997E-13</v>
      </c>
      <c r="G34" s="8">
        <v>2.5787999999999999E-17</v>
      </c>
      <c r="H34" s="8">
        <v>7.3727999999999996E-11</v>
      </c>
      <c r="I34" s="8">
        <v>2.0045999999999999E-11</v>
      </c>
      <c r="J34" s="8"/>
      <c r="K34" s="1"/>
      <c r="L34" s="1"/>
      <c r="N34" s="7"/>
      <c r="O34">
        <f t="shared" si="4"/>
        <v>37.678333333333327</v>
      </c>
      <c r="P34" s="6">
        <f t="shared" si="5"/>
        <v>99.340700734031657</v>
      </c>
      <c r="Q34" s="6">
        <f t="shared" si="0"/>
        <v>57.53943303156295</v>
      </c>
      <c r="R34" s="6">
        <f t="shared" si="1"/>
        <v>15.4717298993687</v>
      </c>
      <c r="S34" s="5">
        <f t="shared" si="2"/>
        <v>0</v>
      </c>
      <c r="T34" s="6">
        <f t="shared" si="6"/>
        <v>26.329537803100024</v>
      </c>
      <c r="U34" s="1">
        <f t="shared" si="6"/>
        <v>26.329537803100024</v>
      </c>
      <c r="V34" s="1">
        <f t="shared" si="6"/>
        <v>26.329537803100024</v>
      </c>
      <c r="X34" s="5"/>
      <c r="Y34" s="5"/>
      <c r="Z34" s="5"/>
      <c r="AA34" s="5"/>
      <c r="AB34" s="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>
      <c r="B35" s="7">
        <v>2522.8000000000002</v>
      </c>
      <c r="C35" s="8">
        <v>2.9292000000000001E-11</v>
      </c>
      <c r="D35" s="8">
        <v>2.9292000000000001E-11</v>
      </c>
      <c r="E35" s="8">
        <v>2.9292000000000001E-11</v>
      </c>
      <c r="F35" s="8">
        <v>7.0688000000000001E-13</v>
      </c>
      <c r="G35" s="8">
        <v>2.2168000000000001E-17</v>
      </c>
      <c r="H35" s="8">
        <v>7.7551999999999998E-11</v>
      </c>
      <c r="I35" s="8">
        <v>2.1105000000000001E-11</v>
      </c>
      <c r="J35" s="8"/>
      <c r="K35" s="1"/>
      <c r="L35" s="1"/>
      <c r="N35" s="7"/>
      <c r="O35">
        <f t="shared" si="4"/>
        <v>42.046666666666667</v>
      </c>
      <c r="P35" s="6">
        <f t="shared" si="5"/>
        <v>99.297955083669279</v>
      </c>
      <c r="Q35" s="6">
        <f t="shared" si="0"/>
        <v>60.401012469609782</v>
      </c>
      <c r="R35" s="6">
        <f t="shared" si="1"/>
        <v>16.289074251263997</v>
      </c>
      <c r="S35" s="5">
        <f t="shared" si="2"/>
        <v>0</v>
      </c>
      <c r="T35" s="6">
        <f t="shared" si="6"/>
        <v>22.607868362795504</v>
      </c>
      <c r="U35" s="1">
        <f t="shared" si="6"/>
        <v>22.607868362795504</v>
      </c>
      <c r="V35" s="1">
        <f t="shared" si="6"/>
        <v>22.607868362795504</v>
      </c>
      <c r="X35" s="5"/>
      <c r="Y35" s="5"/>
      <c r="Z35" s="5"/>
      <c r="AA35" s="5"/>
      <c r="AB35" s="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>
      <c r="B36" s="7">
        <v>2784.9</v>
      </c>
      <c r="C36" s="8">
        <v>2.5151000000000001E-11</v>
      </c>
      <c r="D36" s="8">
        <v>2.5151000000000001E-11</v>
      </c>
      <c r="E36" s="8">
        <v>2.5151000000000001E-11</v>
      </c>
      <c r="F36" s="8">
        <v>6.0694000000000004E-13</v>
      </c>
      <c r="G36" s="8">
        <v>1.9147000000000001E-17</v>
      </c>
      <c r="H36" s="8">
        <v>8.0835999999999994E-11</v>
      </c>
      <c r="I36" s="8">
        <v>2.2013999999999999E-11</v>
      </c>
      <c r="J36" s="8"/>
      <c r="K36" s="1"/>
      <c r="L36" s="1"/>
      <c r="N36" s="7"/>
      <c r="O36">
        <f t="shared" si="4"/>
        <v>46.414999999999999</v>
      </c>
      <c r="P36" s="6">
        <f t="shared" si="5"/>
        <v>99.260952164521299</v>
      </c>
      <c r="Q36" s="6">
        <f t="shared" si="0"/>
        <v>62.858502888128228</v>
      </c>
      <c r="R36" s="6">
        <f t="shared" si="1"/>
        <v>16.990647515070179</v>
      </c>
      <c r="S36" s="5">
        <f t="shared" si="2"/>
        <v>0</v>
      </c>
      <c r="T36" s="6">
        <f t="shared" si="6"/>
        <v>19.411801761322877</v>
      </c>
      <c r="U36" s="1">
        <f t="shared" si="6"/>
        <v>19.411801761322877</v>
      </c>
      <c r="V36" s="1">
        <f t="shared" si="6"/>
        <v>19.411801761322877</v>
      </c>
      <c r="X36" s="5"/>
      <c r="Y36" s="5"/>
      <c r="Z36" s="5"/>
      <c r="AA36" s="5"/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>
      <c r="B37" s="7">
        <v>3047.1</v>
      </c>
      <c r="C37" s="8">
        <v>2.1595000000000001E-11</v>
      </c>
      <c r="D37" s="8">
        <v>2.1595000000000001E-11</v>
      </c>
      <c r="E37" s="8">
        <v>2.1595000000000001E-11</v>
      </c>
      <c r="F37" s="8">
        <v>5.2114000000000004E-13</v>
      </c>
      <c r="G37" s="8">
        <v>1.6425E-17</v>
      </c>
      <c r="H37" s="8">
        <v>8.3654999999999994E-11</v>
      </c>
      <c r="I37" s="8">
        <v>2.2793999999999998E-11</v>
      </c>
      <c r="J37" s="8"/>
      <c r="K37" s="1"/>
      <c r="L37" s="1"/>
      <c r="N37" s="7"/>
      <c r="O37">
        <f t="shared" si="4"/>
        <v>50.784999999999997</v>
      </c>
      <c r="P37" s="6">
        <f t="shared" si="5"/>
        <v>99.227916581271757</v>
      </c>
      <c r="Q37" s="6">
        <f t="shared" si="0"/>
        <v>64.96801489854721</v>
      </c>
      <c r="R37" s="6">
        <f t="shared" si="1"/>
        <v>17.592657476300644</v>
      </c>
      <c r="S37" s="5">
        <f t="shared" si="2"/>
        <v>0</v>
      </c>
      <c r="T37" s="6">
        <f t="shared" si="6"/>
        <v>16.667244206423902</v>
      </c>
      <c r="U37" s="1">
        <f t="shared" si="6"/>
        <v>16.667244206423902</v>
      </c>
      <c r="V37" s="1">
        <f t="shared" si="6"/>
        <v>16.667244206423902</v>
      </c>
      <c r="X37" s="5"/>
      <c r="Y37" s="5"/>
      <c r="Z37" s="5"/>
      <c r="AA37" s="5"/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>
      <c r="B38" s="7">
        <v>3309.2</v>
      </c>
      <c r="C38" s="8">
        <v>1.8541999999999999E-11</v>
      </c>
      <c r="D38" s="8">
        <v>1.8541999999999999E-11</v>
      </c>
      <c r="E38" s="8">
        <v>1.8541999999999999E-11</v>
      </c>
      <c r="F38" s="8">
        <v>4.4745999999999999E-13</v>
      </c>
      <c r="G38" s="8">
        <v>1.4086999999999999E-17</v>
      </c>
      <c r="H38" s="8">
        <v>8.6076000000000006E-11</v>
      </c>
      <c r="I38" s="8">
        <v>2.3464000000000001E-11</v>
      </c>
      <c r="J38" s="8"/>
      <c r="K38" s="1"/>
      <c r="L38" s="1"/>
      <c r="N38" s="7"/>
      <c r="O38">
        <f t="shared" si="4"/>
        <v>55.153333333333329</v>
      </c>
      <c r="P38" s="6">
        <f t="shared" si="5"/>
        <v>99.200376583989879</v>
      </c>
      <c r="Q38" s="6">
        <f t="shared" si="0"/>
        <v>66.779700736501511</v>
      </c>
      <c r="R38" s="6">
        <f t="shared" si="1"/>
        <v>18.109768596943717</v>
      </c>
      <c r="S38" s="5">
        <f t="shared" si="2"/>
        <v>0</v>
      </c>
      <c r="T38" s="6">
        <f t="shared" si="6"/>
        <v>14.310907250544661</v>
      </c>
      <c r="U38" s="1">
        <f t="shared" si="6"/>
        <v>14.310907250544661</v>
      </c>
      <c r="V38" s="1">
        <f t="shared" si="6"/>
        <v>14.310907250544661</v>
      </c>
      <c r="X38" s="5"/>
      <c r="Y38" s="5"/>
      <c r="Z38" s="5"/>
      <c r="AA38" s="5"/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>
      <c r="B39" s="7">
        <v>3571.4</v>
      </c>
      <c r="C39" s="8">
        <v>1.5921000000000001E-11</v>
      </c>
      <c r="D39" s="8">
        <v>1.5921000000000001E-11</v>
      </c>
      <c r="E39" s="8">
        <v>1.5921000000000001E-11</v>
      </c>
      <c r="F39" s="8">
        <v>3.8420000000000002E-13</v>
      </c>
      <c r="G39" s="8">
        <v>1.2084E-17</v>
      </c>
      <c r="H39" s="8">
        <v>8.8155000000000005E-11</v>
      </c>
      <c r="I39" s="8">
        <v>2.4039999999999999E-11</v>
      </c>
      <c r="J39" s="8"/>
      <c r="K39" s="1"/>
      <c r="L39" s="1"/>
      <c r="N39" s="7"/>
      <c r="O39">
        <f t="shared" si="4"/>
        <v>59.523333333333333</v>
      </c>
      <c r="P39" s="6">
        <f t="shared" si="5"/>
        <v>99.177791867621735</v>
      </c>
      <c r="Q39" s="6">
        <f t="shared" si="0"/>
        <v>68.33546970323718</v>
      </c>
      <c r="R39" s="6">
        <f t="shared" si="1"/>
        <v>18.554329804557053</v>
      </c>
      <c r="S39" s="5">
        <f t="shared" si="2"/>
        <v>0</v>
      </c>
      <c r="T39" s="6">
        <f t="shared" si="6"/>
        <v>12.287992359827502</v>
      </c>
      <c r="U39" s="1">
        <f t="shared" si="6"/>
        <v>12.287992359827502</v>
      </c>
      <c r="V39" s="1">
        <f t="shared" si="6"/>
        <v>12.287992359827502</v>
      </c>
      <c r="X39" s="5"/>
      <c r="Y39" s="5"/>
      <c r="Z39" s="5"/>
      <c r="AA39" s="5"/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>
      <c r="B40" s="7">
        <v>3833.5</v>
      </c>
      <c r="C40" s="8">
        <v>1.367E-11</v>
      </c>
      <c r="D40" s="8">
        <v>1.367E-11</v>
      </c>
      <c r="E40" s="8">
        <v>1.367E-11</v>
      </c>
      <c r="F40" s="8">
        <v>3.2989000000000002E-13</v>
      </c>
      <c r="G40" s="8">
        <v>1.0365E-17</v>
      </c>
      <c r="H40" s="8">
        <v>8.9939000000000006E-11</v>
      </c>
      <c r="I40" s="8">
        <v>2.4534E-11</v>
      </c>
      <c r="J40" s="8"/>
      <c r="K40" s="1"/>
      <c r="L40" s="1"/>
      <c r="N40" s="7"/>
      <c r="O40">
        <f t="shared" si="4"/>
        <v>63.891666666666666</v>
      </c>
      <c r="P40" s="6">
        <f t="shared" si="5"/>
        <v>99.15671240060297</v>
      </c>
      <c r="Q40" s="6">
        <f t="shared" si="0"/>
        <v>69.670462323353391</v>
      </c>
      <c r="R40" s="6">
        <f t="shared" si="1"/>
        <v>18.935602783810612</v>
      </c>
      <c r="S40" s="5">
        <f t="shared" si="2"/>
        <v>0</v>
      </c>
      <c r="T40" s="6">
        <f t="shared" si="6"/>
        <v>10.550647293438976</v>
      </c>
      <c r="U40" s="1">
        <f t="shared" si="6"/>
        <v>10.550647293438976</v>
      </c>
      <c r="V40" s="1">
        <f t="shared" si="6"/>
        <v>10.550647293438976</v>
      </c>
      <c r="X40" s="5"/>
      <c r="Y40" s="5"/>
      <c r="Z40" s="5"/>
      <c r="AA40" s="5"/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>
      <c r="B41" s="7">
        <v>4095.7</v>
      </c>
      <c r="C41" s="8">
        <v>1.1737E-11</v>
      </c>
      <c r="D41" s="8">
        <v>1.1737E-11</v>
      </c>
      <c r="E41" s="8">
        <v>1.1737E-11</v>
      </c>
      <c r="F41" s="8">
        <v>2.8324999999999998E-13</v>
      </c>
      <c r="G41" s="8">
        <v>8.9349000000000001E-18</v>
      </c>
      <c r="H41" s="8">
        <v>9.1472E-11</v>
      </c>
      <c r="I41" s="8">
        <v>2.4957999999999999E-11</v>
      </c>
      <c r="J41" s="8"/>
      <c r="K41" s="1"/>
      <c r="L41" s="1"/>
      <c r="N41" s="7"/>
      <c r="O41">
        <f t="shared" si="4"/>
        <v>68.26166666666667</v>
      </c>
      <c r="P41" s="6">
        <f t="shared" si="5"/>
        <v>99.13923751082946</v>
      </c>
      <c r="Q41" s="6">
        <f t="shared" si="0"/>
        <v>70.81765033440503</v>
      </c>
      <c r="R41" s="6">
        <f t="shared" si="1"/>
        <v>19.262849262518543</v>
      </c>
      <c r="S41" s="5">
        <f t="shared" si="2"/>
        <v>0</v>
      </c>
      <c r="T41" s="6">
        <f t="shared" si="6"/>
        <v>9.0587379139058726</v>
      </c>
      <c r="U41" s="1">
        <f t="shared" si="6"/>
        <v>9.0587379139058726</v>
      </c>
      <c r="V41" s="1">
        <f t="shared" si="6"/>
        <v>9.0587379139058726</v>
      </c>
      <c r="X41" s="5"/>
      <c r="Y41" s="5"/>
      <c r="Z41" s="5"/>
      <c r="AA41" s="5"/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>
      <c r="B42" s="7">
        <v>4320</v>
      </c>
      <c r="C42" s="8">
        <v>1.0299999999999999E-11</v>
      </c>
      <c r="D42" s="8">
        <v>1.0299999999999999E-11</v>
      </c>
      <c r="E42" s="8">
        <v>1.0299999999999999E-11</v>
      </c>
      <c r="F42" s="8">
        <v>2.5045000000000001E-13</v>
      </c>
      <c r="G42" s="8">
        <v>7.9109E-18</v>
      </c>
      <c r="H42" s="8">
        <v>9.2547000000000006E-11</v>
      </c>
      <c r="I42" s="8">
        <v>2.5255000000000001E-11</v>
      </c>
      <c r="J42" s="8"/>
      <c r="K42" s="1"/>
      <c r="L42" s="1"/>
      <c r="N42" s="7"/>
      <c r="O42">
        <f t="shared" si="4"/>
        <v>72</v>
      </c>
      <c r="P42" s="6">
        <f t="shared" si="5"/>
        <v>99.06375366963259</v>
      </c>
      <c r="Q42" s="6">
        <f t="shared" si="0"/>
        <v>71.622031066608542</v>
      </c>
      <c r="R42" s="6">
        <f t="shared" si="1"/>
        <v>19.492076141983691</v>
      </c>
      <c r="S42" s="5">
        <f t="shared" si="2"/>
        <v>0</v>
      </c>
      <c r="T42" s="6">
        <f t="shared" si="6"/>
        <v>7.9496464610403414</v>
      </c>
      <c r="U42" s="1">
        <f t="shared" si="6"/>
        <v>7.9496464610403414</v>
      </c>
      <c r="V42" s="1">
        <f t="shared" si="6"/>
        <v>7.9496464610403414</v>
      </c>
      <c r="X42" s="5"/>
      <c r="Y42" s="5"/>
      <c r="Z42" s="5"/>
      <c r="AA42" s="5"/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>
      <c r="B43" s="7">
        <v>2896.9</v>
      </c>
      <c r="C43" s="8">
        <v>2.5755000000000001E-12</v>
      </c>
      <c r="D43" s="8">
        <v>2.5755000000000001E-12</v>
      </c>
      <c r="E43" s="8">
        <v>2.5755000000000001E-12</v>
      </c>
      <c r="F43" s="8">
        <v>6.2265E-14</v>
      </c>
      <c r="G43" s="8">
        <v>1.5328E-17</v>
      </c>
      <c r="H43" s="8">
        <v>4.2745999999999999E-11</v>
      </c>
      <c r="I43" s="8">
        <v>8.4281999999999997E-11</v>
      </c>
      <c r="J43" s="8"/>
      <c r="K43" s="1"/>
      <c r="L43" s="1"/>
      <c r="N43" s="7"/>
      <c r="P43" s="6"/>
      <c r="Q43" s="6"/>
      <c r="R43" s="6"/>
      <c r="S43" s="5"/>
      <c r="T43" s="6"/>
      <c r="U43" s="1"/>
      <c r="V43" s="1"/>
      <c r="X43" s="5"/>
      <c r="Y43" s="5"/>
      <c r="Z43" s="5"/>
      <c r="AA43" s="5"/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>
      <c r="B44" s="7">
        <v>3027.8</v>
      </c>
      <c r="C44" s="8">
        <v>2.1578999999999999E-12</v>
      </c>
      <c r="D44" s="8">
        <v>2.1578999999999999E-12</v>
      </c>
      <c r="E44" s="8">
        <v>2.1578999999999999E-12</v>
      </c>
      <c r="F44" s="8">
        <v>5.2166999999999997E-14</v>
      </c>
      <c r="G44" s="8">
        <v>1.2821E-17</v>
      </c>
      <c r="H44" s="8">
        <v>4.2888999999999998E-11</v>
      </c>
      <c r="I44" s="8">
        <v>8.4566000000000003E-11</v>
      </c>
      <c r="J44" s="8"/>
      <c r="K44" s="1"/>
      <c r="L44" s="1"/>
      <c r="N44" s="7"/>
      <c r="P44" s="6"/>
      <c r="Q44" s="6"/>
      <c r="R44" s="6"/>
      <c r="S44" s="5"/>
      <c r="T44" s="6"/>
      <c r="U44" s="1"/>
      <c r="V44" s="1"/>
      <c r="X44" s="5"/>
      <c r="Y44" s="5"/>
      <c r="Z44" s="5"/>
      <c r="AA44" s="5"/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>
      <c r="B45" s="7">
        <v>3158.7</v>
      </c>
      <c r="C45" s="8">
        <v>1.8079E-12</v>
      </c>
      <c r="D45" s="8">
        <v>1.8079E-12</v>
      </c>
      <c r="E45" s="8">
        <v>1.8079E-12</v>
      </c>
      <c r="F45" s="8">
        <v>4.3707999999999998E-14</v>
      </c>
      <c r="G45" s="8">
        <v>1.0743000000000001E-17</v>
      </c>
      <c r="H45" s="8">
        <v>4.3007999999999998E-11</v>
      </c>
      <c r="I45" s="8">
        <v>8.4804999999999998E-11</v>
      </c>
      <c r="J45" s="8"/>
      <c r="K45" s="1"/>
      <c r="L45" s="1"/>
      <c r="N45" s="7"/>
      <c r="P45" s="6"/>
      <c r="Q45" s="6"/>
      <c r="R45" s="6"/>
      <c r="S45" s="5"/>
      <c r="T45" s="6"/>
      <c r="U45" s="1"/>
      <c r="V45" s="1"/>
      <c r="X45" s="5"/>
      <c r="Y45" s="5"/>
      <c r="Z45" s="5"/>
      <c r="AA45" s="5"/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>
      <c r="B46" s="7">
        <v>3289.6</v>
      </c>
      <c r="C46" s="8">
        <v>1.5147E-12</v>
      </c>
      <c r="D46" s="8">
        <v>1.5147E-12</v>
      </c>
      <c r="E46" s="8">
        <v>1.5147E-12</v>
      </c>
      <c r="F46" s="8">
        <v>3.6619999999999999E-14</v>
      </c>
      <c r="G46" s="8">
        <v>9.0236000000000003E-18</v>
      </c>
      <c r="H46" s="8">
        <v>4.3108000000000003E-11</v>
      </c>
      <c r="I46" s="8">
        <v>8.5003999999999999E-11</v>
      </c>
      <c r="J46" s="8"/>
      <c r="K46" s="1"/>
      <c r="L46" s="1"/>
      <c r="N46" s="7"/>
      <c r="P46" s="6"/>
      <c r="Q46" s="6"/>
      <c r="R46" s="6"/>
      <c r="S46" s="5"/>
      <c r="T46" s="6"/>
      <c r="U46" s="1"/>
      <c r="V46" s="1"/>
      <c r="X46" s="5"/>
      <c r="Y46" s="5"/>
      <c r="Z46" s="5"/>
      <c r="AA46" s="5"/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>
      <c r="B47" s="7">
        <v>3420.6</v>
      </c>
      <c r="C47" s="8">
        <v>1.2690999999999999E-12</v>
      </c>
      <c r="D47" s="8">
        <v>1.2690999999999999E-12</v>
      </c>
      <c r="E47" s="8">
        <v>1.2690999999999999E-12</v>
      </c>
      <c r="F47" s="8">
        <v>3.0680999999999998E-14</v>
      </c>
      <c r="G47" s="8">
        <v>7.5559E-18</v>
      </c>
      <c r="H47" s="8">
        <v>4.3191999999999999E-11</v>
      </c>
      <c r="I47" s="8">
        <v>8.5170999999999997E-11</v>
      </c>
      <c r="J47" s="8"/>
      <c r="K47" s="1"/>
      <c r="L47" s="1"/>
      <c r="N47" s="7"/>
      <c r="P47" s="6"/>
      <c r="Q47" s="6"/>
      <c r="R47" s="6"/>
      <c r="S47" s="5"/>
      <c r="T47" s="6"/>
      <c r="U47" s="1"/>
      <c r="V47" s="1"/>
      <c r="X47" s="5"/>
      <c r="Y47" s="5"/>
      <c r="Z47" s="5"/>
      <c r="AA47" s="5"/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>
      <c r="B48" s="7">
        <v>3551.5</v>
      </c>
      <c r="C48" s="8">
        <v>1.0632999999999999E-12</v>
      </c>
      <c r="D48" s="8">
        <v>1.0632999999999999E-12</v>
      </c>
      <c r="E48" s="8">
        <v>1.0632999999999999E-12</v>
      </c>
      <c r="F48" s="8">
        <v>2.5705999999999999E-14</v>
      </c>
      <c r="G48" s="8">
        <v>6.3208000000000003E-18</v>
      </c>
      <c r="H48" s="8">
        <v>4.3263000000000001E-11</v>
      </c>
      <c r="I48" s="8">
        <v>8.5312000000000005E-11</v>
      </c>
      <c r="J48" s="8"/>
      <c r="K48" s="1"/>
      <c r="L48" s="1"/>
      <c r="N48" s="7"/>
      <c r="P48" s="6"/>
      <c r="Q48" s="6"/>
      <c r="R48" s="6"/>
      <c r="S48" s="5"/>
      <c r="T48" s="6"/>
      <c r="U48" s="1"/>
      <c r="V48" s="1"/>
      <c r="X48" s="5"/>
      <c r="Y48" s="5"/>
      <c r="Z48" s="5"/>
      <c r="AA48" s="5"/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>
      <c r="B49" s="7">
        <v>3682.4</v>
      </c>
      <c r="C49" s="8">
        <v>8.9087000000000002E-13</v>
      </c>
      <c r="D49" s="8">
        <v>8.9087000000000002E-13</v>
      </c>
      <c r="E49" s="8">
        <v>8.9087000000000002E-13</v>
      </c>
      <c r="F49" s="8">
        <v>2.1537E-14</v>
      </c>
      <c r="G49" s="8">
        <v>5.2955999999999998E-18</v>
      </c>
      <c r="H49" s="8">
        <v>4.3322000000000003E-11</v>
      </c>
      <c r="I49" s="8">
        <v>8.5429E-11</v>
      </c>
      <c r="J49" s="8"/>
      <c r="K49" s="1"/>
      <c r="L49" s="1"/>
      <c r="N49" s="7"/>
      <c r="P49" s="6"/>
      <c r="Q49" s="6"/>
      <c r="R49" s="6"/>
      <c r="S49" s="5"/>
      <c r="T49" s="6"/>
      <c r="U49" s="1"/>
      <c r="V49" s="1"/>
      <c r="X49" s="5"/>
      <c r="Y49" s="5"/>
      <c r="Z49" s="5"/>
      <c r="AA49" s="5"/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>
      <c r="B50" s="7">
        <v>3813.3</v>
      </c>
      <c r="C50" s="8">
        <v>7.4640000000000003E-13</v>
      </c>
      <c r="D50" s="8">
        <v>7.4640000000000003E-13</v>
      </c>
      <c r="E50" s="8">
        <v>7.4640000000000003E-13</v>
      </c>
      <c r="F50" s="8">
        <v>1.8045E-14</v>
      </c>
      <c r="G50" s="8">
        <v>4.4428E-18</v>
      </c>
      <c r="H50" s="8">
        <v>4.3370999999999997E-11</v>
      </c>
      <c r="I50" s="8">
        <v>8.5527000000000001E-11</v>
      </c>
      <c r="J50" s="8"/>
      <c r="K50" s="1"/>
      <c r="L50" s="1"/>
      <c r="N50" s="7"/>
      <c r="P50" s="6"/>
      <c r="Q50" s="6"/>
      <c r="R50" s="6"/>
      <c r="S50" s="5"/>
      <c r="T50" s="6"/>
      <c r="U50" s="1"/>
      <c r="V50" s="1"/>
      <c r="X50" s="5"/>
      <c r="Y50" s="5"/>
      <c r="Z50" s="5"/>
      <c r="AA50" s="5"/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>
      <c r="B51" s="7">
        <v>3944.2</v>
      </c>
      <c r="C51" s="8">
        <v>6.2535999999999997E-13</v>
      </c>
      <c r="D51" s="8">
        <v>6.2535999999999997E-13</v>
      </c>
      <c r="E51" s="8">
        <v>6.2535999999999997E-13</v>
      </c>
      <c r="F51" s="8">
        <v>1.5118E-14</v>
      </c>
      <c r="G51" s="8">
        <v>3.7211999999999999E-18</v>
      </c>
      <c r="H51" s="8">
        <v>4.3412E-11</v>
      </c>
      <c r="I51" s="8">
        <v>8.5610000000000002E-11</v>
      </c>
      <c r="J51" s="8"/>
      <c r="K51" s="1"/>
      <c r="L51" s="1"/>
      <c r="N51" s="7"/>
      <c r="P51" s="6"/>
      <c r="Q51" s="6"/>
      <c r="R51" s="6"/>
      <c r="S51" s="5"/>
      <c r="T51" s="6"/>
      <c r="U51" s="1"/>
      <c r="V51" s="1"/>
      <c r="X51" s="5"/>
      <c r="Y51" s="5"/>
      <c r="Z51" s="5"/>
      <c r="AA51" s="5"/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>
      <c r="B52" s="7">
        <v>4075.1</v>
      </c>
      <c r="C52" s="8">
        <v>5.2395E-13</v>
      </c>
      <c r="D52" s="8">
        <v>5.2395E-13</v>
      </c>
      <c r="E52" s="8">
        <v>5.2395E-13</v>
      </c>
      <c r="F52" s="8">
        <v>1.2667E-14</v>
      </c>
      <c r="G52" s="8">
        <v>3.1151000000000001E-18</v>
      </c>
      <c r="H52" s="8">
        <v>4.3447000000000003E-11</v>
      </c>
      <c r="I52" s="8">
        <v>8.5679E-11</v>
      </c>
      <c r="J52" s="8"/>
      <c r="K52" s="1"/>
      <c r="L52" s="1"/>
      <c r="N52" s="7"/>
      <c r="P52" s="6"/>
      <c r="Q52" s="6"/>
      <c r="R52" s="6"/>
      <c r="S52" s="5"/>
      <c r="T52" s="6"/>
      <c r="U52" s="1"/>
      <c r="V52" s="1"/>
      <c r="X52" s="5"/>
      <c r="Y52" s="5"/>
      <c r="Z52" s="5"/>
      <c r="AA52" s="5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>
      <c r="B53" s="7">
        <v>4206</v>
      </c>
      <c r="C53" s="8">
        <v>4.3898000000000001E-13</v>
      </c>
      <c r="D53" s="8">
        <v>4.3898000000000001E-13</v>
      </c>
      <c r="E53" s="8">
        <v>4.3898000000000001E-13</v>
      </c>
      <c r="F53" s="8">
        <v>1.0612999999999999E-14</v>
      </c>
      <c r="G53" s="8">
        <v>2.6102000000000002E-18</v>
      </c>
      <c r="H53" s="8">
        <v>4.3475999999999999E-11</v>
      </c>
      <c r="I53" s="8">
        <v>8.5737000000000006E-11</v>
      </c>
      <c r="J53" s="8"/>
      <c r="K53" s="1"/>
      <c r="L53" s="1"/>
      <c r="N53" s="7"/>
      <c r="P53" s="6"/>
      <c r="Q53" s="6"/>
      <c r="R53" s="6"/>
      <c r="S53" s="5"/>
      <c r="T53" s="6"/>
      <c r="U53" s="1"/>
      <c r="V53" s="1"/>
      <c r="X53" s="5"/>
      <c r="Y53" s="5"/>
      <c r="Z53" s="5"/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>
      <c r="B54" s="7">
        <v>4320</v>
      </c>
      <c r="C54" s="8">
        <v>3.7621999999999999E-13</v>
      </c>
      <c r="D54" s="8">
        <v>3.7621999999999999E-13</v>
      </c>
      <c r="E54" s="8">
        <v>3.7621999999999999E-13</v>
      </c>
      <c r="F54" s="8">
        <v>9.0954000000000002E-15</v>
      </c>
      <c r="G54" s="8">
        <v>2.2388E-18</v>
      </c>
      <c r="H54" s="8">
        <v>4.3498000000000001E-11</v>
      </c>
      <c r="I54" s="8">
        <v>8.5779000000000004E-11</v>
      </c>
      <c r="J54" s="8"/>
      <c r="K54" s="1"/>
      <c r="L54" s="1"/>
      <c r="N54" s="7"/>
      <c r="P54" s="6"/>
      <c r="Q54" s="6"/>
      <c r="R54" s="6"/>
      <c r="S54" s="5"/>
      <c r="T54" s="6"/>
      <c r="U54" s="1"/>
      <c r="V54" s="1"/>
      <c r="X54" s="5"/>
      <c r="Y54" s="5"/>
      <c r="Z54" s="5"/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>
      <c r="B55" s="7">
        <v>175</v>
      </c>
      <c r="C55" s="8">
        <v>1.142E-10</v>
      </c>
      <c r="D55" s="8">
        <v>1.142E-10</v>
      </c>
      <c r="E55" s="8">
        <v>1.142E-10</v>
      </c>
      <c r="F55" s="8">
        <v>2.7614999999999999E-12</v>
      </c>
      <c r="G55" s="8">
        <v>4.8649999999999999E-17</v>
      </c>
      <c r="H55" s="8">
        <v>9.3819000000000006E-12</v>
      </c>
      <c r="I55" s="8">
        <v>7.8132999999999996E-13</v>
      </c>
      <c r="J55" s="8"/>
      <c r="K55" s="1"/>
      <c r="L55" s="1"/>
      <c r="N55" s="7"/>
      <c r="P55" s="6"/>
      <c r="Q55" s="6"/>
      <c r="R55" s="6"/>
      <c r="S55" s="5"/>
      <c r="T55" s="6"/>
      <c r="U55" s="1"/>
      <c r="V55" s="1"/>
      <c r="X55" s="5"/>
      <c r="Y55" s="5"/>
      <c r="Z55" s="5"/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>
      <c r="B56" s="7">
        <v>180</v>
      </c>
      <c r="C56" s="8">
        <v>1.139E-10</v>
      </c>
      <c r="D56" s="8">
        <v>1.139E-10</v>
      </c>
      <c r="E56" s="8">
        <v>1.139E-10</v>
      </c>
      <c r="F56" s="8">
        <v>2.7540000000000002E-12</v>
      </c>
      <c r="G56" s="8">
        <v>4.9029999999999999E-17</v>
      </c>
      <c r="H56" s="8">
        <v>9.6452000000000001E-12</v>
      </c>
      <c r="I56" s="8">
        <v>8.2008999999999999E-13</v>
      </c>
      <c r="J56" s="8"/>
      <c r="K56" s="1"/>
      <c r="L56" s="1"/>
      <c r="N56" s="7"/>
      <c r="P56" s="6"/>
      <c r="Q56" s="6"/>
      <c r="R56" s="6"/>
      <c r="S56" s="5"/>
      <c r="T56" s="6"/>
      <c r="U56" s="1"/>
      <c r="V56" s="1"/>
      <c r="X56" s="5"/>
      <c r="Y56" s="5"/>
      <c r="Z56" s="5"/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>
      <c r="B57" s="7">
        <v>185</v>
      </c>
      <c r="C57" s="8">
        <v>1.136E-10</v>
      </c>
      <c r="D57" s="8">
        <v>1.136E-10</v>
      </c>
      <c r="E57" s="8">
        <v>1.136E-10</v>
      </c>
      <c r="F57" s="8">
        <v>2.7465000000000001E-12</v>
      </c>
      <c r="G57" s="8">
        <v>4.9366000000000001E-17</v>
      </c>
      <c r="H57" s="8">
        <v>9.9077999999999994E-12</v>
      </c>
      <c r="I57" s="8">
        <v>8.5910999999999996E-13</v>
      </c>
      <c r="J57" s="8"/>
      <c r="K57" s="1"/>
      <c r="L57" s="1"/>
      <c r="N57" s="7"/>
      <c r="P57" s="6"/>
      <c r="Q57" s="6"/>
      <c r="R57" s="6"/>
      <c r="S57" s="5"/>
      <c r="T57" s="6"/>
      <c r="U57" s="1"/>
      <c r="V57" s="1"/>
      <c r="X57" s="5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>
      <c r="B58" s="7">
        <v>190</v>
      </c>
      <c r="C58" s="8">
        <v>1.133E-10</v>
      </c>
      <c r="D58" s="8">
        <v>1.133E-10</v>
      </c>
      <c r="E58" s="8">
        <v>1.133E-10</v>
      </c>
      <c r="F58" s="8">
        <v>2.7389999999999999E-12</v>
      </c>
      <c r="G58" s="8">
        <v>4.9609000000000002E-17</v>
      </c>
      <c r="H58" s="8">
        <v>1.017E-11</v>
      </c>
      <c r="I58" s="8">
        <v>8.9836000000000002E-13</v>
      </c>
      <c r="J58" s="8"/>
      <c r="K58" s="1"/>
      <c r="L58" s="1"/>
      <c r="N58" s="7"/>
      <c r="P58" s="6"/>
      <c r="Q58" s="6"/>
      <c r="R58" s="6"/>
      <c r="S58" s="5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>
      <c r="B59" s="7">
        <v>195</v>
      </c>
      <c r="C59" s="8">
        <v>1.13E-10</v>
      </c>
      <c r="D59" s="8">
        <v>1.13E-10</v>
      </c>
      <c r="E59" s="8">
        <v>1.13E-10</v>
      </c>
      <c r="F59" s="8">
        <v>2.7316000000000002E-12</v>
      </c>
      <c r="G59" s="8">
        <v>4.9750000000000001E-17</v>
      </c>
      <c r="H59" s="8">
        <v>1.0431E-11</v>
      </c>
      <c r="I59" s="8">
        <v>9.377999999999999E-13</v>
      </c>
      <c r="J59" s="8"/>
      <c r="K59" s="1"/>
      <c r="L59" s="1"/>
      <c r="N59" s="7"/>
      <c r="P59" s="6"/>
      <c r="Q59" s="6"/>
      <c r="R59" s="6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>
      <c r="B60" s="7">
        <v>200</v>
      </c>
      <c r="C60" s="8">
        <v>1.127E-10</v>
      </c>
      <c r="D60" s="8">
        <v>1.127E-10</v>
      </c>
      <c r="E60" s="8">
        <v>1.127E-10</v>
      </c>
      <c r="F60" s="8">
        <v>2.7241000000000001E-12</v>
      </c>
      <c r="G60" s="8">
        <v>4.9938999999999999E-17</v>
      </c>
      <c r="H60" s="8">
        <v>1.0691E-11</v>
      </c>
      <c r="I60" s="8">
        <v>9.7743000000000001E-13</v>
      </c>
      <c r="J60" s="8"/>
      <c r="K60" s="1"/>
      <c r="L60" s="1"/>
      <c r="N60" s="7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>
      <c r="B61" s="7">
        <v>205</v>
      </c>
      <c r="C61" s="8">
        <v>1.1241E-10</v>
      </c>
      <c r="D61" s="8">
        <v>1.1241E-10</v>
      </c>
      <c r="E61" s="8">
        <v>1.1241E-10</v>
      </c>
      <c r="F61" s="8">
        <v>2.7167999999999999E-12</v>
      </c>
      <c r="G61" s="8">
        <v>5.0096000000000002E-17</v>
      </c>
      <c r="H61" s="8">
        <v>1.0951E-11</v>
      </c>
      <c r="I61" s="8">
        <v>1.0171999999999999E-12</v>
      </c>
      <c r="J61" s="8"/>
      <c r="K61" s="1"/>
      <c r="L61" s="1"/>
      <c r="N61" s="7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>
      <c r="B62" s="7">
        <v>210</v>
      </c>
      <c r="C62" s="8">
        <v>1.1211E-10</v>
      </c>
      <c r="D62" s="8">
        <v>1.1211E-10</v>
      </c>
      <c r="E62" s="8">
        <v>1.1211E-10</v>
      </c>
      <c r="F62" s="8">
        <v>2.7094000000000001E-12</v>
      </c>
      <c r="G62" s="8">
        <v>5.0289000000000001E-17</v>
      </c>
      <c r="H62" s="8">
        <v>1.1209999999999999E-11</v>
      </c>
      <c r="I62" s="8">
        <v>1.0571E-12</v>
      </c>
      <c r="J62" s="8"/>
      <c r="K62" s="1"/>
      <c r="L62" s="1"/>
      <c r="N62" s="7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>
      <c r="B63" s="7">
        <v>215</v>
      </c>
      <c r="C63" s="8">
        <v>1.1181E-10</v>
      </c>
      <c r="D63" s="8">
        <v>1.1181E-10</v>
      </c>
      <c r="E63" s="8">
        <v>1.1181E-10</v>
      </c>
      <c r="F63" s="8">
        <v>2.702E-12</v>
      </c>
      <c r="G63" s="8">
        <v>5.0351999999999998E-17</v>
      </c>
      <c r="H63" s="8">
        <v>1.1469E-11</v>
      </c>
      <c r="I63" s="8">
        <v>1.0971E-12</v>
      </c>
      <c r="J63" s="8"/>
      <c r="K63" s="1"/>
      <c r="L63" s="1"/>
      <c r="N63" s="7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>
      <c r="B64" s="7">
        <v>220</v>
      </c>
      <c r="C64" s="8">
        <v>1.1152000000000001E-10</v>
      </c>
      <c r="D64" s="8">
        <v>1.1152000000000001E-10</v>
      </c>
      <c r="E64" s="8">
        <v>1.1152000000000001E-10</v>
      </c>
      <c r="F64" s="8">
        <v>2.6946999999999998E-12</v>
      </c>
      <c r="G64" s="8">
        <v>5.0448000000000002E-17</v>
      </c>
      <c r="H64" s="8">
        <v>1.1726000000000001E-11</v>
      </c>
      <c r="I64" s="8">
        <v>1.1373E-12</v>
      </c>
      <c r="J64" s="8"/>
      <c r="K64" s="1"/>
      <c r="L64" s="1"/>
      <c r="N64" s="7"/>
      <c r="P64" s="6"/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2:65">
      <c r="B65" s="7">
        <v>225</v>
      </c>
      <c r="C65" s="8">
        <v>1.1122E-10</v>
      </c>
      <c r="D65" s="8">
        <v>1.1122E-10</v>
      </c>
      <c r="E65" s="8">
        <v>1.1122E-10</v>
      </c>
      <c r="F65" s="8">
        <v>2.6874E-12</v>
      </c>
      <c r="G65" s="8">
        <v>5.0628999999999998E-17</v>
      </c>
      <c r="H65" s="8">
        <v>1.1983E-11</v>
      </c>
      <c r="I65" s="8">
        <v>1.1774E-12</v>
      </c>
      <c r="J65" s="8"/>
      <c r="K65" s="1"/>
      <c r="L65" s="1"/>
      <c r="N65" s="7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2:65">
      <c r="B66" s="7">
        <v>230</v>
      </c>
      <c r="C66" s="8">
        <v>1.1093E-10</v>
      </c>
      <c r="D66" s="8">
        <v>1.1093E-10</v>
      </c>
      <c r="E66" s="8">
        <v>1.1093E-10</v>
      </c>
      <c r="F66" s="8">
        <v>2.6801999999999998E-12</v>
      </c>
      <c r="G66" s="8">
        <v>5.0595999999999998E-17</v>
      </c>
      <c r="H66" s="8">
        <v>1.224E-11</v>
      </c>
      <c r="I66" s="8">
        <v>1.2177E-12</v>
      </c>
      <c r="J66" s="8"/>
      <c r="K66" s="1"/>
      <c r="L66" s="1"/>
      <c r="N66" s="7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2:65">
      <c r="B67" s="7">
        <v>235</v>
      </c>
      <c r="C67" s="8">
        <v>1.1063E-10</v>
      </c>
      <c r="D67" s="8">
        <v>1.1063E-10</v>
      </c>
      <c r="E67" s="8">
        <v>1.1063E-10</v>
      </c>
      <c r="F67" s="8">
        <v>2.6729000000000001E-12</v>
      </c>
      <c r="G67" s="8">
        <v>5.0649000000000002E-17</v>
      </c>
      <c r="H67" s="8">
        <v>1.2495E-11</v>
      </c>
      <c r="I67" s="8">
        <v>1.2580000000000001E-12</v>
      </c>
      <c r="J67" s="8"/>
      <c r="K67" s="1"/>
      <c r="L67" s="1"/>
      <c r="N67" s="7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2:65">
      <c r="B68" s="7">
        <v>240</v>
      </c>
      <c r="C68" s="8">
        <v>1.1034E-10</v>
      </c>
      <c r="D68" s="8">
        <v>1.1034E-10</v>
      </c>
      <c r="E68" s="8">
        <v>1.1034E-10</v>
      </c>
      <c r="F68" s="8">
        <v>2.6656999999999998E-12</v>
      </c>
      <c r="G68" s="8">
        <v>5.0674E-17</v>
      </c>
      <c r="H68" s="8">
        <v>1.275E-11</v>
      </c>
      <c r="I68" s="8">
        <v>1.2984E-12</v>
      </c>
      <c r="J68" s="8"/>
      <c r="K68" s="1"/>
      <c r="L68" s="1"/>
      <c r="N68" s="7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2:65">
      <c r="B69" s="7">
        <v>245</v>
      </c>
      <c r="C69" s="8">
        <v>1.1005E-10</v>
      </c>
      <c r="D69" s="8">
        <v>1.1005E-10</v>
      </c>
      <c r="E69" s="8">
        <v>1.1005E-10</v>
      </c>
      <c r="F69" s="8">
        <v>2.6585E-12</v>
      </c>
      <c r="G69" s="8">
        <v>5.0794000000000003E-17</v>
      </c>
      <c r="H69" s="8">
        <v>1.3004000000000001E-11</v>
      </c>
      <c r="I69" s="8">
        <v>1.3387999999999999E-12</v>
      </c>
      <c r="J69" s="8"/>
      <c r="K69" s="1"/>
      <c r="L69" s="1"/>
      <c r="N69" s="7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2:65">
      <c r="B70" s="7">
        <v>250</v>
      </c>
      <c r="C70" s="8">
        <v>1.0976E-10</v>
      </c>
      <c r="D70" s="8">
        <v>1.0976E-10</v>
      </c>
      <c r="E70" s="8">
        <v>1.0976E-10</v>
      </c>
      <c r="F70" s="8">
        <v>2.6514000000000002E-12</v>
      </c>
      <c r="G70" s="8">
        <v>5.0696000000000002E-17</v>
      </c>
      <c r="H70" s="8">
        <v>1.3258E-11</v>
      </c>
      <c r="I70" s="8">
        <v>1.3792E-12</v>
      </c>
      <c r="J70" s="8"/>
      <c r="K70" s="1"/>
      <c r="L70" s="1"/>
      <c r="N70" s="7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2:65">
      <c r="B71" s="7">
        <v>255</v>
      </c>
      <c r="C71" s="8">
        <v>1.0947E-10</v>
      </c>
      <c r="D71" s="8">
        <v>1.0947E-10</v>
      </c>
      <c r="E71" s="8">
        <v>1.0947E-10</v>
      </c>
      <c r="F71" s="8">
        <v>2.6442E-12</v>
      </c>
      <c r="G71" s="8">
        <v>5.0635000000000002E-17</v>
      </c>
      <c r="H71" s="8">
        <v>1.3510999999999999E-11</v>
      </c>
      <c r="I71" s="8">
        <v>1.4195999999999999E-12</v>
      </c>
      <c r="J71" s="8"/>
      <c r="K71" s="1"/>
      <c r="L71" s="1"/>
      <c r="N71" s="7"/>
      <c r="P71" s="6"/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2:65">
      <c r="B72" s="7">
        <v>260</v>
      </c>
      <c r="C72" s="8">
        <v>1.0918E-10</v>
      </c>
      <c r="D72" s="8">
        <v>1.0918E-10</v>
      </c>
      <c r="E72" s="8">
        <v>1.0918E-10</v>
      </c>
      <c r="F72" s="8">
        <v>2.6371000000000001E-12</v>
      </c>
      <c r="G72" s="8">
        <v>5.0757000000000002E-17</v>
      </c>
      <c r="H72" s="8">
        <v>1.3762999999999999E-11</v>
      </c>
      <c r="I72" s="8">
        <v>1.4601E-12</v>
      </c>
      <c r="J72" s="8"/>
      <c r="K72" s="1"/>
      <c r="L72" s="1"/>
      <c r="N72" s="7"/>
      <c r="P72" s="6"/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2:65">
      <c r="B73" s="7">
        <v>265</v>
      </c>
      <c r="C73" s="8">
        <v>1.0889E-10</v>
      </c>
      <c r="D73" s="8">
        <v>1.0889E-10</v>
      </c>
      <c r="E73" s="8">
        <v>1.0889E-10</v>
      </c>
      <c r="F73" s="8">
        <v>2.6299999999999999E-12</v>
      </c>
      <c r="G73" s="8">
        <v>5.0706000000000001E-17</v>
      </c>
      <c r="H73" s="8">
        <v>1.4014000000000001E-11</v>
      </c>
      <c r="I73" s="8">
        <v>1.5004999999999999E-12</v>
      </c>
      <c r="J73" s="8"/>
      <c r="K73" s="1"/>
      <c r="L73" s="1"/>
      <c r="N73" s="7"/>
      <c r="P73" s="6"/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2:65">
      <c r="B74" s="7">
        <v>270</v>
      </c>
      <c r="C74" s="8">
        <v>1.086E-10</v>
      </c>
      <c r="D74" s="8">
        <v>1.086E-10</v>
      </c>
      <c r="E74" s="8">
        <v>1.086E-10</v>
      </c>
      <c r="F74" s="8">
        <v>2.6229000000000001E-12</v>
      </c>
      <c r="G74" s="8">
        <v>5.0581999999999998E-17</v>
      </c>
      <c r="H74" s="8">
        <v>1.4265E-11</v>
      </c>
      <c r="I74" s="8">
        <v>1.5409E-12</v>
      </c>
      <c r="J74" s="8"/>
      <c r="K74" s="1"/>
      <c r="L74" s="1"/>
      <c r="N74" s="7"/>
      <c r="P74" s="6"/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2:65">
      <c r="B75" s="7">
        <v>275</v>
      </c>
      <c r="C75" s="8">
        <v>1.0831E-10</v>
      </c>
      <c r="D75" s="8">
        <v>1.0831E-10</v>
      </c>
      <c r="E75" s="8">
        <v>1.0831E-10</v>
      </c>
      <c r="F75" s="8">
        <v>2.6159000000000002E-12</v>
      </c>
      <c r="G75" s="8">
        <v>5.0557E-17</v>
      </c>
      <c r="H75" s="8">
        <v>1.4514999999999999E-11</v>
      </c>
      <c r="I75" s="8">
        <v>1.5812999999999999E-12</v>
      </c>
      <c r="J75" s="8"/>
      <c r="K75" s="1"/>
      <c r="L75" s="1"/>
      <c r="N75" s="7"/>
      <c r="P75" s="6"/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2:65">
      <c r="B76" s="7">
        <v>280</v>
      </c>
      <c r="C76" s="8">
        <v>1.0802000000000001E-10</v>
      </c>
      <c r="D76" s="8">
        <v>1.0802000000000001E-10</v>
      </c>
      <c r="E76" s="8">
        <v>1.0802000000000001E-10</v>
      </c>
      <c r="F76" s="8">
        <v>2.6088999999999999E-12</v>
      </c>
      <c r="G76" s="8">
        <v>5.0536000000000003E-17</v>
      </c>
      <c r="H76" s="8">
        <v>1.4764000000000001E-11</v>
      </c>
      <c r="I76" s="8">
        <v>1.6216000000000001E-12</v>
      </c>
      <c r="J76" s="8"/>
      <c r="K76" s="1"/>
      <c r="L76" s="1"/>
      <c r="N76" s="7"/>
      <c r="P76" s="6"/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2:65">
      <c r="B77" s="7">
        <v>285</v>
      </c>
      <c r="C77" s="8">
        <v>1.0773E-10</v>
      </c>
      <c r="D77" s="8">
        <v>1.0773E-10</v>
      </c>
      <c r="E77" s="8">
        <v>1.0773E-10</v>
      </c>
      <c r="F77" s="8">
        <v>2.6018000000000001E-12</v>
      </c>
      <c r="G77" s="8">
        <v>5.0459999999999998E-17</v>
      </c>
      <c r="H77" s="8">
        <v>1.5013000000000002E-11</v>
      </c>
      <c r="I77" s="8">
        <v>1.662E-12</v>
      </c>
      <c r="J77" s="8"/>
      <c r="K77" s="1"/>
      <c r="L77" s="1"/>
      <c r="N77" s="7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2:65">
      <c r="B78" s="7">
        <v>290</v>
      </c>
      <c r="C78" s="8">
        <v>1.0745E-10</v>
      </c>
      <c r="D78" s="8">
        <v>1.0745E-10</v>
      </c>
      <c r="E78" s="8">
        <v>1.0745E-10</v>
      </c>
      <c r="F78" s="8">
        <v>2.5949000000000002E-12</v>
      </c>
      <c r="G78" s="8">
        <v>5.0341E-17</v>
      </c>
      <c r="H78" s="8">
        <v>1.5261E-11</v>
      </c>
      <c r="I78" s="8">
        <v>1.7022999999999999E-12</v>
      </c>
      <c r="J78" s="8"/>
      <c r="K78" s="1"/>
      <c r="L78" s="1"/>
      <c r="N78" s="7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2:65">
      <c r="B79" s="7">
        <v>295</v>
      </c>
      <c r="C79" s="8">
        <v>1.0715999999999999E-10</v>
      </c>
      <c r="D79" s="8">
        <v>1.0715999999999999E-10</v>
      </c>
      <c r="E79" s="8">
        <v>1.0715999999999999E-10</v>
      </c>
      <c r="F79" s="8">
        <v>2.5878999999999999E-12</v>
      </c>
      <c r="G79" s="8">
        <v>5.0257999999999999E-17</v>
      </c>
      <c r="H79" s="8">
        <v>1.5509000000000001E-11</v>
      </c>
      <c r="I79" s="8">
        <v>1.7425000000000001E-12</v>
      </c>
      <c r="J79" s="8"/>
      <c r="K79" s="1"/>
      <c r="L79" s="1"/>
      <c r="N79" s="7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2:65">
      <c r="B80" s="7">
        <v>300</v>
      </c>
      <c r="C80" s="8">
        <v>1.0688E-10</v>
      </c>
      <c r="D80" s="8">
        <v>1.0688E-10</v>
      </c>
      <c r="E80" s="8">
        <v>1.0688E-10</v>
      </c>
      <c r="F80" s="8">
        <v>2.5809E-12</v>
      </c>
      <c r="G80" s="8">
        <v>5.0284000000000001E-17</v>
      </c>
      <c r="H80" s="8">
        <v>1.5755000000000001E-11</v>
      </c>
      <c r="I80" s="8">
        <v>1.7827000000000001E-12</v>
      </c>
      <c r="J80" s="8"/>
      <c r="K80" s="1"/>
      <c r="L80" s="1"/>
      <c r="N80" s="7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2:65">
      <c r="B81" s="7">
        <v>310</v>
      </c>
      <c r="C81" s="8">
        <v>1.0631000000000001E-10</v>
      </c>
      <c r="D81" s="8">
        <v>1.0631000000000001E-10</v>
      </c>
      <c r="E81" s="8">
        <v>1.0631000000000001E-10</v>
      </c>
      <c r="F81" s="8">
        <v>2.5670999999999998E-12</v>
      </c>
      <c r="G81" s="8">
        <v>4.8953000000000001E-17</v>
      </c>
      <c r="H81" s="8">
        <v>1.6246999999999999E-11</v>
      </c>
      <c r="I81" s="8">
        <v>1.863E-12</v>
      </c>
      <c r="J81" s="8"/>
      <c r="K81" s="1"/>
      <c r="L81" s="1"/>
      <c r="N81" s="7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2:65">
      <c r="B82" s="7">
        <v>320</v>
      </c>
      <c r="C82" s="8">
        <v>1.0575E-10</v>
      </c>
      <c r="D82" s="8">
        <v>1.0575E-10</v>
      </c>
      <c r="E82" s="8">
        <v>1.0575E-10</v>
      </c>
      <c r="F82" s="8">
        <v>2.5534E-12</v>
      </c>
      <c r="G82" s="8">
        <v>4.8443E-17</v>
      </c>
      <c r="H82" s="8">
        <v>1.6735000000000001E-11</v>
      </c>
      <c r="I82" s="8">
        <v>1.9429000000000001E-12</v>
      </c>
      <c r="J82" s="8"/>
      <c r="K82" s="1"/>
      <c r="L82" s="1"/>
      <c r="N82" s="7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2:65">
      <c r="B83" s="7">
        <v>330</v>
      </c>
      <c r="C83" s="8">
        <v>1.0518000000000001E-10</v>
      </c>
      <c r="D83" s="8">
        <v>1.0518000000000001E-10</v>
      </c>
      <c r="E83" s="8">
        <v>1.0518000000000001E-10</v>
      </c>
      <c r="F83" s="8">
        <v>2.5397000000000002E-12</v>
      </c>
      <c r="G83" s="8">
        <v>4.9271000000000002E-17</v>
      </c>
      <c r="H83" s="8">
        <v>1.7220999999999999E-11</v>
      </c>
      <c r="I83" s="8">
        <v>2.0225999999999999E-12</v>
      </c>
      <c r="J83" s="8"/>
      <c r="K83" s="1"/>
      <c r="L83" s="1"/>
      <c r="N83" s="7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2:65">
      <c r="B84" s="7">
        <v>340</v>
      </c>
      <c r="C84" s="8">
        <v>1.0463E-10</v>
      </c>
      <c r="D84" s="8">
        <v>1.0463E-10</v>
      </c>
      <c r="E84" s="8">
        <v>1.0463E-10</v>
      </c>
      <c r="F84" s="8">
        <v>2.5260999999999999E-12</v>
      </c>
      <c r="G84" s="8">
        <v>4.9342000000000001E-17</v>
      </c>
      <c r="H84" s="8">
        <v>1.7704999999999999E-11</v>
      </c>
      <c r="I84" s="8">
        <v>2.1020000000000001E-12</v>
      </c>
      <c r="J84" s="8"/>
      <c r="K84" s="1"/>
      <c r="L84" s="1"/>
      <c r="N84" s="7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2:65">
      <c r="B85" s="7">
        <v>350</v>
      </c>
      <c r="C85" s="8">
        <v>1.0407E-10</v>
      </c>
      <c r="D85" s="8">
        <v>1.0407E-10</v>
      </c>
      <c r="E85" s="8">
        <v>1.0407E-10</v>
      </c>
      <c r="F85" s="8">
        <v>2.5126E-12</v>
      </c>
      <c r="G85" s="8">
        <v>4.8877000000000003E-17</v>
      </c>
      <c r="H85" s="8">
        <v>1.8185E-11</v>
      </c>
      <c r="I85" s="8">
        <v>2.1812E-12</v>
      </c>
      <c r="J85" s="8"/>
      <c r="K85" s="1"/>
      <c r="L85" s="1"/>
      <c r="N85" s="7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2:65">
      <c r="B86" s="7">
        <v>360</v>
      </c>
      <c r="C86" s="8">
        <v>1.0352E-10</v>
      </c>
      <c r="D86" s="8">
        <v>1.0352E-10</v>
      </c>
      <c r="E86" s="8">
        <v>1.0352E-10</v>
      </c>
      <c r="F86" s="8">
        <v>2.4992000000000001E-12</v>
      </c>
      <c r="G86" s="8">
        <v>4.8813000000000001E-17</v>
      </c>
      <c r="H86" s="8">
        <v>1.8663999999999999E-11</v>
      </c>
      <c r="I86" s="8">
        <v>2.2600000000000001E-12</v>
      </c>
      <c r="J86" s="8"/>
      <c r="K86" s="1"/>
      <c r="L86" s="1"/>
      <c r="N86" s="7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2:65">
      <c r="B87" s="7">
        <v>370</v>
      </c>
      <c r="C87" s="8">
        <v>1.0296999999999999E-10</v>
      </c>
      <c r="D87" s="8">
        <v>1.0296999999999999E-10</v>
      </c>
      <c r="E87" s="8">
        <v>1.0296999999999999E-10</v>
      </c>
      <c r="F87" s="8">
        <v>2.4858000000000002E-12</v>
      </c>
      <c r="G87" s="8">
        <v>4.8659999999999998E-17</v>
      </c>
      <c r="H87" s="8">
        <v>1.9138999999999999E-11</v>
      </c>
      <c r="I87" s="8">
        <v>2.3385000000000002E-12</v>
      </c>
      <c r="J87" s="8"/>
      <c r="K87" s="1"/>
      <c r="L87" s="1"/>
      <c r="N87" s="7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2:65">
      <c r="B88" s="7">
        <v>380</v>
      </c>
      <c r="C88" s="8">
        <v>1.0241999999999999E-10</v>
      </c>
      <c r="D88" s="8">
        <v>1.0241999999999999E-10</v>
      </c>
      <c r="E88" s="8">
        <v>1.0241999999999999E-10</v>
      </c>
      <c r="F88" s="8">
        <v>2.4726000000000002E-12</v>
      </c>
      <c r="G88" s="8">
        <v>4.8438000000000001E-17</v>
      </c>
      <c r="H88" s="8">
        <v>1.9611999999999998E-11</v>
      </c>
      <c r="I88" s="8">
        <v>2.4167E-12</v>
      </c>
      <c r="J88" s="8"/>
      <c r="K88" s="1"/>
      <c r="L88" s="1"/>
      <c r="N88" s="7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2:65">
      <c r="B89" s="7">
        <v>390</v>
      </c>
      <c r="C89" s="8">
        <v>1.0188E-10</v>
      </c>
      <c r="D89" s="8">
        <v>1.0188E-10</v>
      </c>
      <c r="E89" s="8">
        <v>1.0188E-10</v>
      </c>
      <c r="F89" s="8">
        <v>2.4593999999999998E-12</v>
      </c>
      <c r="G89" s="8">
        <v>4.8386000000000001E-17</v>
      </c>
      <c r="H89" s="8">
        <v>2.0083E-11</v>
      </c>
      <c r="I89" s="8">
        <v>2.4945999999999999E-12</v>
      </c>
      <c r="J89" s="8"/>
      <c r="K89" s="1"/>
      <c r="L89" s="1"/>
      <c r="N89" s="7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2:65">
      <c r="B90" s="7">
        <v>400</v>
      </c>
      <c r="C90" s="8">
        <v>1.0133E-10</v>
      </c>
      <c r="D90" s="8">
        <v>1.0133E-10</v>
      </c>
      <c r="E90" s="8">
        <v>1.0133E-10</v>
      </c>
      <c r="F90" s="8">
        <v>2.4461999999999998E-12</v>
      </c>
      <c r="G90" s="8">
        <v>4.8129E-17</v>
      </c>
      <c r="H90" s="8">
        <v>2.0549999999999999E-11</v>
      </c>
      <c r="I90" s="8">
        <v>2.5719999999999999E-12</v>
      </c>
      <c r="J90" s="8"/>
      <c r="K90" s="1"/>
      <c r="L90" s="1"/>
      <c r="N90" s="7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2:65">
      <c r="B91" s="7">
        <v>410</v>
      </c>
      <c r="C91" s="8">
        <v>1.008E-10</v>
      </c>
      <c r="D91" s="8">
        <v>1.008E-10</v>
      </c>
      <c r="E91" s="8">
        <v>1.008E-10</v>
      </c>
      <c r="F91" s="8">
        <v>2.4332000000000002E-12</v>
      </c>
      <c r="G91" s="8">
        <v>4.7799000000000003E-17</v>
      </c>
      <c r="H91" s="8">
        <v>2.1016E-11</v>
      </c>
      <c r="I91" s="8">
        <v>2.6492000000000001E-12</v>
      </c>
      <c r="J91" s="8"/>
      <c r="K91" s="1"/>
      <c r="L91" s="1"/>
      <c r="N91" s="7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2:65">
      <c r="B92" s="7">
        <v>420</v>
      </c>
      <c r="C92" s="8">
        <v>1.0026E-10</v>
      </c>
      <c r="D92" s="8">
        <v>1.0026E-10</v>
      </c>
      <c r="E92" s="8">
        <v>1.0026E-10</v>
      </c>
      <c r="F92" s="8">
        <v>2.4202000000000001E-12</v>
      </c>
      <c r="G92" s="8">
        <v>4.7613999999999999E-17</v>
      </c>
      <c r="H92" s="8">
        <v>2.1477999999999999E-11</v>
      </c>
      <c r="I92" s="8">
        <v>2.7258999999999999E-12</v>
      </c>
      <c r="J92" s="8"/>
      <c r="K92" s="1"/>
      <c r="L92" s="1"/>
      <c r="N92" s="7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2:65">
      <c r="B93" s="7">
        <v>430</v>
      </c>
      <c r="C93" s="8">
        <v>9.9727999999999997E-11</v>
      </c>
      <c r="D93" s="8">
        <v>9.9727999999999997E-11</v>
      </c>
      <c r="E93" s="8">
        <v>9.9727999999999997E-11</v>
      </c>
      <c r="F93" s="8">
        <v>2.4073000000000001E-12</v>
      </c>
      <c r="G93" s="8">
        <v>4.7401000000000002E-17</v>
      </c>
      <c r="H93" s="8">
        <v>2.1938999999999999E-11</v>
      </c>
      <c r="I93" s="8">
        <v>2.8022999999999999E-12</v>
      </c>
      <c r="J93" s="8"/>
      <c r="K93" s="1"/>
      <c r="L93" s="1"/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2:65">
      <c r="B94" s="7">
        <v>440</v>
      </c>
      <c r="C94" s="8">
        <v>9.9198E-11</v>
      </c>
      <c r="D94" s="8">
        <v>9.9198E-11</v>
      </c>
      <c r="E94" s="8">
        <v>9.9198E-11</v>
      </c>
      <c r="F94" s="8">
        <v>2.3944999999999999E-12</v>
      </c>
      <c r="G94" s="8">
        <v>4.7134000000000002E-17</v>
      </c>
      <c r="H94" s="8">
        <v>2.2395999999999999E-11</v>
      </c>
      <c r="I94" s="8">
        <v>2.8783999999999999E-12</v>
      </c>
      <c r="J94" s="8"/>
      <c r="K94" s="1"/>
      <c r="L94" s="1"/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2:65">
      <c r="B95" s="7">
        <v>450</v>
      </c>
      <c r="C95" s="8">
        <v>9.8671000000000002E-11</v>
      </c>
      <c r="D95" s="8">
        <v>9.8671000000000002E-11</v>
      </c>
      <c r="E95" s="8">
        <v>9.8671000000000002E-11</v>
      </c>
      <c r="F95" s="8">
        <v>2.3816999999999998E-12</v>
      </c>
      <c r="G95" s="8">
        <v>4.6877000000000001E-17</v>
      </c>
      <c r="H95" s="8">
        <v>2.2852000000000002E-11</v>
      </c>
      <c r="I95" s="8">
        <v>2.9540000000000001E-12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2:65">
      <c r="B96" s="7">
        <v>460</v>
      </c>
      <c r="C96" s="8">
        <v>9.8147000000000005E-11</v>
      </c>
      <c r="D96" s="8">
        <v>9.8147000000000005E-11</v>
      </c>
      <c r="E96" s="8">
        <v>9.8147000000000005E-11</v>
      </c>
      <c r="F96" s="8">
        <v>2.3690000000000001E-12</v>
      </c>
      <c r="G96" s="8">
        <v>4.6606E-17</v>
      </c>
      <c r="H96" s="8">
        <v>2.3305000000000001E-11</v>
      </c>
      <c r="I96" s="8">
        <v>3.0293E-12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>
      <c r="B97" s="7">
        <v>470</v>
      </c>
      <c r="C97" s="8">
        <v>9.7625999999999995E-11</v>
      </c>
      <c r="D97" s="8">
        <v>9.7625999999999995E-11</v>
      </c>
      <c r="E97" s="8">
        <v>9.7625999999999995E-11</v>
      </c>
      <c r="F97" s="8">
        <v>2.3563999999999999E-12</v>
      </c>
      <c r="G97" s="8">
        <v>4.6258000000000001E-17</v>
      </c>
      <c r="H97" s="8">
        <v>2.3755E-11</v>
      </c>
      <c r="I97" s="8">
        <v>3.1042E-12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>
      <c r="B98" s="7">
        <v>480</v>
      </c>
      <c r="C98" s="8">
        <v>9.7107000000000001E-11</v>
      </c>
      <c r="D98" s="8">
        <v>9.7107000000000001E-11</v>
      </c>
      <c r="E98" s="8">
        <v>9.7107000000000001E-11</v>
      </c>
      <c r="F98" s="8">
        <v>2.3438000000000002E-12</v>
      </c>
      <c r="G98" s="8">
        <v>4.6058999999999998E-17</v>
      </c>
      <c r="H98" s="8">
        <v>2.4203000000000001E-11</v>
      </c>
      <c r="I98" s="8">
        <v>3.1788000000000001E-12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>
      <c r="B99" s="7">
        <v>490</v>
      </c>
      <c r="C99" s="8">
        <v>9.6590999999999995E-11</v>
      </c>
      <c r="D99" s="8">
        <v>9.6590999999999995E-11</v>
      </c>
      <c r="E99" s="8">
        <v>9.6590999999999995E-11</v>
      </c>
      <c r="F99" s="8">
        <v>2.3313E-12</v>
      </c>
      <c r="G99" s="8">
        <v>4.5904999999999997E-17</v>
      </c>
      <c r="H99" s="8">
        <v>2.4647999999999999E-11</v>
      </c>
      <c r="I99" s="8">
        <v>3.2529E-12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>
      <c r="B100" s="7">
        <v>500</v>
      </c>
      <c r="C100" s="8">
        <v>9.6078000000000002E-11</v>
      </c>
      <c r="D100" s="8">
        <v>9.6078000000000002E-11</v>
      </c>
      <c r="E100" s="8">
        <v>9.6078000000000002E-11</v>
      </c>
      <c r="F100" s="8">
        <v>2.3189000000000001E-12</v>
      </c>
      <c r="G100" s="8">
        <v>4.5541000000000001E-17</v>
      </c>
      <c r="H100" s="8">
        <v>2.5091999999999998E-11</v>
      </c>
      <c r="I100" s="8">
        <v>3.3267E-12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>
      <c r="B101" s="7">
        <v>510</v>
      </c>
      <c r="C101" s="8">
        <v>9.5567999999999995E-11</v>
      </c>
      <c r="D101" s="8">
        <v>9.5567999999999995E-11</v>
      </c>
      <c r="E101" s="8">
        <v>9.5567999999999995E-11</v>
      </c>
      <c r="F101" s="8">
        <v>2.3065999999999999E-12</v>
      </c>
      <c r="G101" s="8">
        <v>4.5345999999999999E-17</v>
      </c>
      <c r="H101" s="8">
        <v>2.5531999999999999E-11</v>
      </c>
      <c r="I101" s="8">
        <v>3.4001E-12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>
      <c r="B102" s="7">
        <v>520</v>
      </c>
      <c r="C102" s="8">
        <v>9.5060000000000006E-11</v>
      </c>
      <c r="D102" s="8">
        <v>9.5060000000000006E-11</v>
      </c>
      <c r="E102" s="8">
        <v>9.5060000000000006E-11</v>
      </c>
      <c r="F102" s="8">
        <v>2.2943E-12</v>
      </c>
      <c r="G102" s="8">
        <v>4.5069999999999998E-17</v>
      </c>
      <c r="H102" s="8">
        <v>2.5971000000000001E-11</v>
      </c>
      <c r="I102" s="8">
        <v>3.4730999999999998E-12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>
      <c r="B103" s="7">
        <v>530</v>
      </c>
      <c r="C103" s="8">
        <v>9.4555999999999999E-11</v>
      </c>
      <c r="D103" s="8">
        <v>9.4555999999999999E-11</v>
      </c>
      <c r="E103" s="8">
        <v>9.4555999999999999E-11</v>
      </c>
      <c r="F103" s="8">
        <v>2.2821000000000001E-12</v>
      </c>
      <c r="G103" s="8">
        <v>4.4829000000000001E-17</v>
      </c>
      <c r="H103" s="8">
        <v>2.6406999999999999E-11</v>
      </c>
      <c r="I103" s="8">
        <v>3.5457000000000001E-12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>
      <c r="B104" s="7">
        <v>540</v>
      </c>
      <c r="C104" s="8">
        <v>9.4053000000000001E-11</v>
      </c>
      <c r="D104" s="8">
        <v>9.4053000000000001E-11</v>
      </c>
      <c r="E104" s="8">
        <v>9.4053000000000001E-11</v>
      </c>
      <c r="F104" s="8">
        <v>2.2698999999999998E-12</v>
      </c>
      <c r="G104" s="8">
        <v>4.4638999999999998E-17</v>
      </c>
      <c r="H104" s="8">
        <v>2.6840000000000001E-11</v>
      </c>
      <c r="I104" s="8">
        <v>3.6180000000000001E-12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>
      <c r="B105" s="7">
        <v>550</v>
      </c>
      <c r="C105" s="8">
        <v>9.3553999999999998E-11</v>
      </c>
      <c r="D105" s="8">
        <v>9.3553999999999998E-11</v>
      </c>
      <c r="E105" s="8">
        <v>9.3553999999999998E-11</v>
      </c>
      <c r="F105" s="8">
        <v>2.2578999999999999E-12</v>
      </c>
      <c r="G105" s="8">
        <v>4.4371999999999998E-17</v>
      </c>
      <c r="H105" s="8">
        <v>2.7272000000000001E-11</v>
      </c>
      <c r="I105" s="8">
        <v>3.6899000000000003E-12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>
      <c r="B106" s="7">
        <v>560</v>
      </c>
      <c r="C106" s="8">
        <v>9.3057E-11</v>
      </c>
      <c r="D106" s="8">
        <v>9.3057E-11</v>
      </c>
      <c r="E106" s="8">
        <v>9.3057E-11</v>
      </c>
      <c r="F106" s="8">
        <v>2.2459E-12</v>
      </c>
      <c r="G106" s="8">
        <v>4.4160999999999998E-17</v>
      </c>
      <c r="H106" s="8">
        <v>2.7701000000000001E-11</v>
      </c>
      <c r="I106" s="8">
        <v>3.7613999999999997E-12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>
      <c r="B107" s="7">
        <v>570</v>
      </c>
      <c r="C107" s="8">
        <v>9.2563000000000001E-11</v>
      </c>
      <c r="D107" s="8">
        <v>9.2563000000000001E-11</v>
      </c>
      <c r="E107" s="8">
        <v>9.2563000000000001E-11</v>
      </c>
      <c r="F107" s="8">
        <v>2.2339E-12</v>
      </c>
      <c r="G107" s="8">
        <v>4.3948999999999999E-17</v>
      </c>
      <c r="H107" s="8">
        <v>2.8127000000000001E-11</v>
      </c>
      <c r="I107" s="8">
        <v>3.8325000000000001E-12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>
      <c r="B108" s="7">
        <v>580</v>
      </c>
      <c r="C108" s="8">
        <v>9.2072000000000003E-11</v>
      </c>
      <c r="D108" s="8">
        <v>9.2072000000000003E-11</v>
      </c>
      <c r="E108" s="8">
        <v>9.2072000000000003E-11</v>
      </c>
      <c r="F108" s="8">
        <v>2.222E-12</v>
      </c>
      <c r="G108" s="8">
        <v>4.3676000000000001E-17</v>
      </c>
      <c r="H108" s="8">
        <v>2.8551999999999999E-11</v>
      </c>
      <c r="I108" s="8">
        <v>3.9033000000000001E-12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>
      <c r="B109" s="7">
        <v>590</v>
      </c>
      <c r="C109" s="8">
        <v>9.1582999999999995E-11</v>
      </c>
      <c r="D109" s="8">
        <v>9.1582999999999995E-11</v>
      </c>
      <c r="E109" s="8">
        <v>9.1582999999999995E-11</v>
      </c>
      <c r="F109" s="8">
        <v>2.2102E-12</v>
      </c>
      <c r="G109" s="8">
        <v>4.3363999999999998E-17</v>
      </c>
      <c r="H109" s="8">
        <v>2.8974E-11</v>
      </c>
      <c r="I109" s="8">
        <v>3.9737000000000003E-12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>
      <c r="B110" s="7">
        <v>600</v>
      </c>
      <c r="C110" s="8">
        <v>9.1097000000000001E-11</v>
      </c>
      <c r="D110" s="8">
        <v>9.1097000000000001E-11</v>
      </c>
      <c r="E110" s="8">
        <v>9.1097000000000001E-11</v>
      </c>
      <c r="F110" s="8">
        <v>2.1985E-12</v>
      </c>
      <c r="G110" s="8">
        <v>4.3183000000000002E-17</v>
      </c>
      <c r="H110" s="8">
        <v>2.9393999999999997E-11</v>
      </c>
      <c r="I110" s="8">
        <v>4.0436999999999998E-12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>
      <c r="B111" s="7">
        <v>610</v>
      </c>
      <c r="C111" s="8">
        <v>9.0612999999999998E-11</v>
      </c>
      <c r="D111" s="8">
        <v>9.0612999999999998E-11</v>
      </c>
      <c r="E111" s="8">
        <v>9.0612999999999998E-11</v>
      </c>
      <c r="F111" s="8">
        <v>2.1867999999999999E-12</v>
      </c>
      <c r="G111" s="8">
        <v>4.2962000000000003E-17</v>
      </c>
      <c r="H111" s="8">
        <v>2.9811000000000001E-11</v>
      </c>
      <c r="I111" s="8">
        <v>4.1133000000000003E-12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>
      <c r="B112" s="7">
        <v>620</v>
      </c>
      <c r="C112" s="8">
        <v>9.0131999999999994E-11</v>
      </c>
      <c r="D112" s="8">
        <v>9.0131999999999994E-11</v>
      </c>
      <c r="E112" s="8">
        <v>9.0131999999999994E-11</v>
      </c>
      <c r="F112" s="8">
        <v>2.1750999999999999E-12</v>
      </c>
      <c r="G112" s="8">
        <v>4.2775000000000002E-17</v>
      </c>
      <c r="H112" s="8">
        <v>3.0226E-11</v>
      </c>
      <c r="I112" s="8">
        <v>4.1826000000000004E-12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>
      <c r="B113" s="7">
        <v>630</v>
      </c>
      <c r="C113" s="8">
        <v>8.9654000000000004E-11</v>
      </c>
      <c r="D113" s="8">
        <v>8.9654000000000004E-11</v>
      </c>
      <c r="E113" s="8">
        <v>8.9654000000000004E-11</v>
      </c>
      <c r="F113" s="8">
        <v>2.1636000000000002E-12</v>
      </c>
      <c r="G113" s="8">
        <v>4.2484000000000003E-17</v>
      </c>
      <c r="H113" s="8">
        <v>3.0639999999999997E-11</v>
      </c>
      <c r="I113" s="8">
        <v>4.2516000000000002E-12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>
      <c r="B114" s="7">
        <v>640</v>
      </c>
      <c r="C114" s="8">
        <v>8.9178000000000005E-11</v>
      </c>
      <c r="D114" s="8">
        <v>8.9178000000000005E-11</v>
      </c>
      <c r="E114" s="8">
        <v>8.9178000000000005E-11</v>
      </c>
      <c r="F114" s="8">
        <v>2.1521000000000001E-12</v>
      </c>
      <c r="G114" s="8">
        <v>4.2199000000000002E-17</v>
      </c>
      <c r="H114" s="8">
        <v>3.1049999999999999E-11</v>
      </c>
      <c r="I114" s="8">
        <v>4.3200999999999997E-12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>
      <c r="B115" s="7">
        <v>650</v>
      </c>
      <c r="C115" s="8">
        <v>8.8705000000000005E-11</v>
      </c>
      <c r="D115" s="8">
        <v>8.8705000000000005E-11</v>
      </c>
      <c r="E115" s="8">
        <v>8.8705000000000005E-11</v>
      </c>
      <c r="F115" s="8">
        <v>2.1406E-12</v>
      </c>
      <c r="G115" s="8">
        <v>4.2016000000000002E-17</v>
      </c>
      <c r="H115" s="8">
        <v>3.1458999999999998E-11</v>
      </c>
      <c r="I115" s="8">
        <v>4.3882999999999998E-12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>
      <c r="B116" s="7">
        <v>660</v>
      </c>
      <c r="C116" s="8">
        <v>8.8233999999999997E-11</v>
      </c>
      <c r="D116" s="8">
        <v>8.8233999999999997E-11</v>
      </c>
      <c r="E116" s="8">
        <v>8.8233999999999997E-11</v>
      </c>
      <c r="F116" s="8">
        <v>2.1292999999999998E-12</v>
      </c>
      <c r="G116" s="8">
        <v>4.1782000000000002E-17</v>
      </c>
      <c r="H116" s="8">
        <v>3.1866E-11</v>
      </c>
      <c r="I116" s="8">
        <v>4.4562000000000003E-12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>
      <c r="B117" s="7">
        <v>670</v>
      </c>
      <c r="C117" s="8">
        <v>8.7766000000000002E-11</v>
      </c>
      <c r="D117" s="8">
        <v>8.7766000000000002E-11</v>
      </c>
      <c r="E117" s="8">
        <v>8.7766000000000002E-11</v>
      </c>
      <c r="F117" s="8">
        <v>2.1179000000000001E-12</v>
      </c>
      <c r="G117" s="8">
        <v>4.1521E-17</v>
      </c>
      <c r="H117" s="8">
        <v>3.2270000000000002E-11</v>
      </c>
      <c r="I117" s="8">
        <v>4.5237000000000002E-12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>
      <c r="B118" s="7">
        <v>680</v>
      </c>
      <c r="C118" s="8">
        <v>8.7299999999999998E-11</v>
      </c>
      <c r="D118" s="8">
        <v>8.7299999999999998E-11</v>
      </c>
      <c r="E118" s="8">
        <v>8.7299999999999998E-11</v>
      </c>
      <c r="F118" s="8">
        <v>2.1066999999999999E-12</v>
      </c>
      <c r="G118" s="8">
        <v>4.1303000000000003E-17</v>
      </c>
      <c r="H118" s="8">
        <v>3.2672E-11</v>
      </c>
      <c r="I118" s="8">
        <v>4.5908000000000002E-12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>
      <c r="B119" s="7">
        <v>690</v>
      </c>
      <c r="C119" s="8">
        <v>8.6836999999999994E-11</v>
      </c>
      <c r="D119" s="8">
        <v>8.6836999999999994E-11</v>
      </c>
      <c r="E119" s="8">
        <v>8.6836999999999994E-11</v>
      </c>
      <c r="F119" s="8">
        <v>2.0955000000000001E-12</v>
      </c>
      <c r="G119" s="8">
        <v>4.1009000000000001E-17</v>
      </c>
      <c r="H119" s="8">
        <v>3.3072E-11</v>
      </c>
      <c r="I119" s="8">
        <v>4.6575999999999999E-12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>
      <c r="B120" s="7">
        <v>700</v>
      </c>
      <c r="C120" s="8">
        <v>8.6375999999999995E-11</v>
      </c>
      <c r="D120" s="8">
        <v>8.6375999999999995E-11</v>
      </c>
      <c r="E120" s="8">
        <v>8.6375999999999995E-11</v>
      </c>
      <c r="F120" s="8">
        <v>2.0843999999999999E-12</v>
      </c>
      <c r="G120" s="8">
        <v>4.0881000000000003E-17</v>
      </c>
      <c r="H120" s="8">
        <v>3.3470000000000002E-11</v>
      </c>
      <c r="I120" s="8">
        <v>4.7239999999999997E-12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>
      <c r="B121" s="7">
        <v>720</v>
      </c>
      <c r="C121" s="8">
        <v>8.5461000000000003E-11</v>
      </c>
      <c r="D121" s="8">
        <v>8.5461000000000003E-11</v>
      </c>
      <c r="E121" s="8">
        <v>8.5461000000000003E-11</v>
      </c>
      <c r="F121" s="8">
        <v>2.0622999999999998E-12</v>
      </c>
      <c r="G121" s="8">
        <v>3.9489000000000003E-17</v>
      </c>
      <c r="H121" s="8">
        <v>3.4258999999999998E-11</v>
      </c>
      <c r="I121" s="8">
        <v>4.8558999999999999E-12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>
      <c r="B122" s="7">
        <v>740</v>
      </c>
      <c r="C122" s="8">
        <v>8.4561999999999995E-11</v>
      </c>
      <c r="D122" s="8">
        <v>8.4561999999999995E-11</v>
      </c>
      <c r="E122" s="8">
        <v>8.4561999999999995E-11</v>
      </c>
      <c r="F122" s="8">
        <v>2.0405E-12</v>
      </c>
      <c r="G122" s="8">
        <v>4.0152999999999999E-17</v>
      </c>
      <c r="H122" s="8">
        <v>3.5040000000000003E-11</v>
      </c>
      <c r="I122" s="8">
        <v>4.9863000000000003E-12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>
      <c r="B123" s="7">
        <v>760</v>
      </c>
      <c r="C123" s="8">
        <v>8.3671000000000002E-11</v>
      </c>
      <c r="D123" s="8">
        <v>8.3671000000000002E-11</v>
      </c>
      <c r="E123" s="8">
        <v>8.3671000000000002E-11</v>
      </c>
      <c r="F123" s="8">
        <v>2.0190000000000002E-12</v>
      </c>
      <c r="G123" s="8">
        <v>3.9961999999999997E-17</v>
      </c>
      <c r="H123" s="8">
        <v>3.5812999999999997E-11</v>
      </c>
      <c r="I123" s="8">
        <v>5.1153999999999998E-12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>
      <c r="B124" s="7">
        <v>780</v>
      </c>
      <c r="C124" s="8">
        <v>8.2791000000000001E-11</v>
      </c>
      <c r="D124" s="8">
        <v>8.2791000000000001E-11</v>
      </c>
      <c r="E124" s="8">
        <v>8.2791000000000001E-11</v>
      </c>
      <c r="F124" s="8">
        <v>1.9977999999999998E-12</v>
      </c>
      <c r="G124" s="8">
        <v>3.9613E-17</v>
      </c>
      <c r="H124" s="8">
        <v>3.6576999999999998E-11</v>
      </c>
      <c r="I124" s="8">
        <v>5.2432000000000001E-12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>
      <c r="B125" s="7">
        <v>800</v>
      </c>
      <c r="C125" s="8">
        <v>8.1916000000000004E-11</v>
      </c>
      <c r="D125" s="8">
        <v>8.1916000000000004E-11</v>
      </c>
      <c r="E125" s="8">
        <v>8.1916000000000004E-11</v>
      </c>
      <c r="F125" s="8">
        <v>1.9765999999999999E-12</v>
      </c>
      <c r="G125" s="8">
        <v>3.9139000000000001E-17</v>
      </c>
      <c r="H125" s="8">
        <v>3.7333000000000002E-11</v>
      </c>
      <c r="I125" s="8">
        <v>5.3696999999999996E-12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>
      <c r="B126" s="7">
        <v>820</v>
      </c>
      <c r="C126" s="8">
        <v>8.1049999999999994E-11</v>
      </c>
      <c r="D126" s="8">
        <v>8.1049999999999994E-11</v>
      </c>
      <c r="E126" s="8">
        <v>8.1049999999999994E-11</v>
      </c>
      <c r="F126" s="8">
        <v>1.9556999999999998E-12</v>
      </c>
      <c r="G126" s="8">
        <v>3.8455999999999999E-17</v>
      </c>
      <c r="H126" s="8">
        <v>3.8081999999999997E-11</v>
      </c>
      <c r="I126" s="8">
        <v>5.4948000000000004E-12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>
      <c r="B127" s="7">
        <v>840</v>
      </c>
      <c r="C127" s="8">
        <v>8.0192000000000001E-11</v>
      </c>
      <c r="D127" s="8">
        <v>8.0192000000000001E-11</v>
      </c>
      <c r="E127" s="8">
        <v>8.0192000000000001E-11</v>
      </c>
      <c r="F127" s="8">
        <v>1.9350000000000001E-12</v>
      </c>
      <c r="G127" s="8">
        <v>3.8177000000000003E-17</v>
      </c>
      <c r="H127" s="8">
        <v>3.8821999999999999E-11</v>
      </c>
      <c r="I127" s="8">
        <v>5.6186000000000003E-12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>
      <c r="B128" s="7">
        <v>860</v>
      </c>
      <c r="C128" s="8">
        <v>7.9344000000000003E-11</v>
      </c>
      <c r="D128" s="8">
        <v>7.9344000000000003E-11</v>
      </c>
      <c r="E128" s="8">
        <v>7.9344000000000003E-11</v>
      </c>
      <c r="F128" s="8">
        <v>1.9145E-12</v>
      </c>
      <c r="G128" s="8">
        <v>3.7583000000000001E-17</v>
      </c>
      <c r="H128" s="8">
        <v>3.9553999999999997E-11</v>
      </c>
      <c r="I128" s="8">
        <v>5.7411000000000002E-12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>
      <c r="B129" s="7">
        <v>880</v>
      </c>
      <c r="C129" s="8">
        <v>7.8503999999999996E-11</v>
      </c>
      <c r="D129" s="8">
        <v>7.8503999999999996E-11</v>
      </c>
      <c r="E129" s="8">
        <v>7.8503999999999996E-11</v>
      </c>
      <c r="F129" s="8">
        <v>1.8943000000000001E-12</v>
      </c>
      <c r="G129" s="8">
        <v>3.7118000000000002E-17</v>
      </c>
      <c r="H129" s="8">
        <v>4.0279E-11</v>
      </c>
      <c r="I129" s="8">
        <v>5.8623000000000002E-12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>
      <c r="B130" s="7">
        <v>900</v>
      </c>
      <c r="C130" s="8">
        <v>7.7673999999999997E-11</v>
      </c>
      <c r="D130" s="8">
        <v>7.7673999999999997E-11</v>
      </c>
      <c r="E130" s="8">
        <v>7.7673999999999997E-11</v>
      </c>
      <c r="F130" s="8">
        <v>1.8741999999999998E-12</v>
      </c>
      <c r="G130" s="8">
        <v>3.6752000000000003E-17</v>
      </c>
      <c r="H130" s="8">
        <v>4.0995999999999999E-11</v>
      </c>
      <c r="I130" s="8">
        <v>5.9822000000000001E-12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>
      <c r="B131" s="7">
        <v>920</v>
      </c>
      <c r="C131" s="8">
        <v>7.6852000000000003E-11</v>
      </c>
      <c r="D131" s="8">
        <v>7.6852000000000003E-11</v>
      </c>
      <c r="E131" s="8">
        <v>7.6852000000000003E-11</v>
      </c>
      <c r="F131" s="8">
        <v>1.8543999999999999E-12</v>
      </c>
      <c r="G131" s="8">
        <v>3.6272999999999998E-17</v>
      </c>
      <c r="H131" s="8">
        <v>4.1705E-11</v>
      </c>
      <c r="I131" s="8">
        <v>6.1008E-12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>
      <c r="B132" s="7">
        <v>940</v>
      </c>
      <c r="C132" s="8">
        <v>7.6038999999999995E-11</v>
      </c>
      <c r="D132" s="8">
        <v>7.6038999999999995E-11</v>
      </c>
      <c r="E132" s="8">
        <v>7.6038999999999995E-11</v>
      </c>
      <c r="F132" s="8">
        <v>1.8346999999999998E-12</v>
      </c>
      <c r="G132" s="8">
        <v>3.5927000000000003E-17</v>
      </c>
      <c r="H132" s="8">
        <v>4.2406999999999999E-11</v>
      </c>
      <c r="I132" s="8">
        <v>6.2182000000000003E-12</v>
      </c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>
      <c r="B133" s="7">
        <v>960</v>
      </c>
      <c r="C133" s="8">
        <v>7.5234999999999999E-11</v>
      </c>
      <c r="D133" s="8">
        <v>7.5234999999999999E-11</v>
      </c>
      <c r="E133" s="8">
        <v>7.5234999999999999E-11</v>
      </c>
      <c r="F133" s="8">
        <v>1.8152999999999999E-12</v>
      </c>
      <c r="G133" s="8">
        <v>3.5568999999999999E-17</v>
      </c>
      <c r="H133" s="8">
        <v>4.3101000000000001E-11</v>
      </c>
      <c r="I133" s="8">
        <v>6.3342999999999998E-12</v>
      </c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>
      <c r="B134" s="7">
        <v>980</v>
      </c>
      <c r="C134" s="8">
        <v>7.4438999999999995E-11</v>
      </c>
      <c r="D134" s="8">
        <v>7.4438999999999995E-11</v>
      </c>
      <c r="E134" s="8">
        <v>7.4438999999999995E-11</v>
      </c>
      <c r="F134" s="8">
        <v>1.7961E-12</v>
      </c>
      <c r="G134" s="8">
        <v>3.5168000000000003E-17</v>
      </c>
      <c r="H134" s="8">
        <v>4.3788E-11</v>
      </c>
      <c r="I134" s="8">
        <v>6.4491999999999996E-12</v>
      </c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>
      <c r="B135" s="7">
        <v>1000</v>
      </c>
      <c r="C135" s="8">
        <v>7.3650999999999995E-11</v>
      </c>
      <c r="D135" s="8">
        <v>7.3650999999999995E-11</v>
      </c>
      <c r="E135" s="8">
        <v>7.3650999999999995E-11</v>
      </c>
      <c r="F135" s="8">
        <v>1.7771E-12</v>
      </c>
      <c r="G135" s="8">
        <v>3.4763999999999998E-17</v>
      </c>
      <c r="H135" s="8">
        <v>4.4467999999999998E-11</v>
      </c>
      <c r="I135" s="8">
        <v>6.5630000000000002E-12</v>
      </c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>
      <c r="B136" s="7">
        <v>1020</v>
      </c>
      <c r="C136" s="8">
        <v>7.2871999999999994E-11</v>
      </c>
      <c r="D136" s="8">
        <v>7.2871999999999994E-11</v>
      </c>
      <c r="E136" s="8">
        <v>7.2871999999999994E-11</v>
      </c>
      <c r="F136" s="8">
        <v>1.7583000000000001E-12</v>
      </c>
      <c r="G136" s="8">
        <v>3.4390000000000003E-17</v>
      </c>
      <c r="H136" s="8">
        <v>4.5139999999999999E-11</v>
      </c>
      <c r="I136" s="8">
        <v>6.6755E-12</v>
      </c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>
      <c r="B137" s="7">
        <v>1040</v>
      </c>
      <c r="C137" s="8">
        <v>7.2102000000000006E-11</v>
      </c>
      <c r="D137" s="8">
        <v>7.2102000000000006E-11</v>
      </c>
      <c r="E137" s="8">
        <v>7.2102000000000006E-11</v>
      </c>
      <c r="F137" s="8">
        <v>1.7396999999999999E-12</v>
      </c>
      <c r="G137" s="8">
        <v>3.3994E-17</v>
      </c>
      <c r="H137" s="8">
        <v>4.5805999999999999E-11</v>
      </c>
      <c r="I137" s="8">
        <v>6.7868000000000001E-12</v>
      </c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>
      <c r="B138" s="7">
        <v>1060</v>
      </c>
      <c r="C138" s="8">
        <v>7.1339E-11</v>
      </c>
      <c r="D138" s="8">
        <v>7.1339E-11</v>
      </c>
      <c r="E138" s="8">
        <v>7.1339E-11</v>
      </c>
      <c r="F138" s="8">
        <v>1.7212999999999999E-12</v>
      </c>
      <c r="G138" s="8">
        <v>3.3701000000000003E-17</v>
      </c>
      <c r="H138" s="8">
        <v>4.6464000000000002E-11</v>
      </c>
      <c r="I138" s="8">
        <v>6.8968999999999998E-12</v>
      </c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>
      <c r="B139" s="7">
        <v>1080</v>
      </c>
      <c r="C139" s="8">
        <v>7.0583999999999999E-11</v>
      </c>
      <c r="D139" s="8">
        <v>7.0583999999999999E-11</v>
      </c>
      <c r="E139" s="8">
        <v>7.0583999999999999E-11</v>
      </c>
      <c r="F139" s="8">
        <v>1.7031000000000001E-12</v>
      </c>
      <c r="G139" s="8">
        <v>3.3286999999999999E-17</v>
      </c>
      <c r="H139" s="8">
        <v>4.7114999999999997E-11</v>
      </c>
      <c r="I139" s="8">
        <v>7.0059000000000003E-12</v>
      </c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>
      <c r="B140" s="7">
        <v>1100</v>
      </c>
      <c r="C140" s="8">
        <v>6.9837999999999997E-11</v>
      </c>
      <c r="D140" s="8">
        <v>6.9837999999999997E-11</v>
      </c>
      <c r="E140" s="8">
        <v>6.9837999999999997E-11</v>
      </c>
      <c r="F140" s="8">
        <v>1.6851E-12</v>
      </c>
      <c r="G140" s="8">
        <v>3.2912999999999997E-17</v>
      </c>
      <c r="H140" s="8">
        <v>4.7759999999999998E-11</v>
      </c>
      <c r="I140" s="8">
        <v>7.1137000000000003E-12</v>
      </c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>
      <c r="B141" s="7">
        <v>1120</v>
      </c>
      <c r="C141" s="8">
        <v>6.9099000000000004E-11</v>
      </c>
      <c r="D141" s="8">
        <v>6.9099000000000004E-11</v>
      </c>
      <c r="E141" s="8">
        <v>6.9099000000000004E-11</v>
      </c>
      <c r="F141" s="8">
        <v>1.6672E-12</v>
      </c>
      <c r="G141" s="8">
        <v>3.2653E-17</v>
      </c>
      <c r="H141" s="8">
        <v>4.8397000000000002E-11</v>
      </c>
      <c r="I141" s="8">
        <v>7.2204000000000002E-12</v>
      </c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>
      <c r="B142" s="7">
        <v>1140</v>
      </c>
      <c r="C142" s="8">
        <v>6.8368000000000001E-11</v>
      </c>
      <c r="D142" s="8">
        <v>6.8368000000000001E-11</v>
      </c>
      <c r="E142" s="8">
        <v>6.8368000000000001E-11</v>
      </c>
      <c r="F142" s="8">
        <v>1.6496E-12</v>
      </c>
      <c r="G142" s="8">
        <v>3.2167999999999997E-17</v>
      </c>
      <c r="H142" s="8">
        <v>4.9028E-11</v>
      </c>
      <c r="I142" s="8">
        <v>7.3260000000000001E-12</v>
      </c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>
      <c r="B143" s="7">
        <v>1160</v>
      </c>
      <c r="C143" s="8">
        <v>6.7645000000000003E-11</v>
      </c>
      <c r="D143" s="8">
        <v>6.7645000000000003E-11</v>
      </c>
      <c r="E143" s="8">
        <v>6.7645000000000003E-11</v>
      </c>
      <c r="F143" s="8">
        <v>1.6322000000000001E-12</v>
      </c>
      <c r="G143" s="8">
        <v>3.1884000000000001E-17</v>
      </c>
      <c r="H143" s="8">
        <v>4.9652000000000002E-11</v>
      </c>
      <c r="I143" s="8">
        <v>7.4304000000000003E-12</v>
      </c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>
      <c r="B144" s="7">
        <v>1180</v>
      </c>
      <c r="C144" s="8">
        <v>6.6929999999999995E-11</v>
      </c>
      <c r="D144" s="8">
        <v>6.6929999999999995E-11</v>
      </c>
      <c r="E144" s="8">
        <v>6.6929999999999995E-11</v>
      </c>
      <c r="F144" s="8">
        <v>1.6148999999999999E-12</v>
      </c>
      <c r="G144" s="8">
        <v>3.1592000000000003E-17</v>
      </c>
      <c r="H144" s="8">
        <v>5.0269999999999998E-11</v>
      </c>
      <c r="I144" s="8">
        <v>7.5337000000000005E-12</v>
      </c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>
      <c r="B145" s="7">
        <v>1200</v>
      </c>
      <c r="C145" s="8">
        <v>6.6221999999999996E-11</v>
      </c>
      <c r="D145" s="8">
        <v>6.6221999999999996E-11</v>
      </c>
      <c r="E145" s="8">
        <v>6.6221999999999996E-11</v>
      </c>
      <c r="F145" s="8">
        <v>1.5977999999999999E-12</v>
      </c>
      <c r="G145" s="8">
        <v>3.1234999999999998E-17</v>
      </c>
      <c r="H145" s="8">
        <v>5.0880999999999999E-11</v>
      </c>
      <c r="I145" s="8">
        <v>7.6360000000000002E-12</v>
      </c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>
      <c r="B146" s="7">
        <v>1220</v>
      </c>
      <c r="C146" s="8">
        <v>6.5522000000000001E-11</v>
      </c>
      <c r="D146" s="8">
        <v>6.5522000000000001E-11</v>
      </c>
      <c r="E146" s="8">
        <v>6.5522000000000001E-11</v>
      </c>
      <c r="F146" s="8">
        <v>1.5809000000000001E-12</v>
      </c>
      <c r="G146" s="8">
        <v>3.0933E-17</v>
      </c>
      <c r="H146" s="8">
        <v>5.1484999999999997E-11</v>
      </c>
      <c r="I146" s="8">
        <v>7.7371000000000002E-12</v>
      </c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>
      <c r="B147" s="7">
        <v>1240</v>
      </c>
      <c r="C147" s="8">
        <v>6.4829000000000002E-11</v>
      </c>
      <c r="D147" s="8">
        <v>6.4829000000000002E-11</v>
      </c>
      <c r="E147" s="8">
        <v>6.4829000000000002E-11</v>
      </c>
      <c r="F147" s="8">
        <v>1.5641999999999999E-12</v>
      </c>
      <c r="G147" s="8">
        <v>3.061E-17</v>
      </c>
      <c r="H147" s="8">
        <v>5.2083000000000003E-11</v>
      </c>
      <c r="I147" s="8">
        <v>7.8371999999999998E-12</v>
      </c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>
      <c r="B148" s="7">
        <v>1260</v>
      </c>
      <c r="C148" s="8">
        <v>6.4142999999999998E-11</v>
      </c>
      <c r="D148" s="8">
        <v>6.4142999999999998E-11</v>
      </c>
      <c r="E148" s="8">
        <v>6.4142999999999998E-11</v>
      </c>
      <c r="F148" s="8">
        <v>1.5476E-12</v>
      </c>
      <c r="G148" s="8">
        <v>3.0283999999999997E-17</v>
      </c>
      <c r="H148" s="8">
        <v>5.2675000000000002E-11</v>
      </c>
      <c r="I148" s="8">
        <v>7.9363000000000004E-12</v>
      </c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>
      <c r="B149" s="7">
        <v>1280</v>
      </c>
      <c r="C149" s="8">
        <v>6.3464999999999997E-11</v>
      </c>
      <c r="D149" s="8">
        <v>6.3464999999999997E-11</v>
      </c>
      <c r="E149" s="8">
        <v>6.3464999999999997E-11</v>
      </c>
      <c r="F149" s="8">
        <v>1.5312999999999999E-12</v>
      </c>
      <c r="G149" s="8">
        <v>2.9938000000000002E-17</v>
      </c>
      <c r="H149" s="8">
        <v>5.3259999999999999E-11</v>
      </c>
      <c r="I149" s="8">
        <v>8.0342999999999994E-12</v>
      </c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>
      <c r="B150" s="7">
        <v>1300</v>
      </c>
      <c r="C150" s="8">
        <v>6.2794000000000006E-11</v>
      </c>
      <c r="D150" s="8">
        <v>6.2794000000000006E-11</v>
      </c>
      <c r="E150" s="8">
        <v>6.2794000000000006E-11</v>
      </c>
      <c r="F150" s="8">
        <v>1.5151000000000001E-12</v>
      </c>
      <c r="G150" s="8">
        <v>2.9610000000000002E-17</v>
      </c>
      <c r="H150" s="8">
        <v>5.3839999999999998E-11</v>
      </c>
      <c r="I150" s="8">
        <v>8.1311999999999999E-12</v>
      </c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>
      <c r="B151" s="7">
        <v>1320</v>
      </c>
      <c r="C151" s="8">
        <v>6.2129999999999996E-11</v>
      </c>
      <c r="D151" s="8">
        <v>6.2129999999999996E-11</v>
      </c>
      <c r="E151" s="8">
        <v>6.2129999999999996E-11</v>
      </c>
      <c r="F151" s="8">
        <v>1.499E-12</v>
      </c>
      <c r="G151" s="8">
        <v>2.9325000000000001E-17</v>
      </c>
      <c r="H151" s="8">
        <v>5.4413000000000003E-11</v>
      </c>
      <c r="I151" s="8">
        <v>8.2271E-12</v>
      </c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>
      <c r="B152" s="7">
        <v>1340</v>
      </c>
      <c r="C152" s="8">
        <v>6.1472E-11</v>
      </c>
      <c r="D152" s="8">
        <v>6.1472E-11</v>
      </c>
      <c r="E152" s="8">
        <v>6.1472E-11</v>
      </c>
      <c r="F152" s="8">
        <v>1.4832E-12</v>
      </c>
      <c r="G152" s="8">
        <v>2.9049E-17</v>
      </c>
      <c r="H152" s="8">
        <v>5.498E-11</v>
      </c>
      <c r="I152" s="8">
        <v>8.3219999999999995E-12</v>
      </c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>
      <c r="B153" s="7">
        <v>1360</v>
      </c>
      <c r="C153" s="8">
        <v>6.0821999999999994E-11</v>
      </c>
      <c r="D153" s="8">
        <v>6.0821999999999994E-11</v>
      </c>
      <c r="E153" s="8">
        <v>6.0821999999999994E-11</v>
      </c>
      <c r="F153" s="8">
        <v>1.4675E-12</v>
      </c>
      <c r="G153" s="8">
        <v>2.8726E-17</v>
      </c>
      <c r="H153" s="8">
        <v>5.5540999999999999E-11</v>
      </c>
      <c r="I153" s="8">
        <v>8.4159000000000001E-12</v>
      </c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>
      <c r="B154" s="7">
        <v>1380</v>
      </c>
      <c r="C154" s="8">
        <v>6.0178999999999997E-11</v>
      </c>
      <c r="D154" s="8">
        <v>6.0178999999999997E-11</v>
      </c>
      <c r="E154" s="8">
        <v>6.0178999999999997E-11</v>
      </c>
      <c r="F154" s="8">
        <v>1.4520000000000001E-12</v>
      </c>
      <c r="G154" s="8">
        <v>2.8402999999999999E-17</v>
      </c>
      <c r="H154" s="8">
        <v>5.6095999999999997E-11</v>
      </c>
      <c r="I154" s="8">
        <v>8.5088000000000003E-12</v>
      </c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>
      <c r="B155" s="7">
        <v>1400</v>
      </c>
      <c r="C155" s="8">
        <v>5.9542999999999995E-11</v>
      </c>
      <c r="D155" s="8">
        <v>5.9542999999999995E-11</v>
      </c>
      <c r="E155" s="8">
        <v>5.9542999999999995E-11</v>
      </c>
      <c r="F155" s="8">
        <v>1.4366E-12</v>
      </c>
      <c r="G155" s="8">
        <v>2.8163999999999999E-17</v>
      </c>
      <c r="H155" s="8">
        <v>5.6645000000000002E-11</v>
      </c>
      <c r="I155" s="8">
        <v>8.6007999999999995E-12</v>
      </c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>
      <c r="B156" s="7">
        <v>1420</v>
      </c>
      <c r="C156" s="8">
        <v>5.8913000000000006E-11</v>
      </c>
      <c r="D156" s="8">
        <v>5.8913000000000006E-11</v>
      </c>
      <c r="E156" s="8">
        <v>5.8913000000000006E-11</v>
      </c>
      <c r="F156" s="8">
        <v>1.4214E-12</v>
      </c>
      <c r="G156" s="8">
        <v>2.7783999999999999E-17</v>
      </c>
      <c r="H156" s="8">
        <v>5.7189000000000003E-11</v>
      </c>
      <c r="I156" s="8">
        <v>8.6917999999999998E-12</v>
      </c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>
      <c r="B157" s="7">
        <v>1440</v>
      </c>
      <c r="C157" s="8">
        <v>5.829E-11</v>
      </c>
      <c r="D157" s="8">
        <v>5.829E-11</v>
      </c>
      <c r="E157" s="8">
        <v>5.829E-11</v>
      </c>
      <c r="F157" s="8">
        <v>1.4063999999999999E-12</v>
      </c>
      <c r="G157" s="8">
        <v>2.7465999999999999E-17</v>
      </c>
      <c r="H157" s="8">
        <v>5.7726000000000002E-11</v>
      </c>
      <c r="I157" s="8">
        <v>8.7817999999999996E-12</v>
      </c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>
      <c r="B158" s="7">
        <v>1460</v>
      </c>
      <c r="C158" s="8">
        <v>5.7674000000000002E-11</v>
      </c>
      <c r="D158" s="8">
        <v>5.7674000000000002E-11</v>
      </c>
      <c r="E158" s="8">
        <v>5.7674000000000002E-11</v>
      </c>
      <c r="F158" s="8">
        <v>1.3915000000000001E-12</v>
      </c>
      <c r="G158" s="8">
        <v>2.7226E-17</v>
      </c>
      <c r="H158" s="8">
        <v>5.8257999999999997E-11</v>
      </c>
      <c r="I158" s="8">
        <v>8.8708000000000005E-12</v>
      </c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>
      <c r="B159" s="7">
        <v>1480</v>
      </c>
      <c r="C159" s="8">
        <v>5.7064000000000003E-11</v>
      </c>
      <c r="D159" s="8">
        <v>5.7064000000000003E-11</v>
      </c>
      <c r="E159" s="8">
        <v>5.7064000000000003E-11</v>
      </c>
      <c r="F159" s="8">
        <v>1.3767999999999999E-12</v>
      </c>
      <c r="G159" s="8">
        <v>2.6940999999999999E-17</v>
      </c>
      <c r="H159" s="8">
        <v>5.8784999999999994E-11</v>
      </c>
      <c r="I159" s="8">
        <v>8.9589000000000005E-12</v>
      </c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>
      <c r="B160" s="7">
        <v>1500</v>
      </c>
      <c r="C160" s="8">
        <v>5.6459999999999998E-11</v>
      </c>
      <c r="D160" s="8">
        <v>5.6459999999999998E-11</v>
      </c>
      <c r="E160" s="8">
        <v>5.6459999999999998E-11</v>
      </c>
      <c r="F160" s="8">
        <v>1.3623E-12</v>
      </c>
      <c r="G160" s="8">
        <v>2.6599000000000002E-17</v>
      </c>
      <c r="H160" s="8">
        <v>5.9306000000000004E-11</v>
      </c>
      <c r="I160" s="8">
        <v>9.0460999999999996E-12</v>
      </c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>
      <c r="B161" s="7">
        <v>1520</v>
      </c>
      <c r="C161" s="8">
        <v>5.5863000000000001E-11</v>
      </c>
      <c r="D161" s="8">
        <v>5.5863000000000001E-11</v>
      </c>
      <c r="E161" s="8">
        <v>5.5863000000000001E-11</v>
      </c>
      <c r="F161" s="8">
        <v>1.3478E-12</v>
      </c>
      <c r="G161" s="8">
        <v>2.6387E-17</v>
      </c>
      <c r="H161" s="8">
        <v>5.9821000000000002E-11</v>
      </c>
      <c r="I161" s="8">
        <v>9.1322999999999998E-12</v>
      </c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>
      <c r="B162" s="7">
        <v>1560</v>
      </c>
      <c r="C162" s="8">
        <v>5.4688000000000003E-11</v>
      </c>
      <c r="D162" s="8">
        <v>5.4688000000000003E-11</v>
      </c>
      <c r="E162" s="8">
        <v>5.4688000000000003E-11</v>
      </c>
      <c r="F162" s="8">
        <v>1.3195E-12</v>
      </c>
      <c r="G162" s="8">
        <v>2.5257E-17</v>
      </c>
      <c r="H162" s="8">
        <v>6.0835000000000002E-11</v>
      </c>
      <c r="I162" s="8">
        <v>9.3021000000000001E-12</v>
      </c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>
      <c r="B163" s="7">
        <v>1600</v>
      </c>
      <c r="C163" s="8">
        <v>5.3536999999999997E-11</v>
      </c>
      <c r="D163" s="8">
        <v>5.3536999999999997E-11</v>
      </c>
      <c r="E163" s="8">
        <v>5.3536999999999997E-11</v>
      </c>
      <c r="F163" s="8">
        <v>1.2917E-12</v>
      </c>
      <c r="G163" s="8">
        <v>2.4498999999999999E-17</v>
      </c>
      <c r="H163" s="8">
        <v>6.1828000000000004E-11</v>
      </c>
      <c r="I163" s="8">
        <v>9.4680999999999992E-12</v>
      </c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>
      <c r="B164" s="7">
        <v>1640</v>
      </c>
      <c r="C164" s="8">
        <v>5.2410999999999999E-11</v>
      </c>
      <c r="D164" s="8">
        <v>5.2410999999999999E-11</v>
      </c>
      <c r="E164" s="8">
        <v>5.2410999999999999E-11</v>
      </c>
      <c r="F164" s="8">
        <v>1.2644999999999999E-12</v>
      </c>
      <c r="G164" s="8">
        <v>2.4528999999999999E-17</v>
      </c>
      <c r="H164" s="8">
        <v>6.2800000000000005E-11</v>
      </c>
      <c r="I164" s="8">
        <v>9.6307000000000002E-12</v>
      </c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>
      <c r="B165" s="7">
        <v>1680</v>
      </c>
      <c r="C165" s="8">
        <v>5.1307999999999997E-11</v>
      </c>
      <c r="D165" s="8">
        <v>5.1307999999999997E-11</v>
      </c>
      <c r="E165" s="8">
        <v>5.1307999999999997E-11</v>
      </c>
      <c r="F165" s="8">
        <v>1.2379E-12</v>
      </c>
      <c r="G165" s="8">
        <v>2.4101000000000001E-17</v>
      </c>
      <c r="H165" s="8">
        <v>6.3752000000000004E-11</v>
      </c>
      <c r="I165" s="8">
        <v>9.7899999999999993E-12</v>
      </c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>
      <c r="B166" s="7">
        <v>1720</v>
      </c>
      <c r="C166" s="8">
        <v>5.0229000000000002E-11</v>
      </c>
      <c r="D166" s="8">
        <v>5.0229000000000002E-11</v>
      </c>
      <c r="E166" s="8">
        <v>5.0229000000000002E-11</v>
      </c>
      <c r="F166" s="8">
        <v>1.2118999999999999E-12</v>
      </c>
      <c r="G166" s="8">
        <v>2.3483999999999999E-17</v>
      </c>
      <c r="H166" s="8">
        <v>6.4683000000000003E-11</v>
      </c>
      <c r="I166" s="8">
        <v>9.9459000000000003E-12</v>
      </c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>
      <c r="B167" s="7">
        <v>1760</v>
      </c>
      <c r="C167" s="8">
        <v>4.9172000000000001E-11</v>
      </c>
      <c r="D167" s="8">
        <v>4.9172000000000001E-11</v>
      </c>
      <c r="E167" s="8">
        <v>4.9172000000000001E-11</v>
      </c>
      <c r="F167" s="8">
        <v>1.1864000000000001E-12</v>
      </c>
      <c r="G167" s="8">
        <v>2.3101999999999999E-17</v>
      </c>
      <c r="H167" s="8">
        <v>6.5594999999999994E-11</v>
      </c>
      <c r="I167" s="8">
        <v>1.0099E-11</v>
      </c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>
      <c r="B168" s="7">
        <v>1800</v>
      </c>
      <c r="C168" s="8">
        <v>4.8137999999999997E-11</v>
      </c>
      <c r="D168" s="8">
        <v>4.8137999999999997E-11</v>
      </c>
      <c r="E168" s="8">
        <v>4.8137999999999997E-11</v>
      </c>
      <c r="F168" s="8">
        <v>1.1614000000000001E-12</v>
      </c>
      <c r="G168" s="8">
        <v>2.2621999999999999E-17</v>
      </c>
      <c r="H168" s="8">
        <v>6.6488000000000003E-11</v>
      </c>
      <c r="I168" s="8">
        <v>1.0248000000000001E-11</v>
      </c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>
      <c r="B169" s="7">
        <v>1840</v>
      </c>
      <c r="C169" s="8">
        <v>4.7124999999999999E-11</v>
      </c>
      <c r="D169" s="8">
        <v>4.7124999999999999E-11</v>
      </c>
      <c r="E169" s="8">
        <v>4.7124999999999999E-11</v>
      </c>
      <c r="F169" s="8">
        <v>1.1369999999999999E-12</v>
      </c>
      <c r="G169" s="8">
        <v>2.2175000000000001E-17</v>
      </c>
      <c r="H169" s="8">
        <v>6.7362000000000005E-11</v>
      </c>
      <c r="I169" s="8">
        <v>1.0394E-11</v>
      </c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>
      <c r="B170" s="7">
        <v>1880</v>
      </c>
      <c r="C170" s="8">
        <v>4.6133E-11</v>
      </c>
      <c r="D170" s="8">
        <v>4.6133E-11</v>
      </c>
      <c r="E170" s="8">
        <v>4.6133E-11</v>
      </c>
      <c r="F170" s="8">
        <v>1.1131E-12</v>
      </c>
      <c r="G170" s="8">
        <v>2.1761E-17</v>
      </c>
      <c r="H170" s="8">
        <v>6.8217999999999994E-11</v>
      </c>
      <c r="I170" s="8">
        <v>1.0537E-11</v>
      </c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>
      <c r="B171" s="7">
        <v>1920</v>
      </c>
      <c r="C171" s="8">
        <v>4.5163000000000002E-11</v>
      </c>
      <c r="D171" s="8">
        <v>4.5163000000000002E-11</v>
      </c>
      <c r="E171" s="8">
        <v>4.5163000000000002E-11</v>
      </c>
      <c r="F171" s="8">
        <v>1.0897000000000001E-12</v>
      </c>
      <c r="G171" s="8">
        <v>2.1297E-17</v>
      </c>
      <c r="H171" s="8">
        <v>6.9055000000000001E-11</v>
      </c>
      <c r="I171" s="8">
        <v>1.0678E-11</v>
      </c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>
      <c r="B172" s="7">
        <v>1960</v>
      </c>
      <c r="C172" s="8">
        <v>4.4213000000000002E-11</v>
      </c>
      <c r="D172" s="8">
        <v>4.4213000000000002E-11</v>
      </c>
      <c r="E172" s="8">
        <v>4.4213000000000002E-11</v>
      </c>
      <c r="F172" s="8">
        <v>1.0667000000000001E-12</v>
      </c>
      <c r="G172" s="8">
        <v>2.0863000000000001E-17</v>
      </c>
      <c r="H172" s="8">
        <v>6.9875000000000004E-11</v>
      </c>
      <c r="I172" s="8">
        <v>1.0815E-11</v>
      </c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>
      <c r="B173" s="7">
        <v>2000</v>
      </c>
      <c r="C173" s="8">
        <v>4.3282000000000002E-11</v>
      </c>
      <c r="D173" s="8">
        <v>4.3282000000000002E-11</v>
      </c>
      <c r="E173" s="8">
        <v>4.3282000000000002E-11</v>
      </c>
      <c r="F173" s="8">
        <v>1.0442999999999999E-12</v>
      </c>
      <c r="G173" s="8">
        <v>2.0427000000000001E-17</v>
      </c>
      <c r="H173" s="8">
        <v>7.0678000000000004E-11</v>
      </c>
      <c r="I173" s="8">
        <v>1.0948999999999999E-11</v>
      </c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>
      <c r="B174" s="7">
        <v>2040</v>
      </c>
      <c r="C174" s="8">
        <v>4.2372000000000002E-11</v>
      </c>
      <c r="D174" s="8">
        <v>4.2372000000000002E-11</v>
      </c>
      <c r="E174" s="8">
        <v>4.2372000000000002E-11</v>
      </c>
      <c r="F174" s="8">
        <v>1.0223E-12</v>
      </c>
      <c r="G174" s="8">
        <v>2.0001E-17</v>
      </c>
      <c r="H174" s="8">
        <v>7.1464E-11</v>
      </c>
      <c r="I174" s="8">
        <v>1.1080999999999999E-11</v>
      </c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>
      <c r="B175" s="7">
        <v>2080</v>
      </c>
      <c r="C175" s="8">
        <v>4.1480000000000002E-11</v>
      </c>
      <c r="D175" s="8">
        <v>4.1480000000000002E-11</v>
      </c>
      <c r="E175" s="8">
        <v>4.1480000000000002E-11</v>
      </c>
      <c r="F175" s="8">
        <v>1.0007999999999999E-12</v>
      </c>
      <c r="G175" s="8">
        <v>1.9584E-17</v>
      </c>
      <c r="H175" s="8">
        <v>7.2233000000000005E-11</v>
      </c>
      <c r="I175" s="8">
        <v>1.1209999999999999E-11</v>
      </c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>
      <c r="B176" s="7">
        <v>2120</v>
      </c>
      <c r="C176" s="8">
        <v>4.0607999999999998E-11</v>
      </c>
      <c r="D176" s="8">
        <v>4.0607999999999998E-11</v>
      </c>
      <c r="E176" s="8">
        <v>4.0607999999999998E-11</v>
      </c>
      <c r="F176" s="8">
        <v>9.7976000000000006E-13</v>
      </c>
      <c r="G176" s="8">
        <v>1.9150999999999999E-17</v>
      </c>
      <c r="H176" s="8">
        <v>7.2986000000000003E-11</v>
      </c>
      <c r="I176" s="8">
        <v>1.1335999999999999E-11</v>
      </c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>
      <c r="B177" s="7">
        <v>2160</v>
      </c>
      <c r="C177" s="8">
        <v>3.9752999999999998E-11</v>
      </c>
      <c r="D177" s="8">
        <v>3.9752999999999998E-11</v>
      </c>
      <c r="E177" s="8">
        <v>3.9752999999999998E-11</v>
      </c>
      <c r="F177" s="8">
        <v>9.5914000000000009E-13</v>
      </c>
      <c r="G177" s="8">
        <v>1.8768999999999999E-17</v>
      </c>
      <c r="H177" s="8">
        <v>7.3724E-11</v>
      </c>
      <c r="I177" s="8">
        <v>1.1459E-11</v>
      </c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>
      <c r="B178" s="7">
        <v>2200</v>
      </c>
      <c r="C178" s="8">
        <v>3.8917E-11</v>
      </c>
      <c r="D178" s="8">
        <v>3.8917E-11</v>
      </c>
      <c r="E178" s="8">
        <v>3.8917E-11</v>
      </c>
      <c r="F178" s="8">
        <v>9.3896000000000007E-13</v>
      </c>
      <c r="G178" s="8">
        <v>1.8354E-17</v>
      </c>
      <c r="H178" s="8">
        <v>7.4444999999999995E-11</v>
      </c>
      <c r="I178" s="8">
        <v>1.158E-11</v>
      </c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>
      <c r="B179" s="7">
        <v>2240</v>
      </c>
      <c r="C179" s="8">
        <v>3.8097999999999999E-11</v>
      </c>
      <c r="D179" s="8">
        <v>3.8097999999999999E-11</v>
      </c>
      <c r="E179" s="8">
        <v>3.8097999999999999E-11</v>
      </c>
      <c r="F179" s="8">
        <v>9.1921000000000008E-13</v>
      </c>
      <c r="G179" s="8">
        <v>1.7958E-17</v>
      </c>
      <c r="H179" s="8">
        <v>7.5151999999999998E-11</v>
      </c>
      <c r="I179" s="8">
        <v>1.1698E-11</v>
      </c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>
      <c r="B180" s="7">
        <v>2280</v>
      </c>
      <c r="C180" s="8">
        <v>3.7297000000000003E-11</v>
      </c>
      <c r="D180" s="8">
        <v>3.7297000000000003E-11</v>
      </c>
      <c r="E180" s="8">
        <v>3.7297000000000003E-11</v>
      </c>
      <c r="F180" s="8">
        <v>8.9986999999999998E-13</v>
      </c>
      <c r="G180" s="8">
        <v>1.7606E-17</v>
      </c>
      <c r="H180" s="8">
        <v>7.5844000000000002E-11</v>
      </c>
      <c r="I180" s="8">
        <v>1.1814E-11</v>
      </c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>
      <c r="B181" s="7">
        <v>2320</v>
      </c>
      <c r="C181" s="8">
        <v>3.6512000000000003E-11</v>
      </c>
      <c r="D181" s="8">
        <v>3.6512000000000003E-11</v>
      </c>
      <c r="E181" s="8">
        <v>3.6512000000000003E-11</v>
      </c>
      <c r="F181" s="8">
        <v>8.8093999999999998E-13</v>
      </c>
      <c r="G181" s="8">
        <v>1.7198999999999999E-17</v>
      </c>
      <c r="H181" s="8">
        <v>7.6521000000000006E-11</v>
      </c>
      <c r="I181" s="8">
        <v>1.1927E-11</v>
      </c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>
      <c r="B182" s="7">
        <v>2360</v>
      </c>
      <c r="C182" s="8">
        <v>3.5744E-11</v>
      </c>
      <c r="D182" s="8">
        <v>3.5744E-11</v>
      </c>
      <c r="E182" s="8">
        <v>3.5744E-11</v>
      </c>
      <c r="F182" s="8">
        <v>8.6240999999999996E-13</v>
      </c>
      <c r="G182" s="8">
        <v>1.6821E-17</v>
      </c>
      <c r="H182" s="8">
        <v>7.7183999999999994E-11</v>
      </c>
      <c r="I182" s="8">
        <v>1.2038E-11</v>
      </c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>
      <c r="B183" s="7">
        <v>2400</v>
      </c>
      <c r="C183" s="8">
        <v>3.4991999999999998E-11</v>
      </c>
      <c r="D183" s="8">
        <v>3.4991999999999998E-11</v>
      </c>
      <c r="E183" s="8">
        <v>3.4991999999999998E-11</v>
      </c>
      <c r="F183" s="8">
        <v>8.4425999999999998E-13</v>
      </c>
      <c r="G183" s="8">
        <v>1.6491E-17</v>
      </c>
      <c r="H183" s="8">
        <v>7.7833000000000004E-11</v>
      </c>
      <c r="I183" s="8">
        <v>1.2147E-11</v>
      </c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>
      <c r="B184" s="7">
        <v>2440</v>
      </c>
      <c r="C184" s="8">
        <v>3.4255999999999998E-11</v>
      </c>
      <c r="D184" s="8">
        <v>3.4255999999999998E-11</v>
      </c>
      <c r="E184" s="8">
        <v>3.4255999999999998E-11</v>
      </c>
      <c r="F184" s="8">
        <v>8.2649999999999996E-13</v>
      </c>
      <c r="G184" s="8">
        <v>1.6153999999999999E-17</v>
      </c>
      <c r="H184" s="8">
        <v>7.8467999999999997E-11</v>
      </c>
      <c r="I184" s="8">
        <v>1.2253E-11</v>
      </c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>
      <c r="B185" s="7">
        <v>2480</v>
      </c>
      <c r="C185" s="8">
        <v>3.3534999999999997E-11</v>
      </c>
      <c r="D185" s="8">
        <v>3.3534999999999997E-11</v>
      </c>
      <c r="E185" s="8">
        <v>3.3534999999999997E-11</v>
      </c>
      <c r="F185" s="8">
        <v>8.0910999999999997E-13</v>
      </c>
      <c r="G185" s="8">
        <v>1.5815000000000001E-17</v>
      </c>
      <c r="H185" s="8">
        <v>7.9089999999999995E-11</v>
      </c>
      <c r="I185" s="8">
        <v>1.2358E-11</v>
      </c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>
      <c r="B186" s="7">
        <v>2520</v>
      </c>
      <c r="C186" s="8">
        <v>3.2829999999999998E-11</v>
      </c>
      <c r="D186" s="8">
        <v>3.2829999999999998E-11</v>
      </c>
      <c r="E186" s="8">
        <v>3.2829999999999998E-11</v>
      </c>
      <c r="F186" s="8">
        <v>7.9209000000000001E-13</v>
      </c>
      <c r="G186" s="8">
        <v>1.5471E-17</v>
      </c>
      <c r="H186" s="8">
        <v>7.9698999999999998E-11</v>
      </c>
      <c r="I186" s="8">
        <v>1.2458999999999999E-11</v>
      </c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>
      <c r="B187" s="7">
        <v>2560</v>
      </c>
      <c r="C187" s="8">
        <v>3.2139000000000003E-11</v>
      </c>
      <c r="D187" s="8">
        <v>3.2139000000000003E-11</v>
      </c>
      <c r="E187" s="8">
        <v>3.2139000000000003E-11</v>
      </c>
      <c r="F187" s="8">
        <v>7.7542000000000004E-13</v>
      </c>
      <c r="G187" s="8">
        <v>1.5148999999999999E-17</v>
      </c>
      <c r="H187" s="8">
        <v>8.0295000000000006E-11</v>
      </c>
      <c r="I187" s="8">
        <v>1.2558999999999999E-11</v>
      </c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>
      <c r="B188" s="7">
        <v>2600</v>
      </c>
      <c r="C188" s="8">
        <v>3.1463E-11</v>
      </c>
      <c r="D188" s="8">
        <v>3.1463E-11</v>
      </c>
      <c r="E188" s="8">
        <v>3.1463E-11</v>
      </c>
      <c r="F188" s="8">
        <v>7.5910999999999998E-13</v>
      </c>
      <c r="G188" s="8">
        <v>1.4822999999999999E-17</v>
      </c>
      <c r="H188" s="8">
        <v>8.0878000000000005E-11</v>
      </c>
      <c r="I188" s="8">
        <v>1.2657E-11</v>
      </c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>
      <c r="B189" s="7">
        <v>2640</v>
      </c>
      <c r="C189" s="8">
        <v>3.0801000000000002E-11</v>
      </c>
      <c r="D189" s="8">
        <v>3.0801000000000002E-11</v>
      </c>
      <c r="E189" s="8">
        <v>3.0801000000000002E-11</v>
      </c>
      <c r="F189" s="8">
        <v>7.4314E-13</v>
      </c>
      <c r="G189" s="8">
        <v>1.452E-17</v>
      </c>
      <c r="H189" s="8">
        <v>8.145E-11</v>
      </c>
      <c r="I189" s="8">
        <v>1.2752999999999999E-11</v>
      </c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>
      <c r="B190" s="7">
        <v>2680</v>
      </c>
      <c r="C190" s="8">
        <v>3.0153E-11</v>
      </c>
      <c r="D190" s="8">
        <v>3.0153E-11</v>
      </c>
      <c r="E190" s="8">
        <v>3.0153E-11</v>
      </c>
      <c r="F190" s="8">
        <v>7.2751E-13</v>
      </c>
      <c r="G190" s="8">
        <v>1.4255999999999999E-17</v>
      </c>
      <c r="H190" s="8">
        <v>8.2009000000000001E-11</v>
      </c>
      <c r="I190" s="8">
        <v>1.2846000000000001E-11</v>
      </c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>
      <c r="B191" s="7">
        <v>2720</v>
      </c>
      <c r="C191" s="8">
        <v>2.9518000000000001E-11</v>
      </c>
      <c r="D191" s="8">
        <v>2.9518000000000001E-11</v>
      </c>
      <c r="E191" s="8">
        <v>2.9518000000000001E-11</v>
      </c>
      <c r="F191" s="8">
        <v>7.1220000000000003E-13</v>
      </c>
      <c r="G191" s="8">
        <v>1.3927E-17</v>
      </c>
      <c r="H191" s="8">
        <v>8.2556000000000002E-11</v>
      </c>
      <c r="I191" s="8">
        <v>1.2938E-11</v>
      </c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>
      <c r="B192" s="7">
        <v>2760</v>
      </c>
      <c r="C192" s="8">
        <v>2.8896999999999999E-11</v>
      </c>
      <c r="D192" s="8">
        <v>2.8896999999999999E-11</v>
      </c>
      <c r="E192" s="8">
        <v>2.8896999999999999E-11</v>
      </c>
      <c r="F192" s="8">
        <v>6.9722000000000003E-13</v>
      </c>
      <c r="G192" s="8">
        <v>1.3634E-17</v>
      </c>
      <c r="H192" s="8">
        <v>8.3091999999999999E-11</v>
      </c>
      <c r="I192" s="8">
        <v>1.3028E-11</v>
      </c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>
      <c r="B193" s="7">
        <v>2800</v>
      </c>
      <c r="C193" s="8">
        <v>2.8289000000000001E-11</v>
      </c>
      <c r="D193" s="8">
        <v>2.8289000000000001E-11</v>
      </c>
      <c r="E193" s="8">
        <v>2.8289000000000001E-11</v>
      </c>
      <c r="F193" s="8">
        <v>6.8254999999999995E-13</v>
      </c>
      <c r="G193" s="8">
        <v>1.3359E-17</v>
      </c>
      <c r="H193" s="8">
        <v>8.3617000000000004E-11</v>
      </c>
      <c r="I193" s="8">
        <v>1.3115E-11</v>
      </c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>
      <c r="B194" s="7">
        <v>2840</v>
      </c>
      <c r="C194" s="8">
        <v>2.7693999999999999E-11</v>
      </c>
      <c r="D194" s="8">
        <v>2.7693999999999999E-11</v>
      </c>
      <c r="E194" s="8">
        <v>2.7693999999999999E-11</v>
      </c>
      <c r="F194" s="8">
        <v>6.6819E-13</v>
      </c>
      <c r="G194" s="8">
        <v>1.3091999999999999E-17</v>
      </c>
      <c r="H194" s="8">
        <v>8.4130999999999994E-11</v>
      </c>
      <c r="I194" s="8">
        <v>1.3201000000000001E-11</v>
      </c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>
      <c r="B195" s="7">
        <v>2880</v>
      </c>
      <c r="C195" s="8">
        <v>2.7112000000000002E-11</v>
      </c>
      <c r="D195" s="8">
        <v>2.7112000000000002E-11</v>
      </c>
      <c r="E195" s="8">
        <v>2.7112000000000002E-11</v>
      </c>
      <c r="F195" s="8">
        <v>6.5412999999999996E-13</v>
      </c>
      <c r="G195" s="8">
        <v>1.2798999999999999E-17</v>
      </c>
      <c r="H195" s="8">
        <v>8.4632999999999996E-11</v>
      </c>
      <c r="I195" s="8">
        <v>1.3286E-11</v>
      </c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>
      <c r="B196" s="7">
        <v>2920</v>
      </c>
      <c r="C196" s="8">
        <v>2.6540999999999998E-11</v>
      </c>
      <c r="D196" s="8">
        <v>2.6540999999999998E-11</v>
      </c>
      <c r="E196" s="8">
        <v>2.6540999999999998E-11</v>
      </c>
      <c r="F196" s="8">
        <v>6.4037000000000003E-13</v>
      </c>
      <c r="G196" s="8">
        <v>1.2509E-17</v>
      </c>
      <c r="H196" s="8">
        <v>8.5125999999999999E-11</v>
      </c>
      <c r="I196" s="8">
        <v>1.3368E-11</v>
      </c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>
      <c r="B197" s="7">
        <v>2960</v>
      </c>
      <c r="C197" s="8">
        <v>2.5983E-11</v>
      </c>
      <c r="D197" s="8">
        <v>2.5983E-11</v>
      </c>
      <c r="E197" s="8">
        <v>2.5983E-11</v>
      </c>
      <c r="F197" s="8">
        <v>6.2689999999999998E-13</v>
      </c>
      <c r="G197" s="8">
        <v>1.2269E-17</v>
      </c>
      <c r="H197" s="8">
        <v>8.5607000000000002E-11</v>
      </c>
      <c r="I197" s="8">
        <v>1.3449000000000001E-11</v>
      </c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>
      <c r="B198" s="7">
        <v>3000</v>
      </c>
      <c r="C198" s="8">
        <v>2.5435999999999999E-11</v>
      </c>
      <c r="D198" s="8">
        <v>2.5435999999999999E-11</v>
      </c>
      <c r="E198" s="8">
        <v>2.5435999999999999E-11</v>
      </c>
      <c r="F198" s="8">
        <v>6.1371000000000002E-13</v>
      </c>
      <c r="G198" s="8">
        <v>1.1999000000000001E-17</v>
      </c>
      <c r="H198" s="8">
        <v>8.6079000000000006E-11</v>
      </c>
      <c r="I198" s="8">
        <v>1.3528E-11</v>
      </c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>
      <c r="B199" s="7">
        <v>3040</v>
      </c>
      <c r="C199" s="8">
        <v>2.4901000000000001E-11</v>
      </c>
      <c r="D199" s="8">
        <v>2.4901000000000001E-11</v>
      </c>
      <c r="E199" s="8">
        <v>2.4901000000000001E-11</v>
      </c>
      <c r="F199" s="8">
        <v>6.0080000000000002E-13</v>
      </c>
      <c r="G199" s="8">
        <v>1.1746000000000001E-17</v>
      </c>
      <c r="H199" s="8">
        <v>8.6541000000000001E-11</v>
      </c>
      <c r="I199" s="8">
        <v>1.3604999999999999E-11</v>
      </c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>
      <c r="B200" s="7">
        <v>3080</v>
      </c>
      <c r="C200" s="8">
        <v>2.4377000000000001E-11</v>
      </c>
      <c r="D200" s="8">
        <v>2.4377000000000001E-11</v>
      </c>
      <c r="E200" s="8">
        <v>2.4377000000000001E-11</v>
      </c>
      <c r="F200" s="8">
        <v>5.8815999999999999E-13</v>
      </c>
      <c r="G200" s="8">
        <v>1.1513E-17</v>
      </c>
      <c r="H200" s="8">
        <v>8.6993000000000001E-11</v>
      </c>
      <c r="I200" s="8">
        <v>1.3681E-11</v>
      </c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>
      <c r="B201" s="7">
        <v>3120</v>
      </c>
      <c r="C201" s="8">
        <v>2.3864000000000001E-11</v>
      </c>
      <c r="D201" s="8">
        <v>2.3864000000000001E-11</v>
      </c>
      <c r="E201" s="8">
        <v>2.3864000000000001E-11</v>
      </c>
      <c r="F201" s="8">
        <v>5.7578E-13</v>
      </c>
      <c r="G201" s="8">
        <v>1.1247E-17</v>
      </c>
      <c r="H201" s="8">
        <v>8.7436000000000002E-11</v>
      </c>
      <c r="I201" s="8">
        <v>1.3755E-11</v>
      </c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>
      <c r="B202" s="7">
        <v>3160</v>
      </c>
      <c r="C202" s="8">
        <v>2.3361999999999998E-11</v>
      </c>
      <c r="D202" s="8">
        <v>2.3361999999999998E-11</v>
      </c>
      <c r="E202" s="8">
        <v>2.3361999999999998E-11</v>
      </c>
      <c r="F202" s="8">
        <v>5.6366999999999996E-13</v>
      </c>
      <c r="G202" s="8">
        <v>1.1016000000000001E-17</v>
      </c>
      <c r="H202" s="8">
        <v>8.7868999999999994E-11</v>
      </c>
      <c r="I202" s="8">
        <v>1.3827000000000001E-11</v>
      </c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>
      <c r="B203" s="7">
        <v>3200</v>
      </c>
      <c r="C203" s="8">
        <v>2.2871E-11</v>
      </c>
      <c r="D203" s="8">
        <v>2.2871E-11</v>
      </c>
      <c r="E203" s="8">
        <v>2.2871E-11</v>
      </c>
      <c r="F203" s="8">
        <v>5.5181000000000005E-13</v>
      </c>
      <c r="G203" s="8">
        <v>1.0791000000000001E-17</v>
      </c>
      <c r="H203" s="8">
        <v>8.8293E-11</v>
      </c>
      <c r="I203" s="8">
        <v>1.3898000000000001E-11</v>
      </c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>
      <c r="B204" s="7">
        <v>3240</v>
      </c>
      <c r="C204" s="8">
        <v>2.239E-11</v>
      </c>
      <c r="D204" s="8">
        <v>2.239E-11</v>
      </c>
      <c r="E204" s="8">
        <v>2.239E-11</v>
      </c>
      <c r="F204" s="8">
        <v>5.4019999999999996E-13</v>
      </c>
      <c r="G204" s="8">
        <v>1.0577E-17</v>
      </c>
      <c r="H204" s="8">
        <v>8.8708000000000005E-11</v>
      </c>
      <c r="I204" s="8">
        <v>1.3968E-11</v>
      </c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>
      <c r="B205" s="7">
        <v>3280</v>
      </c>
      <c r="C205" s="8">
        <v>2.1919000000000001E-11</v>
      </c>
      <c r="D205" s="8">
        <v>2.1919000000000001E-11</v>
      </c>
      <c r="E205" s="8">
        <v>2.1919000000000001E-11</v>
      </c>
      <c r="F205" s="8">
        <v>5.2884E-13</v>
      </c>
      <c r="G205" s="8">
        <v>1.0358E-17</v>
      </c>
      <c r="H205" s="8">
        <v>8.9114999999999994E-11</v>
      </c>
      <c r="I205" s="8">
        <v>1.4036E-11</v>
      </c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>
      <c r="B206" s="7">
        <v>3320</v>
      </c>
      <c r="C206" s="8">
        <v>2.1457E-11</v>
      </c>
      <c r="D206" s="8">
        <v>2.1457E-11</v>
      </c>
      <c r="E206" s="8">
        <v>2.1457E-11</v>
      </c>
      <c r="F206" s="8">
        <v>5.1771000000000002E-13</v>
      </c>
      <c r="G206" s="8">
        <v>1.0121E-17</v>
      </c>
      <c r="H206" s="8">
        <v>8.9512999999999996E-11</v>
      </c>
      <c r="I206" s="8">
        <v>1.4101999999999999E-11</v>
      </c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>
      <c r="B207" s="7">
        <v>3360</v>
      </c>
      <c r="C207" s="8">
        <v>2.1006000000000002E-11</v>
      </c>
      <c r="D207" s="8">
        <v>2.1006000000000002E-11</v>
      </c>
      <c r="E207" s="8">
        <v>2.1006000000000002E-11</v>
      </c>
      <c r="F207" s="8">
        <v>5.0681999999999995E-13</v>
      </c>
      <c r="G207" s="8">
        <v>9.9271000000000001E-18</v>
      </c>
      <c r="H207" s="8">
        <v>8.9901999999999999E-11</v>
      </c>
      <c r="I207" s="8">
        <v>1.4168E-11</v>
      </c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>
      <c r="B208" s="7">
        <v>3400</v>
      </c>
      <c r="C208" s="8">
        <v>2.0564E-11</v>
      </c>
      <c r="D208" s="8">
        <v>2.0564E-11</v>
      </c>
      <c r="E208" s="8">
        <v>2.0564E-11</v>
      </c>
      <c r="F208" s="8">
        <v>4.9615999999999998E-13</v>
      </c>
      <c r="G208" s="8">
        <v>9.7130000000000006E-18</v>
      </c>
      <c r="H208" s="8">
        <v>9.0284000000000006E-11</v>
      </c>
      <c r="I208" s="8">
        <v>1.4232E-11</v>
      </c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>
      <c r="B209" s="7">
        <v>3440</v>
      </c>
      <c r="C209" s="8">
        <v>2.0131000000000001E-11</v>
      </c>
      <c r="D209" s="8">
        <v>2.0131000000000001E-11</v>
      </c>
      <c r="E209" s="8">
        <v>2.0131000000000001E-11</v>
      </c>
      <c r="F209" s="8">
        <v>4.8571999999999997E-13</v>
      </c>
      <c r="G209" s="8">
        <v>9.5131999999999996E-18</v>
      </c>
      <c r="H209" s="8">
        <v>9.0657E-11</v>
      </c>
      <c r="I209" s="8">
        <v>1.4294E-11</v>
      </c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>
      <c r="B210" s="7">
        <v>3480</v>
      </c>
      <c r="C210" s="8">
        <v>1.9708000000000001E-11</v>
      </c>
      <c r="D210" s="8">
        <v>1.9708000000000001E-11</v>
      </c>
      <c r="E210" s="8">
        <v>1.9708000000000001E-11</v>
      </c>
      <c r="F210" s="8">
        <v>4.7550000000000004E-13</v>
      </c>
      <c r="G210" s="8">
        <v>9.3145999999999997E-18</v>
      </c>
      <c r="H210" s="8">
        <v>9.1022999999999999E-11</v>
      </c>
      <c r="I210" s="8">
        <v>1.4355E-11</v>
      </c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>
      <c r="B211" s="7">
        <v>3520</v>
      </c>
      <c r="C211" s="8">
        <v>1.9292999999999999E-11</v>
      </c>
      <c r="D211" s="8">
        <v>1.9292999999999999E-11</v>
      </c>
      <c r="E211" s="8">
        <v>1.9292999999999999E-11</v>
      </c>
      <c r="F211" s="8">
        <v>4.6548999999999997E-13</v>
      </c>
      <c r="G211" s="8">
        <v>9.1009000000000006E-18</v>
      </c>
      <c r="H211" s="8">
        <v>9.1379999999999999E-11</v>
      </c>
      <c r="I211" s="8">
        <v>1.4414999999999999E-11</v>
      </c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>
      <c r="B212" s="7">
        <v>3560</v>
      </c>
      <c r="C212" s="8">
        <v>1.8886999999999999E-11</v>
      </c>
      <c r="D212" s="8">
        <v>1.8886999999999999E-11</v>
      </c>
      <c r="E212" s="8">
        <v>1.8886999999999999E-11</v>
      </c>
      <c r="F212" s="8">
        <v>4.5569999999999997E-13</v>
      </c>
      <c r="G212" s="8">
        <v>8.9130000000000003E-18</v>
      </c>
      <c r="H212" s="8">
        <v>9.1730999999999998E-11</v>
      </c>
      <c r="I212" s="8">
        <v>1.4474E-11</v>
      </c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>
      <c r="B213" s="7">
        <v>3600</v>
      </c>
      <c r="C213" s="8">
        <v>1.8489999999999999E-11</v>
      </c>
      <c r="D213" s="8">
        <v>1.8489999999999999E-11</v>
      </c>
      <c r="E213" s="8">
        <v>1.8489999999999999E-11</v>
      </c>
      <c r="F213" s="8">
        <v>4.4611E-13</v>
      </c>
      <c r="G213" s="8">
        <v>8.7477000000000001E-18</v>
      </c>
      <c r="H213" s="8">
        <v>9.2073999999999994E-11</v>
      </c>
      <c r="I213" s="8">
        <v>1.4530999999999999E-11</v>
      </c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>
      <c r="B214" s="7">
        <v>3640</v>
      </c>
      <c r="C214" s="8">
        <v>1.8101E-11</v>
      </c>
      <c r="D214" s="8">
        <v>1.8101E-11</v>
      </c>
      <c r="E214" s="8">
        <v>1.8101E-11</v>
      </c>
      <c r="F214" s="8">
        <v>4.3673E-13</v>
      </c>
      <c r="G214" s="8">
        <v>8.5434000000000003E-18</v>
      </c>
      <c r="H214" s="8">
        <v>9.2408999999999999E-11</v>
      </c>
      <c r="I214" s="8">
        <v>1.4587000000000002E-11</v>
      </c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>
      <c r="B215" s="7">
        <v>3680</v>
      </c>
      <c r="C215" s="8">
        <v>1.7720000000000001E-11</v>
      </c>
      <c r="D215" s="8">
        <v>1.7720000000000001E-11</v>
      </c>
      <c r="E215" s="8">
        <v>1.7720000000000001E-11</v>
      </c>
      <c r="F215" s="8">
        <v>4.2754000000000001E-13</v>
      </c>
      <c r="G215" s="8">
        <v>8.3681999999999999E-18</v>
      </c>
      <c r="H215" s="8">
        <v>9.2738000000000003E-11</v>
      </c>
      <c r="I215" s="8">
        <v>1.4641999999999998E-11</v>
      </c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>
      <c r="B216" s="7">
        <v>3720</v>
      </c>
      <c r="C216" s="8">
        <v>1.7347E-11</v>
      </c>
      <c r="D216" s="8">
        <v>1.7347E-11</v>
      </c>
      <c r="E216" s="8">
        <v>1.7347E-11</v>
      </c>
      <c r="F216" s="8">
        <v>4.1855000000000002E-13</v>
      </c>
      <c r="G216" s="8">
        <v>8.1780999999999996E-18</v>
      </c>
      <c r="H216" s="8">
        <v>9.306E-11</v>
      </c>
      <c r="I216" s="8">
        <v>1.4696E-11</v>
      </c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>
      <c r="B217" s="7">
        <v>3760</v>
      </c>
      <c r="C217" s="8">
        <v>1.6982E-11</v>
      </c>
      <c r="D217" s="8">
        <v>1.6982E-11</v>
      </c>
      <c r="E217" s="8">
        <v>1.6982E-11</v>
      </c>
      <c r="F217" s="8">
        <v>4.0973999999999998E-13</v>
      </c>
      <c r="G217" s="8">
        <v>8.0156000000000007E-18</v>
      </c>
      <c r="H217" s="8">
        <v>9.3375000000000001E-11</v>
      </c>
      <c r="I217" s="8">
        <v>1.4748999999999999E-11</v>
      </c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>
      <c r="B218" s="7">
        <v>3800</v>
      </c>
      <c r="C218" s="8">
        <v>1.6625000000000001E-11</v>
      </c>
      <c r="D218" s="8">
        <v>1.6625000000000001E-11</v>
      </c>
      <c r="E218" s="8">
        <v>1.6625000000000001E-11</v>
      </c>
      <c r="F218" s="8">
        <v>4.0112000000000001E-13</v>
      </c>
      <c r="G218" s="8">
        <v>7.8515000000000002E-18</v>
      </c>
      <c r="H218" s="8">
        <v>9.3683000000000006E-11</v>
      </c>
      <c r="I218" s="8">
        <v>1.4800999999999999E-11</v>
      </c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>
      <c r="B219" s="7">
        <v>3840</v>
      </c>
      <c r="C219" s="8">
        <v>1.6275E-11</v>
      </c>
      <c r="D219" s="8">
        <v>1.6275E-11</v>
      </c>
      <c r="E219" s="8">
        <v>1.6275E-11</v>
      </c>
      <c r="F219" s="8">
        <v>3.9268E-13</v>
      </c>
      <c r="G219" s="8">
        <v>7.6819999999999996E-18</v>
      </c>
      <c r="H219" s="8">
        <v>9.3984999999999999E-11</v>
      </c>
      <c r="I219" s="8">
        <v>1.4851000000000001E-11</v>
      </c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>
      <c r="B220" s="7">
        <v>3880</v>
      </c>
      <c r="C220" s="8">
        <v>1.5933E-11</v>
      </c>
      <c r="D220" s="8">
        <v>1.5933E-11</v>
      </c>
      <c r="E220" s="8">
        <v>1.5933E-11</v>
      </c>
      <c r="F220" s="8">
        <v>3.8441999999999999E-13</v>
      </c>
      <c r="G220" s="8">
        <v>7.5185999999999994E-18</v>
      </c>
      <c r="H220" s="8">
        <v>9.4279999999999997E-11</v>
      </c>
      <c r="I220" s="8">
        <v>1.4901E-11</v>
      </c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>
      <c r="B221" s="7">
        <v>3920</v>
      </c>
      <c r="C221" s="8">
        <v>1.5597999999999999E-11</v>
      </c>
      <c r="D221" s="8">
        <v>1.5597999999999999E-11</v>
      </c>
      <c r="E221" s="8">
        <v>1.5597999999999999E-11</v>
      </c>
      <c r="F221" s="8">
        <v>3.7633000000000002E-13</v>
      </c>
      <c r="G221" s="8">
        <v>7.3533999999999997E-18</v>
      </c>
      <c r="H221" s="8">
        <v>9.4570000000000003E-11</v>
      </c>
      <c r="I221" s="8">
        <v>1.4948999999999999E-11</v>
      </c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>
      <c r="B222" s="7">
        <v>3960</v>
      </c>
      <c r="C222" s="8">
        <v>1.5269999999999999E-11</v>
      </c>
      <c r="D222" s="8">
        <v>1.5269999999999999E-11</v>
      </c>
      <c r="E222" s="8">
        <v>1.5269999999999999E-11</v>
      </c>
      <c r="F222" s="8">
        <v>3.6840999999999999E-13</v>
      </c>
      <c r="G222" s="8">
        <v>7.2162000000000002E-18</v>
      </c>
      <c r="H222" s="8">
        <v>9.4853000000000001E-11</v>
      </c>
      <c r="I222" s="8">
        <v>1.4997E-11</v>
      </c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>
      <c r="B223" s="7">
        <v>4000</v>
      </c>
      <c r="C223" s="8">
        <v>1.4948E-11</v>
      </c>
      <c r="D223" s="8">
        <v>1.4948E-11</v>
      </c>
      <c r="E223" s="8">
        <v>1.4948E-11</v>
      </c>
      <c r="F223" s="8">
        <v>3.6066E-13</v>
      </c>
      <c r="G223" s="8">
        <v>7.0584999999999998E-18</v>
      </c>
      <c r="H223" s="8">
        <v>9.5129999999999999E-11</v>
      </c>
      <c r="I223" s="8">
        <v>1.5043E-11</v>
      </c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>
      <c r="B224" s="7">
        <v>4040</v>
      </c>
      <c r="C224" s="8">
        <v>1.4634000000000001E-11</v>
      </c>
      <c r="D224" s="8">
        <v>1.4634000000000001E-11</v>
      </c>
      <c r="E224" s="8">
        <v>1.4634000000000001E-11</v>
      </c>
      <c r="F224" s="8">
        <v>3.5308E-13</v>
      </c>
      <c r="G224" s="8">
        <v>6.9117999999999997E-18</v>
      </c>
      <c r="H224" s="8">
        <v>9.5400999999999997E-11</v>
      </c>
      <c r="I224" s="8">
        <v>1.5087999999999999E-11</v>
      </c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>
      <c r="B225" s="7">
        <v>4080</v>
      </c>
      <c r="C225" s="8">
        <v>1.4326E-11</v>
      </c>
      <c r="D225" s="8">
        <v>1.4326E-11</v>
      </c>
      <c r="E225" s="8">
        <v>1.4326E-11</v>
      </c>
      <c r="F225" s="8">
        <v>3.4565E-13</v>
      </c>
      <c r="G225" s="8">
        <v>6.7759000000000003E-18</v>
      </c>
      <c r="H225" s="8">
        <v>9.5667000000000004E-11</v>
      </c>
      <c r="I225" s="8">
        <v>1.5133E-11</v>
      </c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>
      <c r="B226" s="7">
        <v>4120</v>
      </c>
      <c r="C226" s="8">
        <v>1.4025E-11</v>
      </c>
      <c r="D226" s="8">
        <v>1.4025E-11</v>
      </c>
      <c r="E226" s="8">
        <v>1.4025E-11</v>
      </c>
      <c r="F226" s="8">
        <v>3.3838000000000002E-13</v>
      </c>
      <c r="G226" s="8">
        <v>6.6209999999999997E-18</v>
      </c>
      <c r="H226" s="8">
        <v>9.5926999999999999E-11</v>
      </c>
      <c r="I226" s="8">
        <v>1.5176000000000001E-11</v>
      </c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>
      <c r="B227" s="7">
        <v>4160</v>
      </c>
      <c r="C227" s="8">
        <v>1.3730000000000001E-11</v>
      </c>
      <c r="D227" s="8">
        <v>1.3730000000000001E-11</v>
      </c>
      <c r="E227" s="8">
        <v>1.3730000000000001E-11</v>
      </c>
      <c r="F227" s="8">
        <v>3.3125999999999999E-13</v>
      </c>
      <c r="G227" s="8">
        <v>6.4875000000000003E-18</v>
      </c>
      <c r="H227" s="8">
        <v>9.6182000000000002E-11</v>
      </c>
      <c r="I227" s="8">
        <v>1.5219000000000001E-11</v>
      </c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>
      <c r="B228" s="7">
        <v>4200</v>
      </c>
      <c r="C228" s="8">
        <v>1.3441E-11</v>
      </c>
      <c r="D228" s="8">
        <v>1.3441E-11</v>
      </c>
      <c r="E228" s="8">
        <v>1.3441E-11</v>
      </c>
      <c r="F228" s="8">
        <v>3.2429000000000002E-13</v>
      </c>
      <c r="G228" s="8">
        <v>6.3465000000000001E-18</v>
      </c>
      <c r="H228" s="8">
        <v>9.6431000000000005E-11</v>
      </c>
      <c r="I228" s="8">
        <v>1.5261E-11</v>
      </c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>
      <c r="B229" s="7">
        <v>4240</v>
      </c>
      <c r="C229" s="8">
        <v>1.3158E-11</v>
      </c>
      <c r="D229" s="8">
        <v>1.3158E-11</v>
      </c>
      <c r="E229" s="8">
        <v>1.3158E-11</v>
      </c>
      <c r="F229" s="8">
        <v>3.1745999999999999E-13</v>
      </c>
      <c r="G229" s="8">
        <v>6.2097999999999999E-18</v>
      </c>
      <c r="H229" s="8">
        <v>9.6675000000000005E-11</v>
      </c>
      <c r="I229" s="8">
        <v>1.5301999999999999E-11</v>
      </c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>
      <c r="B230" s="7">
        <v>4280</v>
      </c>
      <c r="C230" s="8">
        <v>1.2881000000000001E-11</v>
      </c>
      <c r="D230" s="8">
        <v>1.2881000000000001E-11</v>
      </c>
      <c r="E230" s="8">
        <v>1.2881000000000001E-11</v>
      </c>
      <c r="F230" s="8">
        <v>3.1078999999999998E-13</v>
      </c>
      <c r="G230" s="8">
        <v>6.0773999999999997E-18</v>
      </c>
      <c r="H230" s="8">
        <v>9.6914E-11</v>
      </c>
      <c r="I230" s="8">
        <v>1.5342E-11</v>
      </c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>
      <c r="B231" s="7">
        <v>4320</v>
      </c>
      <c r="C231" s="8">
        <v>1.2610000000000001E-11</v>
      </c>
      <c r="D231" s="8">
        <v>1.2610000000000001E-11</v>
      </c>
      <c r="E231" s="8">
        <v>1.2610000000000001E-11</v>
      </c>
      <c r="F231" s="8">
        <v>3.0424999999999999E-13</v>
      </c>
      <c r="G231" s="8">
        <v>5.9359999999999998E-18</v>
      </c>
      <c r="H231" s="8">
        <v>9.7148000000000004E-11</v>
      </c>
      <c r="I231" s="8">
        <v>1.5381000000000002E-11</v>
      </c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10.Document" shapeId="21507" r:id="rId4">
          <objectPr defaultSize="0" r:id="rId5">
            <anchor moveWithCells="1">
              <from>
                <xdr:col>22</xdr:col>
                <xdr:colOff>647700</xdr:colOff>
                <xdr:row>17</xdr:row>
                <xdr:rowOff>76200</xdr:rowOff>
              </from>
              <to>
                <xdr:col>28</xdr:col>
                <xdr:colOff>673100</xdr:colOff>
                <xdr:row>31</xdr:row>
                <xdr:rowOff>50800</xdr:rowOff>
              </to>
            </anchor>
          </objectPr>
        </oleObject>
      </mc:Choice>
      <mc:Fallback>
        <oleObject progId="Prism10.Document" shapeId="21507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BE3C-ED20-48D6-BCEA-F439372ADA04}">
  <dimension ref="A1:BM602"/>
  <sheetViews>
    <sheetView topLeftCell="F7" zoomScale="50" zoomScaleNormal="100" workbookViewId="0">
      <selection activeCell="O55" sqref="O55:V299"/>
    </sheetView>
  </sheetViews>
  <sheetFormatPr baseColWidth="10" defaultColWidth="8.83203125" defaultRowHeight="17"/>
  <cols>
    <col min="6" max="9" width="13.1640625" bestFit="1" customWidth="1"/>
    <col min="11" max="11" width="9.1640625" bestFit="1" customWidth="1"/>
    <col min="13" max="13" width="13.1640625" bestFit="1" customWidth="1"/>
    <col min="16" max="16" width="13.5" customWidth="1"/>
    <col min="17" max="17" width="9.83203125" bestFit="1" customWidth="1"/>
    <col min="18" max="18" width="9.5" bestFit="1" customWidth="1"/>
    <col min="20" max="20" width="11" bestFit="1" customWidth="1"/>
    <col min="21" max="21" width="9.5" bestFit="1" customWidth="1"/>
    <col min="22" max="22" width="13.33203125" bestFit="1" customWidth="1"/>
    <col min="29" max="29" width="9.5" bestFit="1" customWidth="1"/>
    <col min="33" max="34" width="10.83203125" bestFit="1" customWidth="1"/>
    <col min="35" max="35" width="9.1640625" customWidth="1"/>
    <col min="46" max="46" width="7.5" customWidth="1"/>
    <col min="47" max="47" width="15" customWidth="1"/>
    <col min="48" max="48" width="11" bestFit="1" customWidth="1"/>
    <col min="49" max="49" width="9.1640625" bestFit="1" customWidth="1"/>
    <col min="51" max="56" width="9.1640625" bestFit="1" customWidth="1"/>
  </cols>
  <sheetData>
    <row r="1" spans="1:65">
      <c r="A1" s="1">
        <f>K2</f>
        <v>1.2735707007308003E-10</v>
      </c>
      <c r="B1" s="7" t="s">
        <v>0</v>
      </c>
      <c r="C1" s="7" t="s">
        <v>123</v>
      </c>
      <c r="D1" s="7" t="s">
        <v>123</v>
      </c>
      <c r="E1" s="7" t="s">
        <v>123</v>
      </c>
      <c r="F1" t="s">
        <v>123</v>
      </c>
      <c r="G1" t="s">
        <v>123</v>
      </c>
      <c r="H1" t="s">
        <v>124</v>
      </c>
      <c r="I1" t="s">
        <v>125</v>
      </c>
      <c r="J1" s="7"/>
      <c r="N1" s="7"/>
      <c r="O1" t="s">
        <v>35</v>
      </c>
      <c r="P1" t="s">
        <v>5</v>
      </c>
      <c r="Q1" t="s">
        <v>30</v>
      </c>
      <c r="R1" t="s">
        <v>38</v>
      </c>
      <c r="S1" s="3" t="s">
        <v>11</v>
      </c>
      <c r="T1" t="s">
        <v>32</v>
      </c>
      <c r="U1" t="s">
        <v>3</v>
      </c>
      <c r="V1" s="4" t="s">
        <v>4</v>
      </c>
      <c r="X1" s="3"/>
      <c r="Y1" s="3" t="s">
        <v>12</v>
      </c>
      <c r="Z1" s="3" t="s">
        <v>36</v>
      </c>
      <c r="AA1" s="3" t="s">
        <v>37</v>
      </c>
      <c r="AB1" s="3" t="s">
        <v>39</v>
      </c>
      <c r="AC1" s="3" t="s">
        <v>13</v>
      </c>
      <c r="AF1" s="35" t="s">
        <v>85</v>
      </c>
      <c r="AJ1" s="7"/>
      <c r="AK1" s="7"/>
    </row>
    <row r="2" spans="1:65">
      <c r="B2" s="7">
        <v>0</v>
      </c>
      <c r="C2" s="8">
        <v>1.2710000000000001E-10</v>
      </c>
      <c r="D2" s="8">
        <v>1.2710000000000001E-10</v>
      </c>
      <c r="E2" s="8">
        <v>1.2710000000000001E-10</v>
      </c>
      <c r="F2" s="1">
        <v>2.5706999999999998E-13</v>
      </c>
      <c r="G2" s="1">
        <v>7.3079999999999997E-20</v>
      </c>
      <c r="H2" s="1">
        <v>0</v>
      </c>
      <c r="I2" s="1">
        <v>0</v>
      </c>
      <c r="J2" s="8"/>
      <c r="K2" s="1">
        <f>SUM(C2,F2,G2)</f>
        <v>1.2735707007308003E-10</v>
      </c>
      <c r="M2" s="1"/>
      <c r="N2" s="7"/>
      <c r="O2">
        <f>B2/60</f>
        <v>0</v>
      </c>
      <c r="P2" s="6">
        <f>(SUM(F2:J2)+C2)/$A$1*100</f>
        <v>99.999999999999972</v>
      </c>
      <c r="Q2" s="6">
        <f t="shared" ref="Q2:Q65" si="0">(H2+F2)/$A$1*100</f>
        <v>0.20184980688742926</v>
      </c>
      <c r="R2" s="6">
        <f t="shared" ref="R2:R65" si="1">(G2+I2)/$A$1*100</f>
        <v>5.7381973343187964E-8</v>
      </c>
      <c r="S2" s="5">
        <f t="shared" ref="S2:S65" si="2">J2/$A$1*100</f>
        <v>0</v>
      </c>
      <c r="T2" s="6">
        <f t="shared" ref="T2:V17" si="3">C2/$A$1*100</f>
        <v>99.79815013573058</v>
      </c>
      <c r="U2" s="1">
        <f t="shared" si="3"/>
        <v>99.79815013573058</v>
      </c>
      <c r="V2" s="1">
        <f t="shared" si="3"/>
        <v>99.79815013573058</v>
      </c>
      <c r="X2" s="9" t="s">
        <v>26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" t="s">
        <v>84</v>
      </c>
      <c r="AG2" t="s">
        <v>81</v>
      </c>
      <c r="AH2" s="7" t="s">
        <v>82</v>
      </c>
      <c r="AI2" s="7" t="s">
        <v>83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>
      <c r="B3" s="7">
        <v>2.476</v>
      </c>
      <c r="C3" s="8">
        <v>1.2478000000000001E-10</v>
      </c>
      <c r="D3" s="8">
        <v>1.2478000000000001E-10</v>
      </c>
      <c r="E3" s="8">
        <v>1.2478000000000001E-10</v>
      </c>
      <c r="F3" s="1">
        <v>2.4837E-12</v>
      </c>
      <c r="G3" s="1">
        <v>1.381E-17</v>
      </c>
      <c r="H3" s="1">
        <v>5.4356999999999999E-14</v>
      </c>
      <c r="I3" s="1">
        <v>2.5393999999999998E-15</v>
      </c>
      <c r="J3" s="8"/>
      <c r="K3" s="1"/>
      <c r="L3" s="1"/>
      <c r="M3" s="1"/>
      <c r="N3" s="7"/>
      <c r="O3">
        <f t="shared" ref="O3:O66" si="4">B3/60</f>
        <v>4.1266666666666667E-2</v>
      </c>
      <c r="P3" s="6">
        <f t="shared" ref="P3:P66" si="5">(SUM(F3:J3)+C3)/$A$1*100</f>
        <v>99.971371936352554</v>
      </c>
      <c r="Q3" s="6">
        <f t="shared" si="0"/>
        <v>1.9928669829979695</v>
      </c>
      <c r="R3" s="6">
        <f t="shared" si="1"/>
        <v>2.0047650268139156E-3</v>
      </c>
      <c r="S3" s="5">
        <f t="shared" si="2"/>
        <v>0</v>
      </c>
      <c r="T3" s="6">
        <f t="shared" si="3"/>
        <v>97.97650018832779</v>
      </c>
      <c r="U3" s="1">
        <f t="shared" si="3"/>
        <v>97.97650018832779</v>
      </c>
      <c r="V3" s="1">
        <f t="shared" si="3"/>
        <v>97.97650018832779</v>
      </c>
      <c r="X3" s="9"/>
      <c r="Y3" s="2"/>
      <c r="Z3" s="2"/>
      <c r="AA3" s="2"/>
      <c r="AB3" s="2"/>
      <c r="AC3" s="2"/>
      <c r="AD3" s="1"/>
      <c r="AE3" s="1"/>
      <c r="AF3" t="s">
        <v>40</v>
      </c>
      <c r="AG3" t="s">
        <v>41</v>
      </c>
      <c r="AH3" s="7" t="s">
        <v>42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B4" s="7">
        <v>4.524</v>
      </c>
      <c r="C4" s="8">
        <v>1.2436E-10</v>
      </c>
      <c r="D4" s="8">
        <v>1.2436E-10</v>
      </c>
      <c r="E4" s="8">
        <v>1.2436E-10</v>
      </c>
      <c r="F4" s="1">
        <v>2.8044E-12</v>
      </c>
      <c r="G4" s="1">
        <v>1.8623999999999999E-17</v>
      </c>
      <c r="H4" s="1">
        <v>1.5153000000000001E-13</v>
      </c>
      <c r="I4" s="1">
        <v>7.5215999999999998E-15</v>
      </c>
      <c r="J4" s="8"/>
      <c r="K4" s="1"/>
      <c r="L4" s="1"/>
      <c r="M4" s="1"/>
      <c r="N4" s="7"/>
      <c r="O4">
        <f t="shared" si="4"/>
        <v>7.5399999999999995E-2</v>
      </c>
      <c r="P4" s="6">
        <f t="shared" si="5"/>
        <v>99.973617602021818</v>
      </c>
      <c r="Q4" s="6">
        <f t="shared" si="0"/>
        <v>2.3209783314768693</v>
      </c>
      <c r="R4" s="6">
        <f t="shared" si="1"/>
        <v>5.9205382125022731E-3</v>
      </c>
      <c r="S4" s="5">
        <f t="shared" si="2"/>
        <v>0</v>
      </c>
      <c r="T4" s="6">
        <f t="shared" si="3"/>
        <v>97.646718732332445</v>
      </c>
      <c r="U4" s="1">
        <f t="shared" si="3"/>
        <v>97.646718732332445</v>
      </c>
      <c r="V4" s="1">
        <f t="shared" si="3"/>
        <v>97.646718732332445</v>
      </c>
      <c r="X4" s="9" t="s">
        <v>27</v>
      </c>
      <c r="Y4" s="2">
        <v>7234</v>
      </c>
      <c r="Z4" s="2">
        <v>3242</v>
      </c>
      <c r="AA4" s="2">
        <v>1768</v>
      </c>
      <c r="AB4" s="2">
        <v>0</v>
      </c>
      <c r="AC4" s="2">
        <v>2224</v>
      </c>
      <c r="AD4" s="1"/>
      <c r="AE4" s="1"/>
      <c r="AF4" t="s">
        <v>43</v>
      </c>
      <c r="AG4" t="s">
        <v>44</v>
      </c>
      <c r="AH4" s="1" t="s">
        <v>45</v>
      </c>
      <c r="AI4" s="1" t="s">
        <v>46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B5" s="7">
        <v>6.5720000000000001</v>
      </c>
      <c r="C5" s="8">
        <v>1.2412000000000001E-10</v>
      </c>
      <c r="D5" s="8">
        <v>1.2412000000000001E-10</v>
      </c>
      <c r="E5" s="8">
        <v>1.2412000000000001E-10</v>
      </c>
      <c r="F5" s="1">
        <v>2.9284999999999999E-12</v>
      </c>
      <c r="G5" s="1">
        <v>2.5224000000000001E-17</v>
      </c>
      <c r="H5" s="1">
        <v>2.5929E-13</v>
      </c>
      <c r="I5" s="1">
        <v>1.4255000000000001E-14</v>
      </c>
      <c r="J5" s="8"/>
      <c r="K5" s="1"/>
      <c r="L5" s="1"/>
      <c r="M5" s="1"/>
      <c r="N5" s="7"/>
      <c r="O5">
        <f t="shared" si="4"/>
        <v>0.10953333333333333</v>
      </c>
      <c r="P5" s="6">
        <f t="shared" si="5"/>
        <v>99.972518330501842</v>
      </c>
      <c r="Q5" s="6">
        <f t="shared" si="0"/>
        <v>2.5030333990651497</v>
      </c>
      <c r="R5" s="6">
        <f t="shared" si="1"/>
        <v>1.1212745387284525E-2</v>
      </c>
      <c r="S5" s="5">
        <f t="shared" si="2"/>
        <v>0</v>
      </c>
      <c r="T5" s="6">
        <f t="shared" si="3"/>
        <v>97.458272186049413</v>
      </c>
      <c r="U5" s="1">
        <f t="shared" si="3"/>
        <v>97.458272186049413</v>
      </c>
      <c r="V5" s="1">
        <f t="shared" si="3"/>
        <v>97.458272186049413</v>
      </c>
      <c r="X5" s="9" t="s">
        <v>28</v>
      </c>
      <c r="Y5" s="2">
        <v>7234</v>
      </c>
      <c r="Z5" s="2">
        <v>3242</v>
      </c>
      <c r="AA5" s="2">
        <v>1768</v>
      </c>
      <c r="AB5" s="2">
        <v>0</v>
      </c>
      <c r="AC5" s="2">
        <v>2224</v>
      </c>
      <c r="AD5" s="1"/>
      <c r="AE5" s="1"/>
      <c r="AF5" s="41" t="s">
        <v>60</v>
      </c>
      <c r="AG5" s="41" t="s">
        <v>98</v>
      </c>
      <c r="AH5" s="41" t="s">
        <v>98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B6" s="7">
        <v>8.6199999999999992</v>
      </c>
      <c r="C6" s="8">
        <v>1.2393999999999999E-10</v>
      </c>
      <c r="D6" s="8">
        <v>1.2393999999999999E-10</v>
      </c>
      <c r="E6" s="8">
        <v>1.2393999999999999E-10</v>
      </c>
      <c r="F6" s="1">
        <v>2.9760999999999998E-12</v>
      </c>
      <c r="G6" s="1">
        <v>3.2361000000000002E-17</v>
      </c>
      <c r="H6" s="1">
        <v>3.7140999999999998E-13</v>
      </c>
      <c r="I6" s="1">
        <v>2.3045000000000001E-14</v>
      </c>
      <c r="J6" s="8"/>
      <c r="K6" s="1"/>
      <c r="L6" s="1"/>
      <c r="M6" s="1"/>
      <c r="N6" s="7"/>
      <c r="O6">
        <f t="shared" si="4"/>
        <v>0.14366666666666666</v>
      </c>
      <c r="P6" s="6">
        <f t="shared" si="5"/>
        <v>99.963502056027693</v>
      </c>
      <c r="Q6" s="6">
        <f t="shared" si="0"/>
        <v>2.628444575616518</v>
      </c>
      <c r="R6" s="6">
        <f t="shared" si="1"/>
        <v>1.8120204074071229E-2</v>
      </c>
      <c r="S6" s="5">
        <f t="shared" si="2"/>
        <v>0</v>
      </c>
      <c r="T6" s="6">
        <f t="shared" si="3"/>
        <v>97.316937276337114</v>
      </c>
      <c r="U6" s="1">
        <f t="shared" si="3"/>
        <v>97.316937276337114</v>
      </c>
      <c r="V6" s="1">
        <f t="shared" si="3"/>
        <v>97.316937276337114</v>
      </c>
      <c r="X6" s="9" t="s">
        <v>29</v>
      </c>
      <c r="Y6" s="2">
        <v>1</v>
      </c>
      <c r="Z6" s="2">
        <v>1</v>
      </c>
      <c r="AA6" s="2">
        <v>1</v>
      </c>
      <c r="AB6" s="2">
        <v>23</v>
      </c>
      <c r="AC6" s="2">
        <v>1</v>
      </c>
      <c r="AD6" s="1"/>
      <c r="AE6" s="1"/>
      <c r="AF6" s="36" t="s">
        <v>18</v>
      </c>
      <c r="AG6" s="38">
        <v>0.9</v>
      </c>
      <c r="AH6" s="39">
        <v>0.9</v>
      </c>
      <c r="AI6" s="1" t="s">
        <v>47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B7" s="7">
        <v>10.667999999999999</v>
      </c>
      <c r="C7" s="8">
        <v>1.238E-10</v>
      </c>
      <c r="D7" s="8">
        <v>1.238E-10</v>
      </c>
      <c r="E7" s="8">
        <v>1.238E-10</v>
      </c>
      <c r="F7" s="1">
        <v>2.9964E-12</v>
      </c>
      <c r="G7" s="1">
        <v>4.0118000000000002E-17</v>
      </c>
      <c r="H7" s="1">
        <v>4.8541999999999997E-13</v>
      </c>
      <c r="I7" s="1">
        <v>3.4215999999999999E-14</v>
      </c>
      <c r="J7" s="8"/>
      <c r="K7" s="1"/>
      <c r="L7" s="1"/>
      <c r="M7" s="1"/>
      <c r="N7" s="7"/>
      <c r="O7">
        <f t="shared" si="4"/>
        <v>0.17779999999999999</v>
      </c>
      <c r="P7" s="6">
        <f t="shared" si="5"/>
        <v>99.967811794777845</v>
      </c>
      <c r="Q7" s="6">
        <f t="shared" si="0"/>
        <v>2.7339039740801692</v>
      </c>
      <c r="R7" s="6">
        <f t="shared" si="1"/>
        <v>2.6897696359018907E-2</v>
      </c>
      <c r="S7" s="5">
        <f t="shared" si="2"/>
        <v>0</v>
      </c>
      <c r="T7" s="6">
        <f t="shared" si="3"/>
        <v>97.20701012433868</v>
      </c>
      <c r="U7" s="1">
        <f t="shared" si="3"/>
        <v>97.20701012433868</v>
      </c>
      <c r="V7" s="1">
        <f t="shared" si="3"/>
        <v>97.20701012433868</v>
      </c>
      <c r="X7" s="9"/>
      <c r="Y7" s="2"/>
      <c r="Z7" s="2"/>
      <c r="AA7" s="2"/>
      <c r="AB7" s="2"/>
      <c r="AC7" s="2"/>
      <c r="AD7" s="1"/>
      <c r="AE7" s="1"/>
      <c r="AF7" t="s">
        <v>48</v>
      </c>
      <c r="AG7" t="s">
        <v>94</v>
      </c>
      <c r="AH7" s="1" t="s">
        <v>95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B8" s="7">
        <v>12.715999999999999</v>
      </c>
      <c r="C8" s="8">
        <v>1.2365999999999999E-10</v>
      </c>
      <c r="D8" s="8">
        <v>1.2365999999999999E-10</v>
      </c>
      <c r="E8" s="8">
        <v>1.2365999999999999E-10</v>
      </c>
      <c r="F8" s="1">
        <v>3.0026000000000002E-12</v>
      </c>
      <c r="G8" s="1">
        <v>4.9704999999999999E-17</v>
      </c>
      <c r="H8" s="1">
        <v>6.0030999999999999E-13</v>
      </c>
      <c r="I8" s="1">
        <v>4.8143E-14</v>
      </c>
      <c r="J8" s="8"/>
      <c r="K8" s="1"/>
      <c r="L8" s="1"/>
      <c r="M8" s="1"/>
      <c r="N8" s="7"/>
      <c r="O8">
        <f t="shared" si="4"/>
        <v>0.21193333333333333</v>
      </c>
      <c r="P8" s="6">
        <f t="shared" si="5"/>
        <v>99.963906701014977</v>
      </c>
      <c r="Q8" s="6">
        <f t="shared" si="0"/>
        <v>2.8289831086193944</v>
      </c>
      <c r="R8" s="6">
        <f t="shared" si="1"/>
        <v>3.7840620055365641E-2</v>
      </c>
      <c r="S8" s="5">
        <f t="shared" si="2"/>
        <v>0</v>
      </c>
      <c r="T8" s="6">
        <f t="shared" si="3"/>
        <v>97.097082972340218</v>
      </c>
      <c r="U8" s="1">
        <f t="shared" si="3"/>
        <v>97.097082972340218</v>
      </c>
      <c r="V8" s="1">
        <f t="shared" si="3"/>
        <v>97.097082972340218</v>
      </c>
      <c r="X8" s="9"/>
      <c r="Y8" s="2">
        <f>Y4/$Y$4*100</f>
        <v>100</v>
      </c>
      <c r="Z8" s="10">
        <f>Z4/$Y$4*100</f>
        <v>44.816145977329278</v>
      </c>
      <c r="AA8" s="10">
        <f>AA4/$Y$4*100</f>
        <v>24.440143765551561</v>
      </c>
      <c r="AB8" s="10">
        <f>AB4/$Y$4*100</f>
        <v>0</v>
      </c>
      <c r="AC8" s="10">
        <f>AC4/$Y$4*100</f>
        <v>30.743710257119162</v>
      </c>
      <c r="AD8" s="1"/>
      <c r="AE8" s="1"/>
      <c r="AF8" s="1" t="s">
        <v>20</v>
      </c>
      <c r="AG8" s="1">
        <v>0</v>
      </c>
      <c r="AH8" s="1">
        <v>0</v>
      </c>
      <c r="AI8" s="1" t="s">
        <v>49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>
      <c r="B9" s="7">
        <v>14.763999999999999</v>
      </c>
      <c r="C9" s="8">
        <v>1.2352E-10</v>
      </c>
      <c r="D9" s="8">
        <v>1.2352E-10</v>
      </c>
      <c r="E9" s="8">
        <v>1.2352E-10</v>
      </c>
      <c r="F9" s="1">
        <v>3.0021999999999999E-12</v>
      </c>
      <c r="G9" s="1">
        <v>6.0545999999999998E-17</v>
      </c>
      <c r="H9" s="1">
        <v>7.1556000000000003E-13</v>
      </c>
      <c r="I9" s="1">
        <v>6.5124000000000004E-14</v>
      </c>
      <c r="J9" s="8"/>
      <c r="K9" s="1"/>
      <c r="L9" s="1"/>
      <c r="M9" s="1"/>
      <c r="N9" s="7"/>
      <c r="O9">
        <f t="shared" si="4"/>
        <v>0.24606666666666666</v>
      </c>
      <c r="P9" s="6">
        <f t="shared" si="5"/>
        <v>99.957500963983421</v>
      </c>
      <c r="Q9" s="6">
        <f t="shared" si="0"/>
        <v>2.9191626329552611</v>
      </c>
      <c r="R9" s="6">
        <f t="shared" si="1"/>
        <v>5.1182510686368504E-2</v>
      </c>
      <c r="S9" s="5">
        <f t="shared" si="2"/>
        <v>0</v>
      </c>
      <c r="T9" s="6">
        <f t="shared" si="3"/>
        <v>96.987155820341783</v>
      </c>
      <c r="U9" s="1">
        <f t="shared" si="3"/>
        <v>96.987155820341783</v>
      </c>
      <c r="V9" s="1">
        <f t="shared" si="3"/>
        <v>96.987155820341783</v>
      </c>
      <c r="X9" s="9"/>
      <c r="Y9" s="2"/>
      <c r="Z9" s="2"/>
      <c r="AA9" s="2"/>
      <c r="AB9" s="2"/>
      <c r="AC9" s="2"/>
      <c r="AD9" s="1"/>
      <c r="AE9" s="1"/>
      <c r="AF9" s="1" t="s">
        <v>22</v>
      </c>
      <c r="AG9" s="1">
        <v>0</v>
      </c>
      <c r="AH9" s="1">
        <v>0</v>
      </c>
      <c r="AI9" s="1" t="s">
        <v>50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8" thickBot="1">
      <c r="B10" s="7">
        <v>16.812000000000001</v>
      </c>
      <c r="C10" s="8">
        <v>1.2339E-10</v>
      </c>
      <c r="D10" s="8">
        <v>1.2339E-10</v>
      </c>
      <c r="E10" s="8">
        <v>1.2339E-10</v>
      </c>
      <c r="F10" s="1">
        <v>2.999E-12</v>
      </c>
      <c r="G10" s="1">
        <v>7.1492999999999994E-17</v>
      </c>
      <c r="H10" s="1">
        <v>8.3095000000000001E-13</v>
      </c>
      <c r="I10" s="1">
        <v>8.5345000000000001E-14</v>
      </c>
      <c r="J10" s="8"/>
      <c r="K10" s="1"/>
      <c r="L10" s="1"/>
      <c r="M10" s="1"/>
      <c r="N10" s="7"/>
      <c r="O10">
        <f t="shared" si="4"/>
        <v>0.2802</v>
      </c>
      <c r="P10" s="6">
        <f t="shared" si="5"/>
        <v>99.959402662097716</v>
      </c>
      <c r="Q10" s="6">
        <f t="shared" si="0"/>
        <v>3.0072535414031574</v>
      </c>
      <c r="R10" s="6">
        <f t="shared" si="1"/>
        <v>6.7068512922750428E-2</v>
      </c>
      <c r="S10" s="5">
        <f t="shared" si="2"/>
        <v>0</v>
      </c>
      <c r="T10" s="6">
        <f t="shared" si="3"/>
        <v>96.885080607771798</v>
      </c>
      <c r="U10" s="1">
        <f t="shared" si="3"/>
        <v>96.885080607771798</v>
      </c>
      <c r="V10" s="1">
        <f t="shared" si="3"/>
        <v>96.885080607771798</v>
      </c>
      <c r="X10" s="9"/>
      <c r="Y10" s="2"/>
      <c r="Z10" s="2"/>
      <c r="AA10" s="2"/>
      <c r="AB10" s="2"/>
      <c r="AC10" s="2"/>
      <c r="AD10" s="1"/>
      <c r="AE10" s="1"/>
      <c r="AF10" s="1" t="s">
        <v>24</v>
      </c>
      <c r="AG10" s="1">
        <v>0</v>
      </c>
      <c r="AH10" s="1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>
      <c r="B11" s="7">
        <v>20.908000000000001</v>
      </c>
      <c r="C11" s="8">
        <v>1.2311E-10</v>
      </c>
      <c r="D11" s="8">
        <v>1.2311E-10</v>
      </c>
      <c r="E11" s="8">
        <v>1.2311E-10</v>
      </c>
      <c r="F11" s="1">
        <v>2.9909000000000001E-12</v>
      </c>
      <c r="G11" s="1">
        <v>9.1431000000000006E-17</v>
      </c>
      <c r="H11" s="1">
        <v>1.0617E-12</v>
      </c>
      <c r="I11" s="1">
        <v>1.3557E-13</v>
      </c>
      <c r="J11" s="8"/>
      <c r="K11" s="1"/>
      <c r="L11" s="1"/>
      <c r="M11" s="1"/>
      <c r="N11" s="7"/>
      <c r="O11">
        <f t="shared" si="4"/>
        <v>0.3484666666666667</v>
      </c>
      <c r="P11" s="6">
        <f t="shared" si="5"/>
        <v>99.953823810451752</v>
      </c>
      <c r="Q11" s="6">
        <f t="shared" si="0"/>
        <v>3.1820769727778262</v>
      </c>
      <c r="R11" s="6">
        <f t="shared" si="1"/>
        <v>0.10652053389902483</v>
      </c>
      <c r="S11" s="5">
        <f t="shared" si="2"/>
        <v>0</v>
      </c>
      <c r="T11" s="6">
        <f t="shared" si="3"/>
        <v>96.665226303774915</v>
      </c>
      <c r="U11" s="1">
        <f t="shared" si="3"/>
        <v>96.665226303774915</v>
      </c>
      <c r="V11" s="1">
        <f t="shared" si="3"/>
        <v>96.665226303774915</v>
      </c>
      <c r="X11" s="9"/>
      <c r="Y11" s="2"/>
      <c r="Z11" s="2"/>
      <c r="AA11" s="16"/>
      <c r="AB11" s="11" t="s">
        <v>33</v>
      </c>
      <c r="AC11" s="2"/>
      <c r="AD11" s="1"/>
      <c r="AE11" s="1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B12" s="7">
        <v>25.004000000000001</v>
      </c>
      <c r="C12" s="8">
        <v>1.2282E-10</v>
      </c>
      <c r="D12" s="8">
        <v>1.2282E-10</v>
      </c>
      <c r="E12" s="8">
        <v>1.2282E-10</v>
      </c>
      <c r="F12" s="1">
        <v>2.9815000000000002E-12</v>
      </c>
      <c r="G12" s="1">
        <v>1.1078E-16</v>
      </c>
      <c r="H12" s="1">
        <v>1.2923000000000001E-12</v>
      </c>
      <c r="I12" s="1">
        <v>1.9824999999999999E-13</v>
      </c>
      <c r="J12" s="8"/>
      <c r="K12" s="1"/>
      <c r="L12" s="1"/>
      <c r="M12" s="1"/>
      <c r="N12" s="7"/>
      <c r="O12">
        <f t="shared" si="4"/>
        <v>0.41673333333333334</v>
      </c>
      <c r="P12" s="6">
        <f t="shared" si="5"/>
        <v>99.949033616239149</v>
      </c>
      <c r="Q12" s="6">
        <f t="shared" si="0"/>
        <v>3.3557618729353687</v>
      </c>
      <c r="R12" s="6">
        <f t="shared" si="1"/>
        <v>0.15575168295421415</v>
      </c>
      <c r="S12" s="5">
        <f t="shared" si="2"/>
        <v>0</v>
      </c>
      <c r="T12" s="6">
        <f t="shared" si="3"/>
        <v>96.437520060349556</v>
      </c>
      <c r="U12" s="1">
        <f t="shared" si="3"/>
        <v>96.437520060349556</v>
      </c>
      <c r="V12" s="1">
        <f t="shared" si="3"/>
        <v>96.437520060349556</v>
      </c>
      <c r="X12" s="9"/>
      <c r="Y12" s="2"/>
      <c r="Z12" s="2"/>
      <c r="AA12" s="12" t="s">
        <v>32</v>
      </c>
      <c r="AB12" s="17">
        <f>AC8</f>
        <v>30.743710257119162</v>
      </c>
      <c r="AC12" s="2"/>
      <c r="AD12" s="1"/>
      <c r="AE12" s="1"/>
      <c r="AF12" s="1" t="s">
        <v>51</v>
      </c>
      <c r="AG12" s="1" t="s">
        <v>52</v>
      </c>
      <c r="AH12" s="1" t="s">
        <v>53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>
      <c r="B13" s="7">
        <v>29.1</v>
      </c>
      <c r="C13" s="8">
        <v>1.2252999999999999E-10</v>
      </c>
      <c r="D13" s="8">
        <v>1.2252999999999999E-10</v>
      </c>
      <c r="E13" s="8">
        <v>1.2252999999999999E-10</v>
      </c>
      <c r="F13" s="1">
        <v>2.9720999999999998E-12</v>
      </c>
      <c r="G13" s="1">
        <v>1.287E-16</v>
      </c>
      <c r="H13" s="1">
        <v>1.5226E-12</v>
      </c>
      <c r="I13" s="1">
        <v>2.7213999999999999E-13</v>
      </c>
      <c r="J13" s="8"/>
      <c r="K13" s="1"/>
      <c r="L13" s="1"/>
      <c r="M13" s="1"/>
      <c r="N13" s="7"/>
      <c r="O13">
        <f t="shared" si="4"/>
        <v>0.48500000000000004</v>
      </c>
      <c r="P13" s="6">
        <f t="shared" si="5"/>
        <v>99.952808765900826</v>
      </c>
      <c r="Q13" s="6">
        <f t="shared" si="0"/>
        <v>3.5292112149100565</v>
      </c>
      <c r="R13" s="6">
        <f t="shared" si="1"/>
        <v>0.2137837340665632</v>
      </c>
      <c r="S13" s="5">
        <f t="shared" si="2"/>
        <v>0</v>
      </c>
      <c r="T13" s="6">
        <f t="shared" si="3"/>
        <v>96.209813816924211</v>
      </c>
      <c r="U13" s="1">
        <f t="shared" si="3"/>
        <v>96.209813816924211</v>
      </c>
      <c r="V13" s="1">
        <f t="shared" si="3"/>
        <v>96.209813816924211</v>
      </c>
      <c r="X13" s="9"/>
      <c r="Y13" s="2"/>
      <c r="Z13" s="2"/>
      <c r="AA13" s="13" t="s">
        <v>31</v>
      </c>
      <c r="AB13" s="18">
        <f>AA8</f>
        <v>24.440143765551561</v>
      </c>
      <c r="AC13" s="2"/>
      <c r="AD13" s="1"/>
      <c r="AE13" s="1"/>
      <c r="AF13" s="1" t="s">
        <v>54</v>
      </c>
      <c r="AG13" s="1" t="s">
        <v>55</v>
      </c>
      <c r="AH13" s="1" t="s">
        <v>56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>
      <c r="B14" s="7">
        <v>33.195999999999998</v>
      </c>
      <c r="C14" s="8">
        <v>1.2221999999999999E-10</v>
      </c>
      <c r="D14" s="8">
        <v>1.2221999999999999E-10</v>
      </c>
      <c r="E14" s="8">
        <v>1.2221999999999999E-10</v>
      </c>
      <c r="F14" s="1">
        <v>2.9627999999999999E-12</v>
      </c>
      <c r="G14" s="1">
        <v>1.4331000000000001E-16</v>
      </c>
      <c r="H14" s="1">
        <v>1.7522999999999999E-12</v>
      </c>
      <c r="I14" s="1">
        <v>3.5569000000000002E-13</v>
      </c>
      <c r="J14" s="8"/>
      <c r="K14" s="1"/>
      <c r="L14" s="1"/>
      <c r="M14" s="1"/>
      <c r="N14" s="7"/>
      <c r="O14">
        <f t="shared" si="4"/>
        <v>0.55326666666666668</v>
      </c>
      <c r="P14" s="6">
        <f t="shared" si="5"/>
        <v>99.948069814230109</v>
      </c>
      <c r="Q14" s="6">
        <f t="shared" si="0"/>
        <v>3.7022679599133217</v>
      </c>
      <c r="R14" s="6">
        <f t="shared" si="1"/>
        <v>0.27939815967485415</v>
      </c>
      <c r="S14" s="5">
        <f t="shared" si="2"/>
        <v>0</v>
      </c>
      <c r="T14" s="6">
        <f t="shared" si="3"/>
        <v>95.96640369464194</v>
      </c>
      <c r="U14" s="1">
        <f t="shared" si="3"/>
        <v>95.96640369464194</v>
      </c>
      <c r="V14" s="1">
        <f t="shared" si="3"/>
        <v>95.96640369464194</v>
      </c>
      <c r="X14" s="9"/>
      <c r="Y14" s="2"/>
      <c r="Z14" s="2"/>
      <c r="AA14" s="14" t="s">
        <v>30</v>
      </c>
      <c r="AB14" s="19">
        <f>Z8</f>
        <v>44.816145977329278</v>
      </c>
      <c r="AC14" s="2"/>
      <c r="AD14" s="1"/>
      <c r="AE14" s="1"/>
      <c r="AF14" s="1" t="s">
        <v>57</v>
      </c>
      <c r="AG14" s="1" t="s">
        <v>58</v>
      </c>
      <c r="AH14" s="1" t="s">
        <v>59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8" thickBot="1">
      <c r="B15" s="7">
        <v>41.387999999999998</v>
      </c>
      <c r="C15" s="8">
        <v>1.2158000000000001E-10</v>
      </c>
      <c r="D15" s="8">
        <v>1.2158000000000001E-10</v>
      </c>
      <c r="E15" s="8">
        <v>1.2158000000000001E-10</v>
      </c>
      <c r="F15" s="1">
        <v>2.9447000000000002E-12</v>
      </c>
      <c r="G15" s="1">
        <v>1.6226E-16</v>
      </c>
      <c r="H15" s="1">
        <v>2.2104999999999999E-12</v>
      </c>
      <c r="I15" s="1">
        <v>5.4514000000000004E-13</v>
      </c>
      <c r="J15" s="8"/>
      <c r="K15" s="1"/>
      <c r="L15" s="1"/>
      <c r="M15" s="1"/>
      <c r="N15" s="7"/>
      <c r="O15">
        <f t="shared" si="4"/>
        <v>0.68979999999999997</v>
      </c>
      <c r="P15" s="6">
        <f t="shared" si="5"/>
        <v>99.939879416952593</v>
      </c>
      <c r="Q15" s="6">
        <f t="shared" si="0"/>
        <v>4.0478318141598599</v>
      </c>
      <c r="R15" s="6">
        <f t="shared" si="1"/>
        <v>0.42816803157225181</v>
      </c>
      <c r="S15" s="5">
        <f t="shared" si="2"/>
        <v>0</v>
      </c>
      <c r="T15" s="6">
        <f t="shared" si="3"/>
        <v>95.463879571220488</v>
      </c>
      <c r="U15" s="1">
        <f t="shared" si="3"/>
        <v>95.463879571220488</v>
      </c>
      <c r="V15" s="1">
        <f t="shared" si="3"/>
        <v>95.463879571220488</v>
      </c>
      <c r="X15" s="1"/>
      <c r="Y15" s="5"/>
      <c r="Z15" s="1"/>
      <c r="AA15" s="15" t="s">
        <v>11</v>
      </c>
      <c r="AB15" s="20">
        <f>AB8</f>
        <v>0</v>
      </c>
      <c r="AC15" s="1"/>
      <c r="AD15" s="1"/>
      <c r="AE15" s="1"/>
      <c r="AF15" s="1" t="s">
        <v>19</v>
      </c>
      <c r="AG15" s="1">
        <v>0.1</v>
      </c>
      <c r="AH15" s="1">
        <v>0.1</v>
      </c>
      <c r="AI15" s="1" t="s">
        <v>47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>
      <c r="B16" s="7">
        <v>49.58</v>
      </c>
      <c r="C16" s="8">
        <v>1.2092999999999999E-10</v>
      </c>
      <c r="D16" s="8">
        <v>1.2092999999999999E-10</v>
      </c>
      <c r="E16" s="8">
        <v>1.2092999999999999E-10</v>
      </c>
      <c r="F16" s="1">
        <v>2.9269999999999999E-12</v>
      </c>
      <c r="G16" s="1">
        <v>1.7598E-16</v>
      </c>
      <c r="H16" s="1">
        <v>2.6666E-12</v>
      </c>
      <c r="I16" s="1">
        <v>7.5704999999999999E-13</v>
      </c>
      <c r="J16" s="8"/>
      <c r="K16" s="1"/>
      <c r="L16" s="1"/>
      <c r="M16" s="1"/>
      <c r="N16" s="7"/>
      <c r="O16">
        <f t="shared" si="4"/>
        <v>0.82633333333333325</v>
      </c>
      <c r="P16" s="6">
        <f t="shared" si="5"/>
        <v>99.940133599935763</v>
      </c>
      <c r="Q16" s="6">
        <f t="shared" si="0"/>
        <v>4.3920608387035607</v>
      </c>
      <c r="R16" s="6">
        <f t="shared" si="1"/>
        <v>0.59456925286164997</v>
      </c>
      <c r="S16" s="5">
        <f t="shared" si="2"/>
        <v>0</v>
      </c>
      <c r="T16" s="6">
        <f t="shared" si="3"/>
        <v>94.953503508370545</v>
      </c>
      <c r="U16" s="1">
        <f t="shared" si="3"/>
        <v>94.953503508370545</v>
      </c>
      <c r="V16" s="1">
        <f t="shared" si="3"/>
        <v>94.953503508370545</v>
      </c>
      <c r="X16" s="1"/>
      <c r="AD16" s="1"/>
      <c r="AE16" s="1"/>
      <c r="AF16" s="1" t="s">
        <v>63</v>
      </c>
      <c r="AG16" s="1" t="s">
        <v>64</v>
      </c>
      <c r="AH16" s="1" t="s">
        <v>65</v>
      </c>
      <c r="AI16" s="1" t="s">
        <v>66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>
      <c r="B17" s="7">
        <v>57.771999999999998</v>
      </c>
      <c r="C17" s="8">
        <v>1.2026000000000001E-10</v>
      </c>
      <c r="D17" s="8">
        <v>1.2026000000000001E-10</v>
      </c>
      <c r="E17" s="8">
        <v>1.2026000000000001E-10</v>
      </c>
      <c r="F17" s="1">
        <v>2.9097E-12</v>
      </c>
      <c r="G17" s="1">
        <v>1.8773999999999999E-16</v>
      </c>
      <c r="H17" s="1">
        <v>3.1205999999999998E-12</v>
      </c>
      <c r="I17" s="1">
        <v>9.8388999999999996E-13</v>
      </c>
      <c r="J17" s="8"/>
      <c r="K17" s="1"/>
      <c r="L17" s="1"/>
      <c r="M17" s="1"/>
      <c r="N17" s="7"/>
      <c r="O17">
        <f t="shared" si="4"/>
        <v>0.96286666666666665</v>
      </c>
      <c r="P17" s="6">
        <f t="shared" si="5"/>
        <v>99.935070480945782</v>
      </c>
      <c r="Q17" s="6">
        <f t="shared" si="0"/>
        <v>4.7349550335444217</v>
      </c>
      <c r="R17" s="6">
        <f t="shared" si="1"/>
        <v>0.77269188073761164</v>
      </c>
      <c r="S17" s="5">
        <f t="shared" si="2"/>
        <v>0</v>
      </c>
      <c r="T17" s="6">
        <f t="shared" si="3"/>
        <v>94.42742356666372</v>
      </c>
      <c r="U17" s="1">
        <f t="shared" si="3"/>
        <v>94.42742356666372</v>
      </c>
      <c r="V17" s="1">
        <f t="shared" si="3"/>
        <v>94.42742356666372</v>
      </c>
      <c r="X17" s="5"/>
      <c r="Y17" s="5"/>
      <c r="Z17" s="5"/>
      <c r="AA17" s="5"/>
      <c r="AB17" s="5"/>
      <c r="AC17" s="1"/>
      <c r="AD17" s="5"/>
      <c r="AE17" s="5"/>
      <c r="AF17" s="1" t="s">
        <v>67</v>
      </c>
      <c r="AG17" s="1">
        <v>0.7</v>
      </c>
      <c r="AH17" s="1">
        <v>0.7</v>
      </c>
      <c r="AI17" s="1" t="s">
        <v>68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>
      <c r="B18" s="7">
        <v>65.963999999999999</v>
      </c>
      <c r="C18" s="8">
        <v>1.1959E-10</v>
      </c>
      <c r="D18" s="8">
        <v>1.1959E-10</v>
      </c>
      <c r="E18" s="8">
        <v>1.1959E-10</v>
      </c>
      <c r="F18" s="1">
        <v>2.8925E-12</v>
      </c>
      <c r="G18" s="1">
        <v>1.9453E-16</v>
      </c>
      <c r="H18" s="1">
        <v>3.5722000000000001E-12</v>
      </c>
      <c r="I18" s="1">
        <v>1.2203E-12</v>
      </c>
      <c r="J18" s="8"/>
      <c r="K18" s="1"/>
      <c r="L18" s="1"/>
      <c r="M18" s="1"/>
      <c r="N18" s="7"/>
      <c r="O18">
        <f t="shared" si="4"/>
        <v>1.0993999999999999</v>
      </c>
      <c r="P18" s="6">
        <f t="shared" si="5"/>
        <v>99.935711819506338</v>
      </c>
      <c r="Q18" s="6">
        <f t="shared" si="0"/>
        <v>5.0760432823167383</v>
      </c>
      <c r="R18" s="6">
        <f t="shared" si="1"/>
        <v>0.95832491223271388</v>
      </c>
      <c r="S18" s="5">
        <f t="shared" si="2"/>
        <v>0</v>
      </c>
      <c r="T18" s="6">
        <f t="shared" ref="T18:V81" si="6">C18/$A$1*100</f>
        <v>93.90134362495688</v>
      </c>
      <c r="U18" s="1">
        <f t="shared" si="6"/>
        <v>93.90134362495688</v>
      </c>
      <c r="V18" s="1">
        <f t="shared" si="6"/>
        <v>93.90134362495688</v>
      </c>
      <c r="X18" s="5"/>
      <c r="Y18" s="5"/>
      <c r="Z18" s="5"/>
      <c r="AA18" s="5"/>
      <c r="AB18" s="5"/>
      <c r="AC18" s="1"/>
      <c r="AD18" s="5"/>
      <c r="AE18" s="5"/>
      <c r="AF18" t="s">
        <v>69</v>
      </c>
      <c r="AG18" s="1" t="s">
        <v>70</v>
      </c>
      <c r="AH18" s="1" t="s">
        <v>71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>
      <c r="B19" s="7">
        <v>74.156000000000006</v>
      </c>
      <c r="C19" s="8">
        <v>1.1891000000000001E-10</v>
      </c>
      <c r="D19" s="8">
        <v>1.1891000000000001E-10</v>
      </c>
      <c r="E19" s="8">
        <v>1.1891000000000001E-10</v>
      </c>
      <c r="F19" s="1">
        <v>2.8756E-12</v>
      </c>
      <c r="G19" s="1">
        <v>1.9814E-16</v>
      </c>
      <c r="H19" s="1">
        <v>4.0215000000000002E-12</v>
      </c>
      <c r="I19" s="1">
        <v>1.4625000000000001E-12</v>
      </c>
      <c r="J19" s="8"/>
      <c r="K19" s="1"/>
      <c r="L19" s="1"/>
      <c r="M19" s="1"/>
      <c r="N19" s="7"/>
      <c r="O19">
        <f t="shared" si="4"/>
        <v>1.2359333333333333</v>
      </c>
      <c r="P19" s="6">
        <f t="shared" si="5"/>
        <v>99.931474606765107</v>
      </c>
      <c r="Q19" s="6">
        <f t="shared" si="0"/>
        <v>5.4155611432033623</v>
      </c>
      <c r="R19" s="6">
        <f t="shared" si="1"/>
        <v>1.1485017197401564</v>
      </c>
      <c r="S19" s="5">
        <f t="shared" si="2"/>
        <v>0</v>
      </c>
      <c r="T19" s="6">
        <f t="shared" si="6"/>
        <v>93.367411743821577</v>
      </c>
      <c r="U19" s="1">
        <f t="shared" si="6"/>
        <v>93.367411743821577</v>
      </c>
      <c r="V19" s="1">
        <f t="shared" si="6"/>
        <v>93.367411743821577</v>
      </c>
      <c r="X19" s="5"/>
      <c r="Y19" s="5"/>
      <c r="Z19" s="5"/>
      <c r="AA19" s="5"/>
      <c r="AB19" s="5"/>
      <c r="AC19" s="1"/>
      <c r="AD19" s="5"/>
      <c r="AE19" s="5"/>
      <c r="AF19" t="s">
        <v>72</v>
      </c>
      <c r="AG19" s="1" t="s">
        <v>73</v>
      </c>
      <c r="AH19" s="1" t="s">
        <v>74</v>
      </c>
      <c r="AI19" s="1" t="s">
        <v>75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>
      <c r="B20" s="7">
        <v>82.347999999999999</v>
      </c>
      <c r="C20" s="8">
        <v>1.1822999999999999E-10</v>
      </c>
      <c r="D20" s="8">
        <v>1.1822999999999999E-10</v>
      </c>
      <c r="E20" s="8">
        <v>1.1822999999999999E-10</v>
      </c>
      <c r="F20" s="1">
        <v>2.8587999999999999E-12</v>
      </c>
      <c r="G20" s="1">
        <v>1.9983000000000001E-16</v>
      </c>
      <c r="H20" s="1">
        <v>4.4685000000000002E-12</v>
      </c>
      <c r="I20" s="1">
        <v>1.7081E-12</v>
      </c>
      <c r="J20" s="8"/>
      <c r="K20" s="1"/>
      <c r="L20" s="1"/>
      <c r="M20" s="1"/>
      <c r="N20" s="7"/>
      <c r="O20">
        <f t="shared" si="4"/>
        <v>1.3724666666666667</v>
      </c>
      <c r="P20" s="6">
        <f t="shared" si="5"/>
        <v>99.928178119182903</v>
      </c>
      <c r="Q20" s="6">
        <f t="shared" si="0"/>
        <v>5.7533515774157262</v>
      </c>
      <c r="R20" s="6">
        <f t="shared" si="1"/>
        <v>1.341346679080905</v>
      </c>
      <c r="S20" s="5">
        <f t="shared" si="2"/>
        <v>0</v>
      </c>
      <c r="T20" s="6">
        <f t="shared" si="6"/>
        <v>92.833479862686275</v>
      </c>
      <c r="U20" s="1">
        <f t="shared" si="6"/>
        <v>92.833479862686275</v>
      </c>
      <c r="V20" s="1">
        <f t="shared" si="6"/>
        <v>92.833479862686275</v>
      </c>
      <c r="X20" s="5"/>
      <c r="Y20" s="5"/>
      <c r="Z20" s="5"/>
      <c r="AA20" s="5"/>
      <c r="AB20" s="5"/>
      <c r="AC20" s="1"/>
      <c r="AD20" s="5"/>
      <c r="AE20" s="5"/>
      <c r="AF20" t="s">
        <v>76</v>
      </c>
      <c r="AG20" s="1" t="s">
        <v>77</v>
      </c>
      <c r="AH20" s="1" t="s">
        <v>78</v>
      </c>
      <c r="AI20" s="1" t="s">
        <v>79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>
      <c r="B21" s="7">
        <v>98.731999999999999</v>
      </c>
      <c r="C21" s="8">
        <v>1.1687000000000001E-10</v>
      </c>
      <c r="D21" s="8">
        <v>1.1687000000000001E-10</v>
      </c>
      <c r="E21" s="8">
        <v>1.1687000000000001E-10</v>
      </c>
      <c r="F21" s="1">
        <v>2.8256E-12</v>
      </c>
      <c r="G21" s="1">
        <v>1.9654000000000001E-16</v>
      </c>
      <c r="H21" s="1">
        <v>5.3549999999999997E-12</v>
      </c>
      <c r="I21" s="1">
        <v>2.2031000000000002E-12</v>
      </c>
      <c r="J21" s="8"/>
      <c r="K21" s="1"/>
      <c r="L21" s="1"/>
      <c r="M21" s="1"/>
      <c r="N21" s="7"/>
      <c r="O21">
        <f t="shared" si="4"/>
        <v>1.6455333333333333</v>
      </c>
      <c r="P21" s="6">
        <f t="shared" si="5"/>
        <v>99.918988766763533</v>
      </c>
      <c r="Q21" s="6">
        <f t="shared" si="0"/>
        <v>6.4233575688462441</v>
      </c>
      <c r="R21" s="6">
        <f t="shared" si="1"/>
        <v>1.7300150975016186</v>
      </c>
      <c r="S21" s="5">
        <f t="shared" si="2"/>
        <v>0</v>
      </c>
      <c r="T21" s="6">
        <f t="shared" si="6"/>
        <v>91.765616100415684</v>
      </c>
      <c r="U21" s="1">
        <f t="shared" si="6"/>
        <v>91.765616100415684</v>
      </c>
      <c r="V21" s="1">
        <f t="shared" si="6"/>
        <v>91.765616100415684</v>
      </c>
      <c r="X21" s="5"/>
      <c r="Y21" s="5"/>
      <c r="Z21" s="5"/>
      <c r="AA21" s="5"/>
      <c r="AB21" s="5"/>
      <c r="AC21" s="1"/>
      <c r="AD21" s="5"/>
      <c r="AE21" s="5"/>
      <c r="AF21" t="s">
        <v>80</v>
      </c>
      <c r="AG21" s="1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49"/>
      <c r="AW21" s="49"/>
      <c r="AX21" s="49"/>
      <c r="AY21" s="49"/>
      <c r="AZ21" s="49"/>
      <c r="BA21" s="49"/>
      <c r="BB21" s="49"/>
      <c r="BC21" s="49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>
      <c r="B22" s="7">
        <v>115.12</v>
      </c>
      <c r="C22" s="8">
        <v>1.1552000000000001E-10</v>
      </c>
      <c r="D22" s="8">
        <v>1.1552000000000001E-10</v>
      </c>
      <c r="E22" s="8">
        <v>1.1552000000000001E-10</v>
      </c>
      <c r="F22" s="1">
        <v>2.7928999999999999E-12</v>
      </c>
      <c r="G22" s="1">
        <v>1.9488E-16</v>
      </c>
      <c r="H22" s="1">
        <v>6.2316000000000002E-12</v>
      </c>
      <c r="I22" s="1">
        <v>2.6984999999999999E-12</v>
      </c>
      <c r="J22" s="8"/>
      <c r="K22" s="1"/>
      <c r="L22" s="1"/>
      <c r="M22" s="1"/>
      <c r="N22" s="7"/>
      <c r="O22">
        <f t="shared" si="4"/>
        <v>1.9186666666666667</v>
      </c>
      <c r="P22" s="6">
        <f t="shared" si="5"/>
        <v>99.91058588815315</v>
      </c>
      <c r="Q22" s="6">
        <f t="shared" si="0"/>
        <v>7.0859827372140094</v>
      </c>
      <c r="R22" s="6">
        <f t="shared" si="1"/>
        <v>2.1189988733655971</v>
      </c>
      <c r="S22" s="5">
        <f t="shared" si="2"/>
        <v>0</v>
      </c>
      <c r="T22" s="6">
        <f t="shared" si="6"/>
        <v>90.705604277573542</v>
      </c>
      <c r="U22" s="1">
        <f t="shared" si="6"/>
        <v>90.705604277573542</v>
      </c>
      <c r="V22" s="1">
        <f t="shared" si="6"/>
        <v>90.705604277573542</v>
      </c>
      <c r="X22" s="5"/>
      <c r="Y22" s="5"/>
      <c r="Z22" s="5"/>
      <c r="AA22" s="5"/>
      <c r="AB22" s="5"/>
      <c r="AC22" s="1"/>
      <c r="AD22" s="5"/>
      <c r="AE22" s="5"/>
      <c r="AF22" s="1" t="s">
        <v>144</v>
      </c>
      <c r="AG22" s="1" t="s">
        <v>145</v>
      </c>
      <c r="AH22" s="1" t="s">
        <v>146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>
      <c r="B23" s="7">
        <v>131.5</v>
      </c>
      <c r="C23" s="8">
        <v>1.1419E-10</v>
      </c>
      <c r="D23" s="8">
        <v>1.1419E-10</v>
      </c>
      <c r="E23" s="8">
        <v>1.1419E-10</v>
      </c>
      <c r="F23" s="1">
        <v>2.7604999999999998E-12</v>
      </c>
      <c r="G23" s="1">
        <v>1.9682000000000001E-16</v>
      </c>
      <c r="H23" s="1">
        <v>7.0983999999999997E-12</v>
      </c>
      <c r="I23" s="1">
        <v>3.1908000000000001E-12</v>
      </c>
      <c r="J23" s="8"/>
      <c r="K23" s="1"/>
      <c r="L23" s="1"/>
      <c r="M23" s="1"/>
      <c r="N23" s="7"/>
      <c r="O23">
        <f t="shared" si="4"/>
        <v>2.1916666666666669</v>
      </c>
      <c r="P23" s="6">
        <f t="shared" si="5"/>
        <v>99.907996271418</v>
      </c>
      <c r="Q23" s="6">
        <f t="shared" si="0"/>
        <v>7.7411485631247379</v>
      </c>
      <c r="R23" s="6">
        <f t="shared" si="1"/>
        <v>2.5055513747049476</v>
      </c>
      <c r="S23" s="5">
        <f t="shared" si="2"/>
        <v>0</v>
      </c>
      <c r="T23" s="6">
        <f t="shared" si="6"/>
        <v>89.661296333588311</v>
      </c>
      <c r="U23" s="1">
        <f t="shared" si="6"/>
        <v>89.661296333588311</v>
      </c>
      <c r="V23" s="1">
        <f t="shared" si="6"/>
        <v>89.661296333588311</v>
      </c>
      <c r="X23" s="5"/>
      <c r="Y23" s="5"/>
      <c r="Z23" s="5"/>
      <c r="AA23" s="5"/>
      <c r="AB23" s="5"/>
      <c r="AC23" s="1"/>
      <c r="AD23" s="5"/>
      <c r="AE23" s="5"/>
      <c r="AF23" s="1" t="s">
        <v>147</v>
      </c>
      <c r="AG23" s="1" t="s">
        <v>148</v>
      </c>
      <c r="AH23" s="1" t="s">
        <v>149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>
      <c r="B24" s="7">
        <v>147.88</v>
      </c>
      <c r="C24" s="8">
        <v>1.1286999999999999E-10</v>
      </c>
      <c r="D24" s="8">
        <v>1.1286999999999999E-10</v>
      </c>
      <c r="E24" s="8">
        <v>1.1286999999999999E-10</v>
      </c>
      <c r="F24" s="1">
        <v>2.7285999999999999E-12</v>
      </c>
      <c r="G24" s="1">
        <v>1.9588999999999999E-16</v>
      </c>
      <c r="H24" s="1">
        <v>7.9552000000000007E-12</v>
      </c>
      <c r="I24" s="1">
        <v>3.6786999999999997E-12</v>
      </c>
      <c r="J24" s="8"/>
      <c r="K24" s="1"/>
      <c r="L24" s="1"/>
      <c r="M24" s="1"/>
      <c r="N24" s="7"/>
      <c r="O24">
        <f t="shared" si="4"/>
        <v>2.4646666666666666</v>
      </c>
      <c r="P24" s="6">
        <f t="shared" si="5"/>
        <v>99.902342144799121</v>
      </c>
      <c r="Q24" s="6">
        <f t="shared" si="0"/>
        <v>8.3888550465784295</v>
      </c>
      <c r="R24" s="6">
        <f t="shared" si="1"/>
        <v>2.8886467691891595</v>
      </c>
      <c r="S24" s="5">
        <f t="shared" si="2"/>
        <v>0</v>
      </c>
      <c r="T24" s="6">
        <f t="shared" si="6"/>
        <v>88.624840329031557</v>
      </c>
      <c r="U24" s="1">
        <f t="shared" si="6"/>
        <v>88.624840329031557</v>
      </c>
      <c r="V24" s="1">
        <f t="shared" si="6"/>
        <v>88.624840329031557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>
      <c r="B25" s="7">
        <v>180.65</v>
      </c>
      <c r="C25" s="8">
        <v>1.1027E-10</v>
      </c>
      <c r="D25" s="8">
        <v>1.1027E-10</v>
      </c>
      <c r="E25" s="8">
        <v>1.1027E-10</v>
      </c>
      <c r="F25" s="1">
        <v>2.6657999999999998E-12</v>
      </c>
      <c r="G25" s="1">
        <v>1.8613E-16</v>
      </c>
      <c r="H25" s="1">
        <v>9.6393999999999995E-12</v>
      </c>
      <c r="I25" s="1">
        <v>4.6378999999999999E-12</v>
      </c>
      <c r="J25" s="8"/>
      <c r="K25" s="1"/>
      <c r="L25" s="1"/>
      <c r="M25" s="1"/>
      <c r="N25" s="7"/>
      <c r="O25">
        <f t="shared" si="4"/>
        <v>3.0108333333333333</v>
      </c>
      <c r="P25" s="6">
        <f t="shared" si="5"/>
        <v>99.887101718815046</v>
      </c>
      <c r="Q25" s="6">
        <f t="shared" si="0"/>
        <v>9.6619685055089839</v>
      </c>
      <c r="R25" s="6">
        <f t="shared" si="1"/>
        <v>3.6417971356741901</v>
      </c>
      <c r="S25" s="5">
        <f t="shared" si="2"/>
        <v>0</v>
      </c>
      <c r="T25" s="6">
        <f t="shared" si="6"/>
        <v>86.58333607763187</v>
      </c>
      <c r="U25" s="1">
        <f t="shared" si="6"/>
        <v>86.58333607763187</v>
      </c>
      <c r="V25" s="1">
        <f t="shared" si="6"/>
        <v>86.58333607763187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>
      <c r="B26" s="7">
        <v>246.19</v>
      </c>
      <c r="C26" s="8">
        <v>1.0536E-10</v>
      </c>
      <c r="D26" s="8">
        <v>1.0536E-10</v>
      </c>
      <c r="E26" s="8">
        <v>1.0536E-10</v>
      </c>
      <c r="F26" s="1">
        <v>2.547E-12</v>
      </c>
      <c r="G26" s="1">
        <v>1.7838E-16</v>
      </c>
      <c r="H26" s="1">
        <v>1.2894999999999999E-11</v>
      </c>
      <c r="I26" s="1">
        <v>6.4905999999999998E-12</v>
      </c>
      <c r="J26" s="8"/>
      <c r="K26" s="1"/>
      <c r="L26" s="1"/>
      <c r="M26" s="1"/>
      <c r="N26" s="7"/>
      <c r="O26">
        <f t="shared" si="4"/>
        <v>4.1031666666666666</v>
      </c>
      <c r="P26" s="6">
        <f t="shared" si="5"/>
        <v>99.949518552018247</v>
      </c>
      <c r="Q26" s="6">
        <f t="shared" si="0"/>
        <v>12.124964865428414</v>
      </c>
      <c r="R26" s="6">
        <f t="shared" si="1"/>
        <v>5.0965198683319759</v>
      </c>
      <c r="S26" s="5">
        <f t="shared" si="2"/>
        <v>0</v>
      </c>
      <c r="T26" s="6">
        <f t="shared" si="6"/>
        <v>82.728033818257856</v>
      </c>
      <c r="U26" s="1">
        <f t="shared" si="6"/>
        <v>82.728033818257856</v>
      </c>
      <c r="V26" s="1">
        <f t="shared" si="6"/>
        <v>82.728033818257856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>
      <c r="B27" s="7">
        <v>311.72000000000003</v>
      </c>
      <c r="C27" s="8">
        <v>1.0066E-10</v>
      </c>
      <c r="D27" s="8">
        <v>1.0066E-10</v>
      </c>
      <c r="E27" s="8">
        <v>1.0066E-10</v>
      </c>
      <c r="F27" s="1">
        <v>2.4336000000000001E-12</v>
      </c>
      <c r="G27" s="1">
        <v>1.76E-16</v>
      </c>
      <c r="H27" s="1">
        <v>1.6005000000000001E-11</v>
      </c>
      <c r="I27" s="1">
        <v>8.2615000000000007E-12</v>
      </c>
      <c r="J27" s="8"/>
      <c r="K27" s="1"/>
      <c r="L27" s="1"/>
      <c r="M27" s="1"/>
      <c r="N27" s="7"/>
      <c r="O27">
        <f t="shared" si="4"/>
        <v>5.195333333333334</v>
      </c>
      <c r="P27" s="6">
        <f t="shared" si="5"/>
        <v>100.00251727439877</v>
      </c>
      <c r="Q27" s="6">
        <f t="shared" si="0"/>
        <v>14.477877034560832</v>
      </c>
      <c r="R27" s="6">
        <f t="shared" si="1"/>
        <v>6.4870179529564282</v>
      </c>
      <c r="S27" s="5">
        <f t="shared" si="2"/>
        <v>0</v>
      </c>
      <c r="T27" s="6">
        <f t="shared" si="6"/>
        <v>79.037622286881515</v>
      </c>
      <c r="U27" s="1">
        <f t="shared" si="6"/>
        <v>79.037622286881515</v>
      </c>
      <c r="V27" s="1">
        <f t="shared" si="6"/>
        <v>79.037622286881515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>
      <c r="B28" s="7">
        <v>442.8</v>
      </c>
      <c r="C28" s="8">
        <v>9.2075999999999998E-11</v>
      </c>
      <c r="D28" s="8">
        <v>9.2075999999999998E-11</v>
      </c>
      <c r="E28" s="8">
        <v>9.2075999999999998E-11</v>
      </c>
      <c r="F28" s="1">
        <v>2.226E-12</v>
      </c>
      <c r="G28" s="1">
        <v>1.5996999999999999E-16</v>
      </c>
      <c r="H28" s="1">
        <v>2.1825E-11</v>
      </c>
      <c r="I28" s="1">
        <v>1.1577E-11</v>
      </c>
      <c r="J28" s="8"/>
      <c r="K28" s="1"/>
      <c r="L28" s="1"/>
      <c r="M28" s="1"/>
      <c r="N28" s="7"/>
      <c r="O28">
        <f t="shared" si="4"/>
        <v>7.38</v>
      </c>
      <c r="P28" s="6">
        <f t="shared" si="5"/>
        <v>100.27253288468461</v>
      </c>
      <c r="Q28" s="6">
        <f t="shared" si="0"/>
        <v>18.884699519389898</v>
      </c>
      <c r="R28" s="6">
        <f t="shared" si="1"/>
        <v>9.0903158838035409</v>
      </c>
      <c r="S28" s="5">
        <f t="shared" si="2"/>
        <v>0</v>
      </c>
      <c r="T28" s="6">
        <f t="shared" si="6"/>
        <v>72.297517481491184</v>
      </c>
      <c r="U28" s="1">
        <f t="shared" si="6"/>
        <v>72.297517481491184</v>
      </c>
      <c r="V28" s="1">
        <f t="shared" si="6"/>
        <v>72.297517481491184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>
      <c r="B29" s="7">
        <v>560.76</v>
      </c>
      <c r="C29" s="8">
        <v>8.4946000000000006E-11</v>
      </c>
      <c r="D29" s="8">
        <v>8.4946000000000006E-11</v>
      </c>
      <c r="E29" s="8">
        <v>8.4946000000000006E-11</v>
      </c>
      <c r="F29" s="1">
        <v>2.0536000000000001E-12</v>
      </c>
      <c r="G29" s="1">
        <v>1.4908E-16</v>
      </c>
      <c r="H29" s="1">
        <v>2.6635999999999999E-11</v>
      </c>
      <c r="I29" s="1">
        <v>1.4317E-11</v>
      </c>
      <c r="J29" s="8"/>
      <c r="K29" s="1"/>
      <c r="L29" s="1"/>
      <c r="M29" s="1"/>
      <c r="N29" s="7"/>
      <c r="O29">
        <f t="shared" si="4"/>
        <v>9.3460000000000001</v>
      </c>
      <c r="P29" s="6">
        <f t="shared" si="5"/>
        <v>100.46772354811411</v>
      </c>
      <c r="Q29" s="6">
        <f t="shared" si="0"/>
        <v>22.526900142675498</v>
      </c>
      <c r="R29" s="6">
        <f t="shared" si="1"/>
        <v>11.241738736439629</v>
      </c>
      <c r="S29" s="5">
        <f t="shared" si="2"/>
        <v>0</v>
      </c>
      <c r="T29" s="6">
        <f t="shared" si="6"/>
        <v>66.699084668998978</v>
      </c>
      <c r="U29" s="1">
        <f t="shared" si="6"/>
        <v>66.699084668998978</v>
      </c>
      <c r="V29" s="1">
        <f t="shared" si="6"/>
        <v>66.699084668998978</v>
      </c>
      <c r="X29" s="5"/>
      <c r="Y29" s="5"/>
      <c r="Z29" s="5"/>
      <c r="AA29" s="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>
      <c r="B30" s="7">
        <v>678.73</v>
      </c>
      <c r="C30" s="8">
        <v>7.8368000000000005E-11</v>
      </c>
      <c r="D30" s="8">
        <v>7.8368000000000005E-11</v>
      </c>
      <c r="E30" s="8">
        <v>7.8368000000000005E-11</v>
      </c>
      <c r="F30" s="1">
        <v>1.8946E-12</v>
      </c>
      <c r="G30" s="1">
        <v>1.3697000000000001E-16</v>
      </c>
      <c r="H30" s="1">
        <v>3.1073999999999998E-11</v>
      </c>
      <c r="I30" s="1">
        <v>1.6846E-11</v>
      </c>
      <c r="J30" s="8"/>
      <c r="K30" s="1"/>
      <c r="L30" s="1"/>
      <c r="M30" s="1"/>
      <c r="N30" s="7"/>
      <c r="O30">
        <f t="shared" si="4"/>
        <v>11.312166666666666</v>
      </c>
      <c r="P30" s="6">
        <f t="shared" si="5"/>
        <v>100.64830864627005</v>
      </c>
      <c r="Q30" s="6">
        <f t="shared" si="0"/>
        <v>25.886745024113665</v>
      </c>
      <c r="R30" s="6">
        <f t="shared" si="1"/>
        <v>13.227484709198595</v>
      </c>
      <c r="S30" s="5">
        <f t="shared" si="2"/>
        <v>0</v>
      </c>
      <c r="T30" s="6">
        <f t="shared" si="6"/>
        <v>61.534078912957781</v>
      </c>
      <c r="U30" s="1">
        <f t="shared" si="6"/>
        <v>61.534078912957781</v>
      </c>
      <c r="V30" s="1">
        <f t="shared" si="6"/>
        <v>61.534078912957781</v>
      </c>
      <c r="X30" s="5"/>
      <c r="Y30" s="5"/>
      <c r="Z30" s="5"/>
      <c r="AA30" s="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>
      <c r="B31" s="7">
        <v>796.69</v>
      </c>
      <c r="C31" s="8">
        <v>7.2299999999999998E-11</v>
      </c>
      <c r="D31" s="8">
        <v>7.2299999999999998E-11</v>
      </c>
      <c r="E31" s="8">
        <v>7.2299999999999998E-11</v>
      </c>
      <c r="F31" s="1">
        <v>1.7479000000000001E-12</v>
      </c>
      <c r="G31" s="1">
        <v>1.2663E-16</v>
      </c>
      <c r="H31" s="1">
        <v>3.5168000000000002E-11</v>
      </c>
      <c r="I31" s="1">
        <v>1.9178000000000001E-11</v>
      </c>
      <c r="J31" s="8"/>
      <c r="K31" s="1"/>
      <c r="L31" s="1"/>
      <c r="M31" s="1"/>
      <c r="N31" s="7"/>
      <c r="O31">
        <f t="shared" si="4"/>
        <v>13.278166666666667</v>
      </c>
      <c r="P31" s="6">
        <f t="shared" si="5"/>
        <v>100.81421200748804</v>
      </c>
      <c r="Q31" s="6">
        <f t="shared" si="0"/>
        <v>28.98614107470981</v>
      </c>
      <c r="R31" s="6">
        <f t="shared" si="1"/>
        <v>15.058548865010172</v>
      </c>
      <c r="S31" s="5">
        <f t="shared" si="2"/>
        <v>0</v>
      </c>
      <c r="T31" s="6">
        <f t="shared" si="6"/>
        <v>56.769522067768065</v>
      </c>
      <c r="U31" s="1">
        <f t="shared" si="6"/>
        <v>56.769522067768065</v>
      </c>
      <c r="V31" s="1">
        <f t="shared" si="6"/>
        <v>56.769522067768065</v>
      </c>
      <c r="X31" s="5"/>
      <c r="Y31" s="5"/>
      <c r="Z31" s="5"/>
      <c r="AA31" s="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>
      <c r="B32" s="7">
        <v>1032.5999999999999</v>
      </c>
      <c r="C32" s="8">
        <v>6.1243E-11</v>
      </c>
      <c r="D32" s="8">
        <v>6.1243E-11</v>
      </c>
      <c r="E32" s="8">
        <v>6.1243E-11</v>
      </c>
      <c r="F32" s="1">
        <v>1.4806E-12</v>
      </c>
      <c r="G32" s="1">
        <v>1.0592E-16</v>
      </c>
      <c r="H32" s="1">
        <v>4.2427000000000002E-11</v>
      </c>
      <c r="I32" s="1">
        <v>2.3313000000000001E-11</v>
      </c>
      <c r="J32" s="8"/>
      <c r="K32" s="1"/>
      <c r="L32" s="1"/>
      <c r="M32" s="1"/>
      <c r="N32" s="7"/>
      <c r="O32">
        <f t="shared" si="4"/>
        <v>17.209999999999997</v>
      </c>
      <c r="P32" s="6">
        <f t="shared" si="5"/>
        <v>100.86892376393786</v>
      </c>
      <c r="Q32" s="6">
        <f t="shared" si="0"/>
        <v>34.475981564906405</v>
      </c>
      <c r="R32" s="6">
        <f t="shared" si="1"/>
        <v>18.305309557311954</v>
      </c>
      <c r="S32" s="5">
        <f t="shared" si="2"/>
        <v>0</v>
      </c>
      <c r="T32" s="6">
        <f t="shared" si="6"/>
        <v>48.087632641719495</v>
      </c>
      <c r="U32" s="1">
        <f t="shared" si="6"/>
        <v>48.087632641719495</v>
      </c>
      <c r="V32" s="1">
        <f t="shared" si="6"/>
        <v>48.087632641719495</v>
      </c>
      <c r="X32" s="5"/>
      <c r="Y32" s="5"/>
      <c r="Z32" s="5"/>
      <c r="AA32" s="5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>
      <c r="B33" s="7">
        <v>1268.5</v>
      </c>
      <c r="C33" s="8">
        <v>5.1766999999999999E-11</v>
      </c>
      <c r="D33" s="8">
        <v>5.1766999999999999E-11</v>
      </c>
      <c r="E33" s="8">
        <v>5.1766999999999999E-11</v>
      </c>
      <c r="F33" s="1">
        <v>1.2515000000000001E-12</v>
      </c>
      <c r="G33" s="1">
        <v>8.7968000000000005E-17</v>
      </c>
      <c r="H33" s="1">
        <v>4.8568999999999998E-11</v>
      </c>
      <c r="I33" s="1">
        <v>2.6809999999999999E-11</v>
      </c>
      <c r="J33" s="8"/>
      <c r="K33" s="1"/>
      <c r="L33" s="1"/>
      <c r="M33" s="1"/>
      <c r="N33" s="7"/>
      <c r="O33">
        <f t="shared" si="4"/>
        <v>21.141666666666666</v>
      </c>
      <c r="P33" s="6">
        <f t="shared" si="5"/>
        <v>100.81700834851407</v>
      </c>
      <c r="Q33" s="6">
        <f t="shared" si="0"/>
        <v>39.1187548295607</v>
      </c>
      <c r="R33" s="6">
        <f t="shared" si="1"/>
        <v>21.051118679642862</v>
      </c>
      <c r="S33" s="5">
        <f t="shared" si="2"/>
        <v>0</v>
      </c>
      <c r="T33" s="6">
        <f t="shared" si="6"/>
        <v>40.647134839310503</v>
      </c>
      <c r="U33" s="1">
        <f t="shared" si="6"/>
        <v>40.647134839310503</v>
      </c>
      <c r="V33" s="1">
        <f t="shared" si="6"/>
        <v>40.647134839310503</v>
      </c>
      <c r="X33" s="5"/>
      <c r="Y33" s="5"/>
      <c r="Z33" s="5"/>
      <c r="AA33" s="5"/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>
      <c r="B34" s="7">
        <v>1504.5</v>
      </c>
      <c r="C34" s="8">
        <v>4.3722000000000003E-11</v>
      </c>
      <c r="D34" s="8">
        <v>4.3722000000000003E-11</v>
      </c>
      <c r="E34" s="8">
        <v>4.3722000000000003E-11</v>
      </c>
      <c r="F34" s="1">
        <v>1.057E-12</v>
      </c>
      <c r="G34" s="1">
        <v>7.4907000000000004E-17</v>
      </c>
      <c r="H34" s="1">
        <v>5.3759000000000001E-11</v>
      </c>
      <c r="I34" s="1">
        <v>2.9763999999999998E-11</v>
      </c>
      <c r="J34" s="8"/>
      <c r="K34" s="1"/>
      <c r="L34" s="1"/>
      <c r="M34" s="1"/>
      <c r="N34" s="7"/>
      <c r="O34">
        <f t="shared" si="4"/>
        <v>25.074999999999999</v>
      </c>
      <c r="P34" s="6">
        <f t="shared" si="5"/>
        <v>100.7420120715542</v>
      </c>
      <c r="Q34" s="6">
        <f t="shared" si="0"/>
        <v>43.041191171048055</v>
      </c>
      <c r="R34" s="6">
        <f t="shared" si="1"/>
        <v>23.370571331391947</v>
      </c>
      <c r="S34" s="5">
        <f t="shared" si="2"/>
        <v>0</v>
      </c>
      <c r="T34" s="6">
        <f t="shared" si="6"/>
        <v>34.33024956911418</v>
      </c>
      <c r="U34" s="1">
        <f t="shared" si="6"/>
        <v>34.33024956911418</v>
      </c>
      <c r="V34" s="1">
        <f t="shared" si="6"/>
        <v>34.33024956911418</v>
      </c>
      <c r="X34" s="5"/>
      <c r="Y34" s="5"/>
      <c r="Z34" s="5"/>
      <c r="AA34" s="5"/>
      <c r="AB34" s="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>
      <c r="B35" s="7">
        <v>1740.4</v>
      </c>
      <c r="C35" s="8">
        <v>3.6915000000000003E-11</v>
      </c>
      <c r="D35" s="8">
        <v>3.6915000000000003E-11</v>
      </c>
      <c r="E35" s="8">
        <v>3.6915000000000003E-11</v>
      </c>
      <c r="F35" s="1">
        <v>8.9243999999999998E-13</v>
      </c>
      <c r="G35" s="1">
        <v>6.4097999999999999E-17</v>
      </c>
      <c r="H35" s="1">
        <v>5.8141000000000001E-11</v>
      </c>
      <c r="I35" s="1">
        <v>3.226E-11</v>
      </c>
      <c r="J35" s="8"/>
      <c r="K35" s="1"/>
      <c r="L35" s="1"/>
      <c r="M35" s="1"/>
      <c r="N35" s="7"/>
      <c r="O35">
        <f t="shared" si="4"/>
        <v>29.006666666666668</v>
      </c>
      <c r="P35" s="6">
        <f t="shared" si="5"/>
        <v>100.66854083910017</v>
      </c>
      <c r="Q35" s="6">
        <f t="shared" si="0"/>
        <v>46.352699513364612</v>
      </c>
      <c r="R35" s="6">
        <f t="shared" si="1"/>
        <v>25.330406925574316</v>
      </c>
      <c r="S35" s="5">
        <f t="shared" si="2"/>
        <v>0</v>
      </c>
      <c r="T35" s="6">
        <f t="shared" si="6"/>
        <v>28.985434400161246</v>
      </c>
      <c r="U35" s="1">
        <f t="shared" si="6"/>
        <v>28.985434400161246</v>
      </c>
      <c r="V35" s="1">
        <f t="shared" si="6"/>
        <v>28.985434400161246</v>
      </c>
      <c r="X35" s="5"/>
      <c r="Y35" s="5"/>
      <c r="Z35" s="5"/>
      <c r="AA35" s="5"/>
      <c r="AB35" s="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>
      <c r="B36" s="7">
        <v>1976.3</v>
      </c>
      <c r="C36" s="8">
        <v>3.1164000000000001E-11</v>
      </c>
      <c r="D36" s="8">
        <v>3.1164000000000001E-11</v>
      </c>
      <c r="E36" s="8">
        <v>3.1164000000000001E-11</v>
      </c>
      <c r="F36" s="1">
        <v>7.534E-13</v>
      </c>
      <c r="G36" s="1">
        <v>5.3595999999999997E-17</v>
      </c>
      <c r="H36" s="1">
        <v>6.1841999999999994E-11</v>
      </c>
      <c r="I36" s="1">
        <v>3.4367E-11</v>
      </c>
      <c r="J36" s="8"/>
      <c r="K36" s="1"/>
      <c r="L36" s="1"/>
      <c r="M36" s="1"/>
      <c r="N36" s="7"/>
      <c r="O36">
        <f t="shared" si="4"/>
        <v>32.938333333333333</v>
      </c>
      <c r="P36" s="6">
        <f t="shared" si="5"/>
        <v>100.6041152819223</v>
      </c>
      <c r="Q36" s="6">
        <f t="shared" si="0"/>
        <v>49.149528930024459</v>
      </c>
      <c r="R36" s="6">
        <f t="shared" si="1"/>
        <v>26.984802317044114</v>
      </c>
      <c r="S36" s="5">
        <f t="shared" si="2"/>
        <v>0</v>
      </c>
      <c r="T36" s="6">
        <f t="shared" si="6"/>
        <v>24.469784034853721</v>
      </c>
      <c r="U36" s="1">
        <f t="shared" si="6"/>
        <v>24.469784034853721</v>
      </c>
      <c r="V36" s="1">
        <f t="shared" si="6"/>
        <v>24.469784034853721</v>
      </c>
      <c r="X36" s="5"/>
      <c r="Y36" s="5"/>
      <c r="Z36" s="5"/>
      <c r="AA36" s="5"/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>
      <c r="B37" s="7">
        <v>2212.3000000000002</v>
      </c>
      <c r="C37" s="8">
        <v>2.6307000000000001E-11</v>
      </c>
      <c r="D37" s="8">
        <v>2.6307000000000001E-11</v>
      </c>
      <c r="E37" s="8">
        <v>2.6307000000000001E-11</v>
      </c>
      <c r="F37" s="1">
        <v>6.3599E-13</v>
      </c>
      <c r="G37" s="1">
        <v>4.4669000000000002E-17</v>
      </c>
      <c r="H37" s="1">
        <v>6.4965000000000005E-11</v>
      </c>
      <c r="I37" s="1">
        <v>3.6145000000000002E-11</v>
      </c>
      <c r="J37" s="8"/>
      <c r="K37" s="1"/>
      <c r="L37" s="1"/>
      <c r="M37" s="1"/>
      <c r="N37" s="7"/>
      <c r="O37">
        <f t="shared" si="4"/>
        <v>36.87166666666667</v>
      </c>
      <c r="P37" s="6">
        <f t="shared" si="5"/>
        <v>100.54646718515166</v>
      </c>
      <c r="Q37" s="6">
        <f t="shared" si="0"/>
        <v>51.50949999270307</v>
      </c>
      <c r="R37" s="6">
        <f t="shared" si="1"/>
        <v>28.380870137998038</v>
      </c>
      <c r="S37" s="5">
        <f t="shared" si="2"/>
        <v>0</v>
      </c>
      <c r="T37" s="6">
        <f t="shared" si="6"/>
        <v>20.656097054450544</v>
      </c>
      <c r="U37" s="1">
        <f t="shared" si="6"/>
        <v>20.656097054450544</v>
      </c>
      <c r="V37" s="1">
        <f t="shared" si="6"/>
        <v>20.656097054450544</v>
      </c>
      <c r="X37" s="5"/>
      <c r="Y37" s="5"/>
      <c r="Z37" s="5"/>
      <c r="AA37" s="5"/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>
      <c r="B38" s="7">
        <v>2448.1999999999998</v>
      </c>
      <c r="C38" s="8">
        <v>2.2207E-11</v>
      </c>
      <c r="D38" s="8">
        <v>2.2207E-11</v>
      </c>
      <c r="E38" s="8">
        <v>2.2207E-11</v>
      </c>
      <c r="F38" s="1">
        <v>5.3687000000000001E-13</v>
      </c>
      <c r="G38" s="1">
        <v>3.7877000000000003E-17</v>
      </c>
      <c r="H38" s="1">
        <v>6.7601999999999996E-11</v>
      </c>
      <c r="I38" s="1">
        <v>3.7645999999999999E-11</v>
      </c>
      <c r="J38" s="8"/>
      <c r="K38" s="1"/>
      <c r="L38" s="1"/>
      <c r="M38" s="1"/>
      <c r="N38" s="7"/>
      <c r="O38">
        <f t="shared" si="4"/>
        <v>40.803333333333327</v>
      </c>
      <c r="P38" s="6">
        <f t="shared" si="5"/>
        <v>100.49847079832766</v>
      </c>
      <c r="Q38" s="6">
        <f t="shared" si="0"/>
        <v>53.502227996373151</v>
      </c>
      <c r="R38" s="6">
        <f t="shared" si="1"/>
        <v>29.559440913172669</v>
      </c>
      <c r="S38" s="5">
        <f t="shared" si="2"/>
        <v>0</v>
      </c>
      <c r="T38" s="6">
        <f t="shared" si="6"/>
        <v>17.436801888781815</v>
      </c>
      <c r="U38" s="1">
        <f t="shared" si="6"/>
        <v>17.436801888781815</v>
      </c>
      <c r="V38" s="1">
        <f t="shared" si="6"/>
        <v>17.436801888781815</v>
      </c>
      <c r="X38" s="5"/>
      <c r="Y38" s="5"/>
      <c r="Z38" s="5"/>
      <c r="AA38" s="5"/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>
      <c r="B39" s="7">
        <v>2684.1</v>
      </c>
      <c r="C39" s="8">
        <v>1.8746000000000001E-11</v>
      </c>
      <c r="D39" s="8">
        <v>1.8746000000000001E-11</v>
      </c>
      <c r="E39" s="8">
        <v>1.8746000000000001E-11</v>
      </c>
      <c r="F39" s="1">
        <v>4.5319000000000001E-13</v>
      </c>
      <c r="G39" s="1">
        <v>3.2270999999999997E-17</v>
      </c>
      <c r="H39" s="1">
        <v>6.9828000000000002E-11</v>
      </c>
      <c r="I39" s="1">
        <v>3.8912999999999998E-11</v>
      </c>
      <c r="J39" s="8"/>
      <c r="K39" s="1"/>
      <c r="L39" s="1"/>
      <c r="M39" s="1"/>
      <c r="N39" s="7"/>
      <c r="O39">
        <f t="shared" si="4"/>
        <v>44.734999999999999</v>
      </c>
      <c r="P39" s="6">
        <f t="shared" si="5"/>
        <v>100.45788757356411</v>
      </c>
      <c r="Q39" s="6">
        <f t="shared" si="0"/>
        <v>55.184364684011065</v>
      </c>
      <c r="R39" s="6">
        <f t="shared" si="1"/>
        <v>30.55427723696134</v>
      </c>
      <c r="S39" s="5">
        <f t="shared" si="2"/>
        <v>0</v>
      </c>
      <c r="T39" s="6">
        <f t="shared" si="6"/>
        <v>14.719245652591702</v>
      </c>
      <c r="U39" s="1">
        <f t="shared" si="6"/>
        <v>14.719245652591702</v>
      </c>
      <c r="V39" s="1">
        <f t="shared" si="6"/>
        <v>14.719245652591702</v>
      </c>
      <c r="X39" s="5"/>
      <c r="Y39" s="5"/>
      <c r="Z39" s="5"/>
      <c r="AA39" s="5"/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>
      <c r="B40" s="7">
        <v>2920.1</v>
      </c>
      <c r="C40" s="8">
        <v>1.5823999999999999E-11</v>
      </c>
      <c r="D40" s="8">
        <v>1.5823999999999999E-11</v>
      </c>
      <c r="E40" s="8">
        <v>1.5823999999999999E-11</v>
      </c>
      <c r="F40" s="1">
        <v>3.8255000000000002E-13</v>
      </c>
      <c r="G40" s="1">
        <v>2.7158E-17</v>
      </c>
      <c r="H40" s="1">
        <v>7.1707000000000004E-11</v>
      </c>
      <c r="I40" s="1">
        <v>3.9983E-11</v>
      </c>
      <c r="J40" s="8"/>
      <c r="K40" s="1"/>
      <c r="L40" s="1"/>
      <c r="M40" s="1"/>
      <c r="N40" s="7"/>
      <c r="O40">
        <f t="shared" si="4"/>
        <v>48.668333333333329</v>
      </c>
      <c r="P40" s="6">
        <f t="shared" si="5"/>
        <v>100.4236176952017</v>
      </c>
      <c r="Q40" s="6">
        <f t="shared" si="0"/>
        <v>56.604278002496123</v>
      </c>
      <c r="R40" s="6">
        <f t="shared" si="1"/>
        <v>31.394430741109968</v>
      </c>
      <c r="S40" s="5">
        <f t="shared" si="2"/>
        <v>0</v>
      </c>
      <c r="T40" s="6">
        <f t="shared" si="6"/>
        <v>12.424908951595597</v>
      </c>
      <c r="U40" s="1">
        <f t="shared" si="6"/>
        <v>12.424908951595597</v>
      </c>
      <c r="V40" s="1">
        <f t="shared" si="6"/>
        <v>12.424908951595597</v>
      </c>
      <c r="X40" s="5"/>
      <c r="Y40" s="5"/>
      <c r="Z40" s="5"/>
      <c r="AA40" s="5"/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>
      <c r="B41" s="7">
        <v>3156</v>
      </c>
      <c r="C41" s="8">
        <v>1.3357E-11</v>
      </c>
      <c r="D41" s="8">
        <v>1.3357E-11</v>
      </c>
      <c r="E41" s="8">
        <v>1.3357E-11</v>
      </c>
      <c r="F41" s="1">
        <v>3.2292E-13</v>
      </c>
      <c r="G41" s="1">
        <v>2.2837E-17</v>
      </c>
      <c r="H41" s="1">
        <v>7.3293E-11</v>
      </c>
      <c r="I41" s="1">
        <v>4.0885999999999998E-11</v>
      </c>
      <c r="J41" s="8"/>
      <c r="K41" s="1"/>
      <c r="L41" s="1"/>
      <c r="M41" s="1"/>
      <c r="N41" s="7"/>
      <c r="O41">
        <f t="shared" si="4"/>
        <v>52.6</v>
      </c>
      <c r="P41" s="6">
        <f t="shared" si="5"/>
        <v>100.39406745430936</v>
      </c>
      <c r="Q41" s="6">
        <f t="shared" si="0"/>
        <v>57.802774481038014</v>
      </c>
      <c r="R41" s="6">
        <f t="shared" si="1"/>
        <v>32.103457478676908</v>
      </c>
      <c r="S41" s="5">
        <f t="shared" si="2"/>
        <v>0</v>
      </c>
      <c r="T41" s="6">
        <f t="shared" si="6"/>
        <v>10.487835494594441</v>
      </c>
      <c r="U41" s="1">
        <f t="shared" si="6"/>
        <v>10.487835494594441</v>
      </c>
      <c r="V41" s="1">
        <f t="shared" si="6"/>
        <v>10.487835494594441</v>
      </c>
      <c r="X41" s="5"/>
      <c r="Y41" s="5"/>
      <c r="Z41" s="5"/>
      <c r="AA41" s="5"/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>
      <c r="B42" s="7">
        <v>3391.9</v>
      </c>
      <c r="C42" s="8">
        <v>1.1275E-11</v>
      </c>
      <c r="D42" s="8">
        <v>1.1275E-11</v>
      </c>
      <c r="E42" s="8">
        <v>1.1275E-11</v>
      </c>
      <c r="F42" s="1">
        <v>2.7259E-13</v>
      </c>
      <c r="G42" s="1">
        <v>1.9276000000000001E-17</v>
      </c>
      <c r="H42" s="1">
        <v>7.4631999999999996E-11</v>
      </c>
      <c r="I42" s="1">
        <v>4.1648000000000002E-11</v>
      </c>
      <c r="J42" s="8"/>
      <c r="K42" s="1"/>
      <c r="L42" s="1"/>
      <c r="M42" s="1"/>
      <c r="N42" s="7"/>
      <c r="O42">
        <f t="shared" si="4"/>
        <v>56.531666666666666</v>
      </c>
      <c r="P42" s="6">
        <f t="shared" si="5"/>
        <v>100.36946453200437</v>
      </c>
      <c r="Q42" s="6">
        <f t="shared" si="0"/>
        <v>58.814630359365403</v>
      </c>
      <c r="R42" s="6">
        <f t="shared" si="1"/>
        <v>32.701772467049956</v>
      </c>
      <c r="S42" s="5">
        <f t="shared" si="2"/>
        <v>0</v>
      </c>
      <c r="T42" s="6">
        <f t="shared" si="6"/>
        <v>8.8530617055890026</v>
      </c>
      <c r="U42" s="1">
        <f t="shared" si="6"/>
        <v>8.8530617055890026</v>
      </c>
      <c r="V42" s="1">
        <f t="shared" si="6"/>
        <v>8.8530617055890026</v>
      </c>
      <c r="X42" s="5"/>
      <c r="Y42" s="5"/>
      <c r="Z42" s="5"/>
      <c r="AA42" s="5"/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>
      <c r="B43" s="7">
        <v>3627.8</v>
      </c>
      <c r="C43" s="8">
        <v>9.5178999999999993E-12</v>
      </c>
      <c r="D43" s="8">
        <v>9.5178999999999993E-12</v>
      </c>
      <c r="E43" s="8">
        <v>9.5178999999999993E-12</v>
      </c>
      <c r="F43" s="1">
        <v>2.301E-13</v>
      </c>
      <c r="G43" s="1">
        <v>1.6282E-17</v>
      </c>
      <c r="H43" s="1">
        <v>7.5761999999999996E-11</v>
      </c>
      <c r="I43" s="1">
        <v>4.2290999999999999E-11</v>
      </c>
      <c r="J43" s="8"/>
      <c r="K43" s="1"/>
      <c r="L43" s="1"/>
      <c r="M43" s="1"/>
      <c r="N43" s="7"/>
      <c r="O43">
        <f t="shared" si="4"/>
        <v>60.463333333333338</v>
      </c>
      <c r="P43" s="6">
        <f t="shared" si="5"/>
        <v>100.34858387419338</v>
      </c>
      <c r="Q43" s="6">
        <f t="shared" si="0"/>
        <v>59.668536624149894</v>
      </c>
      <c r="R43" s="6">
        <f t="shared" si="1"/>
        <v>33.206649821429288</v>
      </c>
      <c r="S43" s="5">
        <f t="shared" si="2"/>
        <v>0</v>
      </c>
      <c r="T43" s="6">
        <f t="shared" si="6"/>
        <v>7.4733974286142413</v>
      </c>
      <c r="U43" s="1">
        <f t="shared" si="6"/>
        <v>7.4733974286142413</v>
      </c>
      <c r="V43" s="1">
        <f t="shared" si="6"/>
        <v>7.4733974286142413</v>
      </c>
      <c r="X43" s="5"/>
      <c r="Y43" s="5"/>
      <c r="Z43" s="5"/>
      <c r="AA43" s="5"/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>
      <c r="B44" s="7">
        <v>3863.8</v>
      </c>
      <c r="C44" s="8">
        <v>8.0344000000000006E-12</v>
      </c>
      <c r="D44" s="8">
        <v>8.0344000000000006E-12</v>
      </c>
      <c r="E44" s="8">
        <v>8.0344000000000006E-12</v>
      </c>
      <c r="F44" s="1">
        <v>1.9423E-13</v>
      </c>
      <c r="G44" s="1">
        <v>1.3771E-17</v>
      </c>
      <c r="H44" s="1">
        <v>7.6715999999999999E-11</v>
      </c>
      <c r="I44" s="1">
        <v>4.2833999999999998E-11</v>
      </c>
      <c r="J44" s="8"/>
      <c r="K44" s="1"/>
      <c r="L44" s="1"/>
      <c r="M44" s="1"/>
      <c r="N44" s="7"/>
      <c r="O44">
        <f t="shared" si="4"/>
        <v>64.396666666666675</v>
      </c>
      <c r="P44" s="6">
        <f t="shared" si="5"/>
        <v>100.33101711406998</v>
      </c>
      <c r="Q44" s="6">
        <f t="shared" si="0"/>
        <v>60.389446738895124</v>
      </c>
      <c r="R44" s="6">
        <f t="shared" si="1"/>
        <v>33.63300816077269</v>
      </c>
      <c r="S44" s="5">
        <f t="shared" si="2"/>
        <v>0</v>
      </c>
      <c r="T44" s="6">
        <f t="shared" si="6"/>
        <v>6.308562214402154</v>
      </c>
      <c r="U44" s="1">
        <f t="shared" si="6"/>
        <v>6.308562214402154</v>
      </c>
      <c r="V44" s="1">
        <f t="shared" si="6"/>
        <v>6.308562214402154</v>
      </c>
      <c r="X44" s="5"/>
      <c r="Y44" s="5"/>
      <c r="Z44" s="5"/>
      <c r="AA44" s="5"/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>
      <c r="B45" s="7">
        <v>4099.7</v>
      </c>
      <c r="C45" s="8">
        <v>6.7821000000000004E-12</v>
      </c>
      <c r="D45" s="8">
        <v>6.7821000000000004E-12</v>
      </c>
      <c r="E45" s="8">
        <v>6.7821000000000004E-12</v>
      </c>
      <c r="F45" s="1">
        <v>1.6395999999999999E-13</v>
      </c>
      <c r="G45" s="1">
        <v>1.1643E-17</v>
      </c>
      <c r="H45" s="1">
        <v>7.7521000000000003E-11</v>
      </c>
      <c r="I45" s="1">
        <v>4.3293E-11</v>
      </c>
      <c r="J45" s="8"/>
      <c r="K45" s="1"/>
      <c r="L45" s="1"/>
      <c r="M45" s="1"/>
      <c r="N45" s="7"/>
      <c r="O45">
        <f t="shared" si="4"/>
        <v>68.328333333333333</v>
      </c>
      <c r="P45" s="6">
        <f t="shared" si="5"/>
        <v>100.31643439165859</v>
      </c>
      <c r="Q45" s="6">
        <f t="shared" si="0"/>
        <v>60.997760042236223</v>
      </c>
      <c r="R45" s="6">
        <f t="shared" si="1"/>
        <v>33.99341050964631</v>
      </c>
      <c r="S45" s="5">
        <f t="shared" si="2"/>
        <v>0</v>
      </c>
      <c r="T45" s="6">
        <f t="shared" si="6"/>
        <v>5.3252638397760688</v>
      </c>
      <c r="U45" s="1">
        <f t="shared" si="6"/>
        <v>5.3252638397760688</v>
      </c>
      <c r="V45" s="1">
        <f t="shared" si="6"/>
        <v>5.3252638397760688</v>
      </c>
      <c r="X45" s="5"/>
      <c r="Y45" s="5"/>
      <c r="Z45" s="5"/>
      <c r="AA45" s="5"/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>
      <c r="B46" s="7">
        <v>4320</v>
      </c>
      <c r="C46" s="8">
        <v>5.7889999999999997E-12</v>
      </c>
      <c r="D46" s="8">
        <v>5.7889999999999997E-12</v>
      </c>
      <c r="E46" s="8">
        <v>5.7889999999999997E-12</v>
      </c>
      <c r="F46" s="1">
        <v>1.3995E-13</v>
      </c>
      <c r="G46" s="1">
        <v>9.9117999999999999E-18</v>
      </c>
      <c r="H46" s="1">
        <v>7.8158999999999996E-11</v>
      </c>
      <c r="I46" s="1">
        <v>4.3655999999999999E-11</v>
      </c>
      <c r="J46" s="8"/>
      <c r="K46" s="1"/>
      <c r="L46" s="1"/>
      <c r="M46" s="1"/>
      <c r="N46" s="7"/>
      <c r="O46">
        <f t="shared" si="4"/>
        <v>72</v>
      </c>
      <c r="P46" s="6">
        <f t="shared" si="5"/>
        <v>100.3037835579116</v>
      </c>
      <c r="Q46" s="6">
        <f t="shared" si="0"/>
        <v>61.47986127120425</v>
      </c>
      <c r="R46" s="6">
        <f t="shared" si="1"/>
        <v>34.278434551571664</v>
      </c>
      <c r="S46" s="5">
        <f t="shared" si="2"/>
        <v>0</v>
      </c>
      <c r="T46" s="6">
        <f t="shared" si="6"/>
        <v>4.5454877351356746</v>
      </c>
      <c r="U46" s="1">
        <f t="shared" si="6"/>
        <v>4.5454877351356746</v>
      </c>
      <c r="V46" s="1">
        <f t="shared" si="6"/>
        <v>4.5454877351356746</v>
      </c>
      <c r="X46" s="5"/>
      <c r="Y46" s="5"/>
      <c r="Z46" s="5"/>
      <c r="AA46" s="5"/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>
      <c r="B47" s="7">
        <v>3420.6</v>
      </c>
      <c r="C47" s="8">
        <v>1.2690999999999999E-12</v>
      </c>
      <c r="D47" s="8">
        <v>1.2690999999999999E-12</v>
      </c>
      <c r="E47" s="8">
        <v>1.2690999999999999E-12</v>
      </c>
      <c r="J47" s="8"/>
      <c r="K47" s="1"/>
      <c r="L47" s="1"/>
      <c r="N47" s="7"/>
      <c r="O47">
        <f t="shared" si="4"/>
        <v>57.01</v>
      </c>
      <c r="P47" s="6">
        <f t="shared" si="5"/>
        <v>0.99648963286589831</v>
      </c>
      <c r="Q47" s="6">
        <f t="shared" si="0"/>
        <v>0</v>
      </c>
      <c r="R47" s="6">
        <f t="shared" si="1"/>
        <v>0</v>
      </c>
      <c r="S47" s="5">
        <f t="shared" si="2"/>
        <v>0</v>
      </c>
      <c r="T47" s="6">
        <f t="shared" si="6"/>
        <v>0.99648963286589831</v>
      </c>
      <c r="U47" s="1">
        <f t="shared" si="6"/>
        <v>0.99648963286589831</v>
      </c>
      <c r="V47" s="1">
        <f t="shared" si="6"/>
        <v>0.99648963286589831</v>
      </c>
      <c r="X47" s="5"/>
      <c r="Y47" s="5"/>
      <c r="Z47" s="5"/>
      <c r="AA47" s="5"/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>
      <c r="B48" s="7">
        <v>3551.5</v>
      </c>
      <c r="C48" s="8">
        <v>1.0632999999999999E-12</v>
      </c>
      <c r="D48" s="8">
        <v>1.0632999999999999E-12</v>
      </c>
      <c r="E48" s="8">
        <v>1.0632999999999999E-12</v>
      </c>
      <c r="J48" s="8"/>
      <c r="K48" s="1"/>
      <c r="L48" s="1"/>
      <c r="N48" s="7"/>
      <c r="O48">
        <f t="shared" si="4"/>
        <v>59.19166666666667</v>
      </c>
      <c r="P48" s="6">
        <f t="shared" si="5"/>
        <v>0.834896719428185</v>
      </c>
      <c r="Q48" s="6">
        <f t="shared" si="0"/>
        <v>0</v>
      </c>
      <c r="R48" s="6">
        <f t="shared" si="1"/>
        <v>0</v>
      </c>
      <c r="S48" s="5">
        <f t="shared" si="2"/>
        <v>0</v>
      </c>
      <c r="T48" s="6">
        <f t="shared" si="6"/>
        <v>0.834896719428185</v>
      </c>
      <c r="U48" s="1">
        <f t="shared" si="6"/>
        <v>0.834896719428185</v>
      </c>
      <c r="V48" s="1">
        <f t="shared" si="6"/>
        <v>0.834896719428185</v>
      </c>
      <c r="X48" s="5"/>
      <c r="Y48" s="5"/>
      <c r="Z48" s="5"/>
      <c r="AA48" s="5"/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>
      <c r="B49" s="7">
        <v>3682.4</v>
      </c>
      <c r="C49" s="8">
        <v>8.9087000000000002E-13</v>
      </c>
      <c r="D49" s="8">
        <v>8.9087000000000002E-13</v>
      </c>
      <c r="E49" s="8">
        <v>8.9087000000000002E-13</v>
      </c>
      <c r="J49" s="8"/>
      <c r="K49" s="1"/>
      <c r="L49" s="1"/>
      <c r="N49" s="7"/>
      <c r="O49">
        <f t="shared" si="4"/>
        <v>61.373333333333335</v>
      </c>
      <c r="P49" s="6">
        <f t="shared" si="5"/>
        <v>0.69950572786324394</v>
      </c>
      <c r="Q49" s="6">
        <f t="shared" si="0"/>
        <v>0</v>
      </c>
      <c r="R49" s="6">
        <f t="shared" si="1"/>
        <v>0</v>
      </c>
      <c r="S49" s="5">
        <f t="shared" si="2"/>
        <v>0</v>
      </c>
      <c r="T49" s="6">
        <f t="shared" si="6"/>
        <v>0.69950572786324394</v>
      </c>
      <c r="U49" s="1">
        <f t="shared" si="6"/>
        <v>0.69950572786324394</v>
      </c>
      <c r="V49" s="1">
        <f t="shared" si="6"/>
        <v>0.69950572786324394</v>
      </c>
      <c r="X49" s="5"/>
      <c r="Y49" s="5"/>
      <c r="Z49" s="5"/>
      <c r="AA49" s="5"/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>
      <c r="B50" s="7">
        <v>3813.3</v>
      </c>
      <c r="C50" s="8">
        <v>7.4640000000000003E-13</v>
      </c>
      <c r="D50" s="8">
        <v>7.4640000000000003E-13</v>
      </c>
      <c r="E50" s="8">
        <v>7.4640000000000003E-13</v>
      </c>
      <c r="J50" s="8"/>
      <c r="K50" s="1"/>
      <c r="L50" s="1"/>
      <c r="N50" s="7"/>
      <c r="O50">
        <f t="shared" si="4"/>
        <v>63.555</v>
      </c>
      <c r="P50" s="6">
        <f t="shared" si="5"/>
        <v>0.58606875894027777</v>
      </c>
      <c r="Q50" s="6">
        <f t="shared" si="0"/>
        <v>0</v>
      </c>
      <c r="R50" s="6">
        <f t="shared" si="1"/>
        <v>0</v>
      </c>
      <c r="S50" s="5">
        <f t="shared" si="2"/>
        <v>0</v>
      </c>
      <c r="T50" s="6">
        <f t="shared" si="6"/>
        <v>0.58606875894027777</v>
      </c>
      <c r="U50" s="1">
        <f t="shared" si="6"/>
        <v>0.58606875894027777</v>
      </c>
      <c r="V50" s="1">
        <f t="shared" si="6"/>
        <v>0.58606875894027777</v>
      </c>
      <c r="X50" s="5"/>
      <c r="Y50" s="5"/>
      <c r="Z50" s="5"/>
      <c r="AA50" s="5"/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>
      <c r="B51" s="7">
        <v>3944.2</v>
      </c>
      <c r="C51" s="8">
        <v>6.2535999999999997E-13</v>
      </c>
      <c r="D51" s="8">
        <v>6.2535999999999997E-13</v>
      </c>
      <c r="E51" s="8">
        <v>6.2535999999999997E-13</v>
      </c>
      <c r="J51" s="8"/>
      <c r="K51" s="1"/>
      <c r="L51" s="1"/>
      <c r="N51" s="7"/>
      <c r="O51">
        <f t="shared" si="4"/>
        <v>65.736666666666665</v>
      </c>
      <c r="P51" s="6">
        <f t="shared" si="5"/>
        <v>0.49102888409819406</v>
      </c>
      <c r="Q51" s="6">
        <f t="shared" si="0"/>
        <v>0</v>
      </c>
      <c r="R51" s="6">
        <f t="shared" si="1"/>
        <v>0</v>
      </c>
      <c r="S51" s="5">
        <f t="shared" si="2"/>
        <v>0</v>
      </c>
      <c r="T51" s="6">
        <f t="shared" si="6"/>
        <v>0.49102888409819406</v>
      </c>
      <c r="U51" s="1">
        <f t="shared" si="6"/>
        <v>0.49102888409819406</v>
      </c>
      <c r="V51" s="1">
        <f t="shared" si="6"/>
        <v>0.49102888409819406</v>
      </c>
      <c r="X51" s="5"/>
      <c r="Y51" s="5"/>
      <c r="Z51" s="5"/>
      <c r="AA51" s="5"/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>
      <c r="B52" s="7">
        <v>4075.1</v>
      </c>
      <c r="C52" s="8">
        <v>5.2395E-13</v>
      </c>
      <c r="D52" s="8">
        <v>5.2395E-13</v>
      </c>
      <c r="E52" s="8">
        <v>5.2395E-13</v>
      </c>
      <c r="J52" s="8"/>
      <c r="K52" s="1"/>
      <c r="L52" s="1"/>
      <c r="N52" s="7"/>
      <c r="O52">
        <f t="shared" si="4"/>
        <v>67.918333333333337</v>
      </c>
      <c r="P52" s="6">
        <f t="shared" si="5"/>
        <v>0.4114023663541781</v>
      </c>
      <c r="Q52" s="6">
        <f t="shared" si="0"/>
        <v>0</v>
      </c>
      <c r="R52" s="6">
        <f t="shared" si="1"/>
        <v>0</v>
      </c>
      <c r="S52" s="5">
        <f t="shared" si="2"/>
        <v>0</v>
      </c>
      <c r="T52" s="6">
        <f t="shared" si="6"/>
        <v>0.4114023663541781</v>
      </c>
      <c r="U52" s="1">
        <f t="shared" si="6"/>
        <v>0.4114023663541781</v>
      </c>
      <c r="V52" s="1">
        <f t="shared" si="6"/>
        <v>0.4114023663541781</v>
      </c>
      <c r="X52" s="5"/>
      <c r="Y52" s="5"/>
      <c r="Z52" s="5"/>
      <c r="AA52" s="5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>
      <c r="B53" s="7">
        <v>4206</v>
      </c>
      <c r="C53" s="8">
        <v>4.3898000000000001E-13</v>
      </c>
      <c r="D53" s="8">
        <v>4.3898000000000001E-13</v>
      </c>
      <c r="E53" s="8">
        <v>4.3898000000000001E-13</v>
      </c>
      <c r="J53" s="8"/>
      <c r="K53" s="1"/>
      <c r="L53" s="1"/>
      <c r="N53" s="7"/>
      <c r="O53">
        <f t="shared" si="4"/>
        <v>70.099999999999994</v>
      </c>
      <c r="P53" s="6">
        <f t="shared" si="5"/>
        <v>0.34468443703055079</v>
      </c>
      <c r="Q53" s="6">
        <f t="shared" si="0"/>
        <v>0</v>
      </c>
      <c r="R53" s="6">
        <f t="shared" si="1"/>
        <v>0</v>
      </c>
      <c r="S53" s="5">
        <f t="shared" si="2"/>
        <v>0</v>
      </c>
      <c r="T53" s="6">
        <f t="shared" si="6"/>
        <v>0.34468443703055079</v>
      </c>
      <c r="U53" s="1">
        <f t="shared" si="6"/>
        <v>0.34468443703055079</v>
      </c>
      <c r="V53" s="1">
        <f t="shared" si="6"/>
        <v>0.34468443703055079</v>
      </c>
      <c r="X53" s="5"/>
      <c r="Y53" s="5"/>
      <c r="Z53" s="5"/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>
      <c r="B54" s="7">
        <v>4320</v>
      </c>
      <c r="C54" s="8">
        <v>3.7621999999999999E-13</v>
      </c>
      <c r="D54" s="8">
        <v>3.7621999999999999E-13</v>
      </c>
      <c r="E54" s="8">
        <v>3.7621999999999999E-13</v>
      </c>
      <c r="J54" s="8"/>
      <c r="K54" s="1"/>
      <c r="L54" s="1"/>
      <c r="N54" s="7"/>
      <c r="O54">
        <f t="shared" si="4"/>
        <v>72</v>
      </c>
      <c r="P54" s="6">
        <f t="shared" si="5"/>
        <v>0.29540566517753386</v>
      </c>
      <c r="Q54" s="6">
        <f t="shared" si="0"/>
        <v>0</v>
      </c>
      <c r="R54" s="6">
        <f t="shared" si="1"/>
        <v>0</v>
      </c>
      <c r="S54" s="5">
        <f t="shared" si="2"/>
        <v>0</v>
      </c>
      <c r="T54" s="6">
        <f t="shared" si="6"/>
        <v>0.29540566517753386</v>
      </c>
      <c r="U54" s="1">
        <f t="shared" si="6"/>
        <v>0.29540566517753386</v>
      </c>
      <c r="V54" s="1">
        <f t="shared" si="6"/>
        <v>0.29540566517753386</v>
      </c>
      <c r="X54" s="5"/>
      <c r="Y54" s="5"/>
      <c r="Z54" s="5"/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>
      <c r="B55" s="7">
        <v>175</v>
      </c>
      <c r="C55" s="8">
        <v>1.142E-10</v>
      </c>
      <c r="D55" s="8">
        <v>1.142E-10</v>
      </c>
      <c r="E55" s="8">
        <v>1.142E-10</v>
      </c>
      <c r="J55" s="8"/>
      <c r="K55" s="1"/>
      <c r="L55" s="1"/>
      <c r="N55" s="7"/>
      <c r="P55" s="6"/>
      <c r="Q55" s="6"/>
      <c r="R55" s="6"/>
      <c r="S55" s="5"/>
      <c r="T55" s="6"/>
      <c r="U55" s="1"/>
      <c r="V55" s="1"/>
      <c r="X55" s="5"/>
      <c r="Y55" s="5"/>
      <c r="Z55" s="5"/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>
      <c r="B56" s="7">
        <v>180</v>
      </c>
      <c r="C56" s="8">
        <v>1.139E-10</v>
      </c>
      <c r="D56" s="8">
        <v>1.139E-10</v>
      </c>
      <c r="E56" s="8">
        <v>1.139E-10</v>
      </c>
      <c r="J56" s="8"/>
      <c r="K56" s="1"/>
      <c r="L56" s="1"/>
      <c r="N56" s="7"/>
      <c r="P56" s="6"/>
      <c r="Q56" s="6"/>
      <c r="R56" s="6"/>
      <c r="S56" s="5"/>
      <c r="T56" s="6"/>
      <c r="U56" s="1"/>
      <c r="V56" s="1"/>
      <c r="X56" s="5"/>
      <c r="Y56" s="5"/>
      <c r="Z56" s="5"/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>
      <c r="B57" s="7">
        <v>185</v>
      </c>
      <c r="C57" s="8">
        <v>1.136E-10</v>
      </c>
      <c r="D57" s="8">
        <v>1.136E-10</v>
      </c>
      <c r="E57" s="8">
        <v>1.136E-10</v>
      </c>
      <c r="J57" s="8"/>
      <c r="K57" s="1"/>
      <c r="L57" s="1"/>
      <c r="N57" s="7"/>
      <c r="P57" s="6"/>
      <c r="Q57" s="6"/>
      <c r="R57" s="6"/>
      <c r="S57" s="5"/>
      <c r="T57" s="6"/>
      <c r="U57" s="1"/>
      <c r="V57" s="1"/>
      <c r="X57" s="5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>
      <c r="B58" s="7">
        <v>190</v>
      </c>
      <c r="C58" s="8">
        <v>1.133E-10</v>
      </c>
      <c r="D58" s="8">
        <v>1.133E-10</v>
      </c>
      <c r="E58" s="8">
        <v>1.133E-10</v>
      </c>
      <c r="J58" s="8"/>
      <c r="K58" s="1"/>
      <c r="L58" s="1"/>
      <c r="N58" s="7"/>
      <c r="P58" s="6"/>
      <c r="Q58" s="6"/>
      <c r="R58" s="6"/>
      <c r="S58" s="5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>
      <c r="B59" s="7">
        <v>195</v>
      </c>
      <c r="C59" s="8">
        <v>1.13E-10</v>
      </c>
      <c r="D59" s="8">
        <v>1.13E-10</v>
      </c>
      <c r="E59" s="8">
        <v>1.13E-10</v>
      </c>
      <c r="J59" s="8"/>
      <c r="K59" s="1"/>
      <c r="L59" s="1"/>
      <c r="N59" s="7"/>
      <c r="P59" s="6"/>
      <c r="Q59" s="6"/>
      <c r="R59" s="6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>
      <c r="B60" s="7">
        <v>200</v>
      </c>
      <c r="C60" s="8">
        <v>1.127E-10</v>
      </c>
      <c r="D60" s="8">
        <v>1.127E-10</v>
      </c>
      <c r="E60" s="8">
        <v>1.127E-10</v>
      </c>
      <c r="J60" s="8"/>
      <c r="K60" s="1"/>
      <c r="L60" s="1"/>
      <c r="N60" s="7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>
      <c r="B61" s="7">
        <v>205</v>
      </c>
      <c r="C61" s="8">
        <v>1.1241E-10</v>
      </c>
      <c r="D61" s="8">
        <v>1.1241E-10</v>
      </c>
      <c r="E61" s="8">
        <v>1.1241E-10</v>
      </c>
      <c r="J61" s="8"/>
      <c r="K61" s="1"/>
      <c r="L61" s="1"/>
      <c r="N61" s="7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>
      <c r="B62" s="7">
        <v>210</v>
      </c>
      <c r="C62" s="8">
        <v>1.1211E-10</v>
      </c>
      <c r="D62" s="8">
        <v>1.1211E-10</v>
      </c>
      <c r="E62" s="8">
        <v>1.1211E-10</v>
      </c>
      <c r="J62" s="8"/>
      <c r="K62" s="1"/>
      <c r="L62" s="1"/>
      <c r="N62" s="7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>
      <c r="B63" s="7">
        <v>215</v>
      </c>
      <c r="C63" s="8">
        <v>1.1181E-10</v>
      </c>
      <c r="D63" s="8">
        <v>1.1181E-10</v>
      </c>
      <c r="E63" s="8">
        <v>1.1181E-10</v>
      </c>
      <c r="J63" s="8"/>
      <c r="K63" s="1"/>
      <c r="L63" s="1"/>
      <c r="N63" s="7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>
      <c r="B64" s="7">
        <v>220</v>
      </c>
      <c r="C64" s="8">
        <v>1.1152000000000001E-10</v>
      </c>
      <c r="D64" s="8">
        <v>1.1152000000000001E-10</v>
      </c>
      <c r="E64" s="8">
        <v>1.1152000000000001E-10</v>
      </c>
      <c r="J64" s="8"/>
      <c r="K64" s="1"/>
      <c r="L64" s="1"/>
      <c r="N64" s="7"/>
      <c r="P64" s="6"/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2:65">
      <c r="B65" s="7">
        <v>225</v>
      </c>
      <c r="C65" s="8">
        <v>1.1122E-10</v>
      </c>
      <c r="D65" s="8">
        <v>1.1122E-10</v>
      </c>
      <c r="E65" s="8">
        <v>1.1122E-10</v>
      </c>
      <c r="J65" s="8"/>
      <c r="K65" s="1"/>
      <c r="L65" s="1"/>
      <c r="N65" s="7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2:65">
      <c r="B66" s="7">
        <v>230</v>
      </c>
      <c r="C66" s="8">
        <v>1.1093E-10</v>
      </c>
      <c r="D66" s="8">
        <v>1.1093E-10</v>
      </c>
      <c r="E66" s="8">
        <v>1.1093E-10</v>
      </c>
      <c r="J66" s="8"/>
      <c r="K66" s="1"/>
      <c r="L66" s="1"/>
      <c r="N66" s="7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2:65">
      <c r="B67" s="7">
        <v>235</v>
      </c>
      <c r="C67" s="8">
        <v>1.1063E-10</v>
      </c>
      <c r="D67" s="8">
        <v>1.1063E-10</v>
      </c>
      <c r="E67" s="8">
        <v>1.1063E-10</v>
      </c>
      <c r="J67" s="8"/>
      <c r="K67" s="1"/>
      <c r="L67" s="1"/>
      <c r="N67" s="7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2:65">
      <c r="B68" s="7">
        <v>240</v>
      </c>
      <c r="C68" s="8">
        <v>1.1034E-10</v>
      </c>
      <c r="D68" s="8">
        <v>1.1034E-10</v>
      </c>
      <c r="E68" s="8">
        <v>1.1034E-10</v>
      </c>
      <c r="J68" s="8"/>
      <c r="K68" s="1"/>
      <c r="L68" s="1"/>
      <c r="N68" s="7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2:65">
      <c r="B69" s="7">
        <v>245</v>
      </c>
      <c r="C69" s="8">
        <v>1.1005E-10</v>
      </c>
      <c r="D69" s="8">
        <v>1.1005E-10</v>
      </c>
      <c r="E69" s="8">
        <v>1.1005E-10</v>
      </c>
      <c r="J69" s="8"/>
      <c r="K69" s="1"/>
      <c r="L69" s="1"/>
      <c r="N69" s="7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2:65">
      <c r="B70" s="7">
        <v>250</v>
      </c>
      <c r="C70" s="8">
        <v>1.0976E-10</v>
      </c>
      <c r="D70" s="8">
        <v>1.0976E-10</v>
      </c>
      <c r="E70" s="8">
        <v>1.0976E-10</v>
      </c>
      <c r="J70" s="8"/>
      <c r="K70" s="1"/>
      <c r="L70" s="1"/>
      <c r="N70" s="7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2:65">
      <c r="B71" s="7">
        <v>255</v>
      </c>
      <c r="C71" s="8">
        <v>1.0947E-10</v>
      </c>
      <c r="D71" s="8">
        <v>1.0947E-10</v>
      </c>
      <c r="E71" s="8">
        <v>1.0947E-10</v>
      </c>
      <c r="J71" s="8"/>
      <c r="K71" s="1"/>
      <c r="L71" s="1"/>
      <c r="N71" s="7"/>
      <c r="P71" s="6"/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2:65">
      <c r="B72" s="7">
        <v>260</v>
      </c>
      <c r="C72" s="8">
        <v>1.0918E-10</v>
      </c>
      <c r="D72" s="8">
        <v>1.0918E-10</v>
      </c>
      <c r="E72" s="8">
        <v>1.0918E-10</v>
      </c>
      <c r="J72" s="8"/>
      <c r="K72" s="1"/>
      <c r="L72" s="1"/>
      <c r="N72" s="7"/>
      <c r="P72" s="6"/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2:65">
      <c r="B73" s="7">
        <v>265</v>
      </c>
      <c r="C73" s="8">
        <v>1.0889E-10</v>
      </c>
      <c r="D73" s="8">
        <v>1.0889E-10</v>
      </c>
      <c r="E73" s="8">
        <v>1.0889E-10</v>
      </c>
      <c r="J73" s="8"/>
      <c r="K73" s="1"/>
      <c r="L73" s="1"/>
      <c r="N73" s="7"/>
      <c r="P73" s="6"/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2:65">
      <c r="B74" s="7">
        <v>270</v>
      </c>
      <c r="C74" s="8">
        <v>1.086E-10</v>
      </c>
      <c r="D74" s="8">
        <v>1.086E-10</v>
      </c>
      <c r="E74" s="8">
        <v>1.086E-10</v>
      </c>
      <c r="J74" s="8"/>
      <c r="K74" s="1"/>
      <c r="L74" s="1"/>
      <c r="N74" s="7"/>
      <c r="P74" s="6"/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2:65">
      <c r="B75" s="7">
        <v>275</v>
      </c>
      <c r="C75" s="8">
        <v>1.0831E-10</v>
      </c>
      <c r="D75" s="8">
        <v>1.0831E-10</v>
      </c>
      <c r="E75" s="8">
        <v>1.0831E-10</v>
      </c>
      <c r="J75" s="8"/>
      <c r="K75" s="1"/>
      <c r="L75" s="1"/>
      <c r="N75" s="7"/>
      <c r="P75" s="6"/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2:65">
      <c r="B76" s="7">
        <v>280</v>
      </c>
      <c r="C76" s="8">
        <v>1.0802000000000001E-10</v>
      </c>
      <c r="D76" s="8">
        <v>1.0802000000000001E-10</v>
      </c>
      <c r="E76" s="8">
        <v>1.0802000000000001E-10</v>
      </c>
      <c r="J76" s="8"/>
      <c r="K76" s="1"/>
      <c r="L76" s="1"/>
      <c r="N76" s="7"/>
      <c r="P76" s="6"/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2:65">
      <c r="B77" s="7">
        <v>285</v>
      </c>
      <c r="C77" s="8">
        <v>1.0773E-10</v>
      </c>
      <c r="D77" s="8">
        <v>1.0773E-10</v>
      </c>
      <c r="E77" s="8">
        <v>1.0773E-10</v>
      </c>
      <c r="J77" s="8"/>
      <c r="K77" s="1"/>
      <c r="L77" s="1"/>
      <c r="N77" s="7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2:65">
      <c r="B78" s="7">
        <v>290</v>
      </c>
      <c r="C78" s="8">
        <v>1.0745E-10</v>
      </c>
      <c r="D78" s="8">
        <v>1.0745E-10</v>
      </c>
      <c r="E78" s="8">
        <v>1.0745E-10</v>
      </c>
      <c r="J78" s="8"/>
      <c r="K78" s="1"/>
      <c r="L78" s="1"/>
      <c r="N78" s="7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2:65">
      <c r="B79" s="7">
        <v>295</v>
      </c>
      <c r="C79" s="8">
        <v>1.0715999999999999E-10</v>
      </c>
      <c r="D79" s="8">
        <v>1.0715999999999999E-10</v>
      </c>
      <c r="E79" s="8">
        <v>1.0715999999999999E-10</v>
      </c>
      <c r="J79" s="8"/>
      <c r="K79" s="1"/>
      <c r="L79" s="1"/>
      <c r="N79" s="7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2:65">
      <c r="B80" s="7">
        <v>300</v>
      </c>
      <c r="C80" s="8">
        <v>1.0688E-10</v>
      </c>
      <c r="D80" s="8">
        <v>1.0688E-10</v>
      </c>
      <c r="E80" s="8">
        <v>1.0688E-10</v>
      </c>
      <c r="J80" s="8"/>
      <c r="K80" s="1"/>
      <c r="L80" s="1"/>
      <c r="N80" s="7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2:65">
      <c r="B81" s="7">
        <v>310</v>
      </c>
      <c r="C81" s="8">
        <v>1.0631000000000001E-10</v>
      </c>
      <c r="D81" s="8">
        <v>1.0631000000000001E-10</v>
      </c>
      <c r="E81" s="8">
        <v>1.0631000000000001E-10</v>
      </c>
      <c r="J81" s="8"/>
      <c r="K81" s="1"/>
      <c r="L81" s="1"/>
      <c r="N81" s="7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2:65">
      <c r="B82" s="7">
        <v>320</v>
      </c>
      <c r="C82" s="8">
        <v>1.0575E-10</v>
      </c>
      <c r="D82" s="8">
        <v>1.0575E-10</v>
      </c>
      <c r="E82" s="8">
        <v>1.0575E-10</v>
      </c>
      <c r="J82" s="8"/>
      <c r="K82" s="1"/>
      <c r="L82" s="1"/>
      <c r="N82" s="7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2:65">
      <c r="B83" s="7">
        <v>330</v>
      </c>
      <c r="C83" s="8">
        <v>1.0518000000000001E-10</v>
      </c>
      <c r="D83" s="8">
        <v>1.0518000000000001E-10</v>
      </c>
      <c r="E83" s="8">
        <v>1.0518000000000001E-10</v>
      </c>
      <c r="J83" s="8"/>
      <c r="K83" s="1"/>
      <c r="L83" s="1"/>
      <c r="N83" s="7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2:65">
      <c r="B84" s="7">
        <v>340</v>
      </c>
      <c r="C84" s="8">
        <v>1.0463E-10</v>
      </c>
      <c r="D84" s="8">
        <v>1.0463E-10</v>
      </c>
      <c r="E84" s="8">
        <v>1.0463E-10</v>
      </c>
      <c r="J84" s="8"/>
      <c r="K84" s="1"/>
      <c r="L84" s="1"/>
      <c r="N84" s="7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2:65">
      <c r="B85" s="7">
        <v>350</v>
      </c>
      <c r="C85" s="8">
        <v>1.0407E-10</v>
      </c>
      <c r="D85" s="8">
        <v>1.0407E-10</v>
      </c>
      <c r="E85" s="8">
        <v>1.0407E-10</v>
      </c>
      <c r="J85" s="8"/>
      <c r="K85" s="1"/>
      <c r="L85" s="1"/>
      <c r="N85" s="7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2:65">
      <c r="B86" s="7">
        <v>360</v>
      </c>
      <c r="C86" s="8">
        <v>1.0352E-10</v>
      </c>
      <c r="D86" s="8">
        <v>1.0352E-10</v>
      </c>
      <c r="E86" s="8">
        <v>1.0352E-10</v>
      </c>
      <c r="J86" s="8"/>
      <c r="K86" s="1"/>
      <c r="L86" s="1"/>
      <c r="N86" s="7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2:65">
      <c r="B87" s="7">
        <v>370</v>
      </c>
      <c r="C87" s="8">
        <v>1.0296999999999999E-10</v>
      </c>
      <c r="D87" s="8">
        <v>1.0296999999999999E-10</v>
      </c>
      <c r="E87" s="8">
        <v>1.0296999999999999E-10</v>
      </c>
      <c r="J87" s="8"/>
      <c r="K87" s="1"/>
      <c r="L87" s="1"/>
      <c r="N87" s="7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2:65">
      <c r="B88" s="7">
        <v>380</v>
      </c>
      <c r="C88" s="8">
        <v>1.0241999999999999E-10</v>
      </c>
      <c r="D88" s="8">
        <v>1.0241999999999999E-10</v>
      </c>
      <c r="E88" s="8">
        <v>1.0241999999999999E-10</v>
      </c>
      <c r="J88" s="8"/>
      <c r="K88" s="1"/>
      <c r="L88" s="1"/>
      <c r="N88" s="7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2:65">
      <c r="B89" s="7">
        <v>390</v>
      </c>
      <c r="C89" s="8">
        <v>1.0188E-10</v>
      </c>
      <c r="D89" s="8">
        <v>1.0188E-10</v>
      </c>
      <c r="E89" s="8">
        <v>1.0188E-10</v>
      </c>
      <c r="J89" s="8"/>
      <c r="K89" s="1"/>
      <c r="L89" s="1"/>
      <c r="N89" s="7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2:65">
      <c r="B90" s="7">
        <v>400</v>
      </c>
      <c r="C90" s="8">
        <v>1.0133E-10</v>
      </c>
      <c r="D90" s="8">
        <v>1.0133E-10</v>
      </c>
      <c r="E90" s="8">
        <v>1.0133E-10</v>
      </c>
      <c r="J90" s="8"/>
      <c r="K90" s="1"/>
      <c r="L90" s="1"/>
      <c r="N90" s="7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2:65">
      <c r="B91" s="7">
        <v>410</v>
      </c>
      <c r="C91" s="8">
        <v>1.008E-10</v>
      </c>
      <c r="D91" s="8">
        <v>1.008E-10</v>
      </c>
      <c r="E91" s="8">
        <v>1.008E-10</v>
      </c>
      <c r="J91" s="8"/>
      <c r="K91" s="1"/>
      <c r="L91" s="1"/>
      <c r="N91" s="7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2:65">
      <c r="B92" s="7">
        <v>420</v>
      </c>
      <c r="C92" s="8">
        <v>1.0026E-10</v>
      </c>
      <c r="D92" s="8">
        <v>1.0026E-10</v>
      </c>
      <c r="E92" s="8">
        <v>1.0026E-10</v>
      </c>
      <c r="J92" s="8"/>
      <c r="K92" s="1"/>
      <c r="L92" s="1"/>
      <c r="N92" s="7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2:65">
      <c r="B93" s="7">
        <v>430</v>
      </c>
      <c r="C93" s="8">
        <v>9.9727999999999997E-11</v>
      </c>
      <c r="D93" s="8">
        <v>9.9727999999999997E-11</v>
      </c>
      <c r="E93" s="8">
        <v>9.9727999999999997E-11</v>
      </c>
      <c r="J93" s="8"/>
      <c r="K93" s="1"/>
      <c r="L93" s="1"/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2:65">
      <c r="B94" s="7">
        <v>440</v>
      </c>
      <c r="C94" s="8">
        <v>9.9198E-11</v>
      </c>
      <c r="D94" s="8">
        <v>9.9198E-11</v>
      </c>
      <c r="E94" s="8">
        <v>9.9198E-11</v>
      </c>
      <c r="J94" s="8"/>
      <c r="K94" s="1"/>
      <c r="L94" s="1"/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2:65">
      <c r="B95" s="7">
        <v>450</v>
      </c>
      <c r="C95" s="8">
        <v>9.8671000000000002E-11</v>
      </c>
      <c r="D95" s="8">
        <v>9.8671000000000002E-11</v>
      </c>
      <c r="E95" s="8">
        <v>9.8671000000000002E-11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2:65">
      <c r="B96" s="7">
        <v>460</v>
      </c>
      <c r="C96" s="8">
        <v>9.8147000000000005E-11</v>
      </c>
      <c r="D96" s="8">
        <v>9.8147000000000005E-11</v>
      </c>
      <c r="E96" s="8">
        <v>9.8147000000000005E-11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>
      <c r="B97" s="7">
        <v>470</v>
      </c>
      <c r="C97" s="8">
        <v>9.7625999999999995E-11</v>
      </c>
      <c r="D97" s="8">
        <v>9.7625999999999995E-11</v>
      </c>
      <c r="E97" s="8">
        <v>9.7625999999999995E-11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>
      <c r="B98" s="7">
        <v>480</v>
      </c>
      <c r="C98" s="8">
        <v>9.7107000000000001E-11</v>
      </c>
      <c r="D98" s="8">
        <v>9.7107000000000001E-11</v>
      </c>
      <c r="E98" s="8">
        <v>9.7107000000000001E-11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>
      <c r="B99" s="7">
        <v>490</v>
      </c>
      <c r="C99" s="8">
        <v>9.6590999999999995E-11</v>
      </c>
      <c r="D99" s="8">
        <v>9.6590999999999995E-11</v>
      </c>
      <c r="E99" s="8">
        <v>9.6590999999999995E-11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>
      <c r="B100" s="7">
        <v>500</v>
      </c>
      <c r="C100" s="8">
        <v>9.6078000000000002E-11</v>
      </c>
      <c r="D100" s="8">
        <v>9.6078000000000002E-11</v>
      </c>
      <c r="E100" s="8">
        <v>9.6078000000000002E-11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>
      <c r="B101" s="7">
        <v>510</v>
      </c>
      <c r="C101" s="8">
        <v>9.5567999999999995E-11</v>
      </c>
      <c r="D101" s="8">
        <v>9.5567999999999995E-11</v>
      </c>
      <c r="E101" s="8">
        <v>9.5567999999999995E-11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>
      <c r="B102" s="7">
        <v>520</v>
      </c>
      <c r="C102" s="8">
        <v>9.5060000000000006E-11</v>
      </c>
      <c r="D102" s="8">
        <v>9.5060000000000006E-11</v>
      </c>
      <c r="E102" s="8">
        <v>9.5060000000000006E-11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>
      <c r="B103" s="7">
        <v>530</v>
      </c>
      <c r="C103" s="8">
        <v>9.4555999999999999E-11</v>
      </c>
      <c r="D103" s="8">
        <v>9.4555999999999999E-11</v>
      </c>
      <c r="E103" s="8">
        <v>9.4555999999999999E-11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>
      <c r="B104" s="7">
        <v>540</v>
      </c>
      <c r="C104" s="8">
        <v>9.4053000000000001E-11</v>
      </c>
      <c r="D104" s="8">
        <v>9.4053000000000001E-11</v>
      </c>
      <c r="E104" s="8">
        <v>9.4053000000000001E-11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>
      <c r="B105" s="7">
        <v>550</v>
      </c>
      <c r="C105" s="8">
        <v>9.3553999999999998E-11</v>
      </c>
      <c r="D105" s="8">
        <v>9.3553999999999998E-11</v>
      </c>
      <c r="E105" s="8">
        <v>9.3553999999999998E-11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>
      <c r="B106" s="7">
        <v>560</v>
      </c>
      <c r="C106" s="8">
        <v>9.3057E-11</v>
      </c>
      <c r="D106" s="8">
        <v>9.3057E-11</v>
      </c>
      <c r="E106" s="8">
        <v>9.3057E-11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>
      <c r="B107" s="7">
        <v>570</v>
      </c>
      <c r="C107" s="8">
        <v>9.2563000000000001E-11</v>
      </c>
      <c r="D107" s="8">
        <v>9.2563000000000001E-11</v>
      </c>
      <c r="E107" s="8">
        <v>9.2563000000000001E-11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>
      <c r="B108" s="7">
        <v>580</v>
      </c>
      <c r="C108" s="8">
        <v>9.2072000000000003E-11</v>
      </c>
      <c r="D108" s="8">
        <v>9.2072000000000003E-11</v>
      </c>
      <c r="E108" s="8">
        <v>9.2072000000000003E-11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>
      <c r="B109" s="7">
        <v>590</v>
      </c>
      <c r="C109" s="8">
        <v>9.1582999999999995E-11</v>
      </c>
      <c r="D109" s="8">
        <v>9.1582999999999995E-11</v>
      </c>
      <c r="E109" s="8">
        <v>9.1582999999999995E-11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>
      <c r="B110" s="7">
        <v>600</v>
      </c>
      <c r="C110" s="8">
        <v>9.1097000000000001E-11</v>
      </c>
      <c r="D110" s="8">
        <v>9.1097000000000001E-11</v>
      </c>
      <c r="E110" s="8">
        <v>9.1097000000000001E-11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>
      <c r="B111" s="7">
        <v>610</v>
      </c>
      <c r="C111" s="8">
        <v>9.0612999999999998E-11</v>
      </c>
      <c r="D111" s="8">
        <v>9.0612999999999998E-11</v>
      </c>
      <c r="E111" s="8">
        <v>9.0612999999999998E-11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>
      <c r="B112" s="7">
        <v>620</v>
      </c>
      <c r="C112" s="8">
        <v>9.0131999999999994E-11</v>
      </c>
      <c r="D112" s="8">
        <v>9.0131999999999994E-11</v>
      </c>
      <c r="E112" s="8">
        <v>9.0131999999999994E-11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>
      <c r="B113" s="7">
        <v>630</v>
      </c>
      <c r="C113" s="8">
        <v>8.9654000000000004E-11</v>
      </c>
      <c r="D113" s="8">
        <v>8.9654000000000004E-11</v>
      </c>
      <c r="E113" s="8">
        <v>8.9654000000000004E-11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>
      <c r="B114" s="7">
        <v>640</v>
      </c>
      <c r="C114" s="8">
        <v>8.9178000000000005E-11</v>
      </c>
      <c r="D114" s="8">
        <v>8.9178000000000005E-11</v>
      </c>
      <c r="E114" s="8">
        <v>8.9178000000000005E-11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>
      <c r="B115" s="7">
        <v>650</v>
      </c>
      <c r="C115" s="8">
        <v>8.8705000000000005E-11</v>
      </c>
      <c r="D115" s="8">
        <v>8.8705000000000005E-11</v>
      </c>
      <c r="E115" s="8">
        <v>8.8705000000000005E-11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>
      <c r="B116" s="7">
        <v>660</v>
      </c>
      <c r="C116" s="8">
        <v>8.8233999999999997E-11</v>
      </c>
      <c r="D116" s="8">
        <v>8.8233999999999997E-11</v>
      </c>
      <c r="E116" s="8">
        <v>8.8233999999999997E-11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>
      <c r="B117" s="7">
        <v>670</v>
      </c>
      <c r="C117" s="8">
        <v>8.7766000000000002E-11</v>
      </c>
      <c r="D117" s="8">
        <v>8.7766000000000002E-11</v>
      </c>
      <c r="E117" s="8">
        <v>8.7766000000000002E-11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>
      <c r="B118" s="7">
        <v>680</v>
      </c>
      <c r="C118" s="8">
        <v>8.7299999999999998E-11</v>
      </c>
      <c r="D118" s="8">
        <v>8.7299999999999998E-11</v>
      </c>
      <c r="E118" s="8">
        <v>8.7299999999999998E-11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>
      <c r="B119" s="7">
        <v>690</v>
      </c>
      <c r="C119" s="8">
        <v>8.6836999999999994E-11</v>
      </c>
      <c r="D119" s="8">
        <v>8.6836999999999994E-11</v>
      </c>
      <c r="E119" s="8">
        <v>8.6836999999999994E-11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>
      <c r="B120" s="7">
        <v>700</v>
      </c>
      <c r="C120" s="8">
        <v>8.6375999999999995E-11</v>
      </c>
      <c r="D120" s="8">
        <v>8.6375999999999995E-11</v>
      </c>
      <c r="E120" s="8">
        <v>8.6375999999999995E-11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>
      <c r="B121" s="7">
        <v>720</v>
      </c>
      <c r="C121" s="8">
        <v>8.5461000000000003E-11</v>
      </c>
      <c r="D121" s="8">
        <v>8.5461000000000003E-11</v>
      </c>
      <c r="E121" s="8">
        <v>8.5461000000000003E-11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>
      <c r="B122" s="7">
        <v>740</v>
      </c>
      <c r="C122" s="8">
        <v>8.4561999999999995E-11</v>
      </c>
      <c r="D122" s="8">
        <v>8.4561999999999995E-11</v>
      </c>
      <c r="E122" s="8">
        <v>8.4561999999999995E-11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>
      <c r="B123" s="7">
        <v>760</v>
      </c>
      <c r="C123" s="8">
        <v>8.3671000000000002E-11</v>
      </c>
      <c r="D123" s="8">
        <v>8.3671000000000002E-11</v>
      </c>
      <c r="E123" s="8">
        <v>8.3671000000000002E-11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>
      <c r="B124" s="7">
        <v>780</v>
      </c>
      <c r="C124" s="8">
        <v>8.2791000000000001E-11</v>
      </c>
      <c r="D124" s="8">
        <v>8.2791000000000001E-11</v>
      </c>
      <c r="E124" s="8">
        <v>8.2791000000000001E-11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>
      <c r="B125" s="7">
        <v>800</v>
      </c>
      <c r="C125" s="8">
        <v>8.1916000000000004E-11</v>
      </c>
      <c r="D125" s="8">
        <v>8.1916000000000004E-11</v>
      </c>
      <c r="E125" s="8">
        <v>8.1916000000000004E-11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>
      <c r="B126" s="7">
        <v>820</v>
      </c>
      <c r="C126" s="8">
        <v>8.1049999999999994E-11</v>
      </c>
      <c r="D126" s="8">
        <v>8.1049999999999994E-11</v>
      </c>
      <c r="E126" s="8">
        <v>8.1049999999999994E-11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>
      <c r="B127" s="7">
        <v>840</v>
      </c>
      <c r="C127" s="8">
        <v>8.0192000000000001E-11</v>
      </c>
      <c r="D127" s="8">
        <v>8.0192000000000001E-11</v>
      </c>
      <c r="E127" s="8">
        <v>8.0192000000000001E-11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>
      <c r="B128" s="7">
        <v>860</v>
      </c>
      <c r="C128" s="8">
        <v>7.9344000000000003E-11</v>
      </c>
      <c r="D128" s="8">
        <v>7.9344000000000003E-11</v>
      </c>
      <c r="E128" s="8">
        <v>7.9344000000000003E-11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>
      <c r="B129" s="7">
        <v>880</v>
      </c>
      <c r="C129" s="8">
        <v>7.8503999999999996E-11</v>
      </c>
      <c r="D129" s="8">
        <v>7.8503999999999996E-11</v>
      </c>
      <c r="E129" s="8">
        <v>7.8503999999999996E-11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>
      <c r="B130" s="7">
        <v>900</v>
      </c>
      <c r="C130" s="8">
        <v>7.7673999999999997E-11</v>
      </c>
      <c r="D130" s="8">
        <v>7.7673999999999997E-11</v>
      </c>
      <c r="E130" s="8">
        <v>7.7673999999999997E-11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>
      <c r="B131" s="7">
        <v>920</v>
      </c>
      <c r="C131" s="8">
        <v>7.6852000000000003E-11</v>
      </c>
      <c r="D131" s="8">
        <v>7.6852000000000003E-11</v>
      </c>
      <c r="E131" s="8">
        <v>7.6852000000000003E-11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>
      <c r="B132" s="7">
        <v>940</v>
      </c>
      <c r="C132" s="8">
        <v>7.6038999999999995E-11</v>
      </c>
      <c r="D132" s="8">
        <v>7.6038999999999995E-11</v>
      </c>
      <c r="E132" s="8">
        <v>7.6038999999999995E-11</v>
      </c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>
      <c r="B133" s="7">
        <v>960</v>
      </c>
      <c r="C133" s="8">
        <v>7.5234999999999999E-11</v>
      </c>
      <c r="D133" s="8">
        <v>7.5234999999999999E-11</v>
      </c>
      <c r="E133" s="8">
        <v>7.5234999999999999E-11</v>
      </c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>
      <c r="B134" s="7">
        <v>980</v>
      </c>
      <c r="C134" s="8">
        <v>7.4438999999999995E-11</v>
      </c>
      <c r="D134" s="8">
        <v>7.4438999999999995E-11</v>
      </c>
      <c r="E134" s="8">
        <v>7.4438999999999995E-11</v>
      </c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>
      <c r="B135" s="7">
        <v>1000</v>
      </c>
      <c r="C135" s="8">
        <v>7.3650999999999995E-11</v>
      </c>
      <c r="D135" s="8">
        <v>7.3650999999999995E-11</v>
      </c>
      <c r="E135" s="8">
        <v>7.3650999999999995E-11</v>
      </c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>
      <c r="B136" s="7">
        <v>1020</v>
      </c>
      <c r="C136" s="8">
        <v>7.2871999999999994E-11</v>
      </c>
      <c r="D136" s="8">
        <v>7.2871999999999994E-11</v>
      </c>
      <c r="E136" s="8">
        <v>7.2871999999999994E-11</v>
      </c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>
      <c r="B137" s="7">
        <v>1040</v>
      </c>
      <c r="C137" s="8">
        <v>7.2102000000000006E-11</v>
      </c>
      <c r="D137" s="8">
        <v>7.2102000000000006E-11</v>
      </c>
      <c r="E137" s="8">
        <v>7.2102000000000006E-11</v>
      </c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>
      <c r="B138" s="7">
        <v>1060</v>
      </c>
      <c r="C138" s="8">
        <v>7.1339E-11</v>
      </c>
      <c r="D138" s="8">
        <v>7.1339E-11</v>
      </c>
      <c r="E138" s="8">
        <v>7.1339E-11</v>
      </c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>
      <c r="B139" s="7">
        <v>1080</v>
      </c>
      <c r="C139" s="8">
        <v>7.0583999999999999E-11</v>
      </c>
      <c r="D139" s="8">
        <v>7.0583999999999999E-11</v>
      </c>
      <c r="E139" s="8">
        <v>7.0583999999999999E-11</v>
      </c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>
      <c r="B140" s="7">
        <v>1100</v>
      </c>
      <c r="C140" s="8">
        <v>6.9837999999999997E-11</v>
      </c>
      <c r="D140" s="8">
        <v>6.9837999999999997E-11</v>
      </c>
      <c r="E140" s="8">
        <v>6.9837999999999997E-11</v>
      </c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>
      <c r="B141" s="7">
        <v>1120</v>
      </c>
      <c r="C141" s="8">
        <v>6.9099000000000004E-11</v>
      </c>
      <c r="D141" s="8">
        <v>6.9099000000000004E-11</v>
      </c>
      <c r="E141" s="8">
        <v>6.9099000000000004E-11</v>
      </c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>
      <c r="B142" s="7">
        <v>1140</v>
      </c>
      <c r="C142" s="8">
        <v>6.8368000000000001E-11</v>
      </c>
      <c r="D142" s="8">
        <v>6.8368000000000001E-11</v>
      </c>
      <c r="E142" s="8">
        <v>6.8368000000000001E-11</v>
      </c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>
      <c r="B143" s="7">
        <v>1160</v>
      </c>
      <c r="C143" s="8">
        <v>6.7645000000000003E-11</v>
      </c>
      <c r="D143" s="8">
        <v>6.7645000000000003E-11</v>
      </c>
      <c r="E143" s="8">
        <v>6.7645000000000003E-11</v>
      </c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>
      <c r="B144" s="7">
        <v>1180</v>
      </c>
      <c r="C144" s="8">
        <v>6.6929999999999995E-11</v>
      </c>
      <c r="D144" s="8">
        <v>6.6929999999999995E-11</v>
      </c>
      <c r="E144" s="8">
        <v>6.6929999999999995E-11</v>
      </c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>
      <c r="B145" s="7">
        <v>1200</v>
      </c>
      <c r="C145" s="8">
        <v>6.6221999999999996E-11</v>
      </c>
      <c r="D145" s="8">
        <v>6.6221999999999996E-11</v>
      </c>
      <c r="E145" s="8">
        <v>6.6221999999999996E-11</v>
      </c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>
      <c r="B146" s="7">
        <v>1220</v>
      </c>
      <c r="C146" s="8">
        <v>6.5522000000000001E-11</v>
      </c>
      <c r="D146" s="8">
        <v>6.5522000000000001E-11</v>
      </c>
      <c r="E146" s="8">
        <v>6.5522000000000001E-11</v>
      </c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>
      <c r="B147" s="7">
        <v>1240</v>
      </c>
      <c r="C147" s="8">
        <v>6.4829000000000002E-11</v>
      </c>
      <c r="D147" s="8">
        <v>6.4829000000000002E-11</v>
      </c>
      <c r="E147" s="8">
        <v>6.4829000000000002E-11</v>
      </c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>
      <c r="B148" s="7">
        <v>1260</v>
      </c>
      <c r="C148" s="8">
        <v>6.4142999999999998E-11</v>
      </c>
      <c r="D148" s="8">
        <v>6.4142999999999998E-11</v>
      </c>
      <c r="E148" s="8">
        <v>6.4142999999999998E-11</v>
      </c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>
      <c r="B149" s="7">
        <v>1280</v>
      </c>
      <c r="C149" s="8">
        <v>6.3464999999999997E-11</v>
      </c>
      <c r="D149" s="8">
        <v>6.3464999999999997E-11</v>
      </c>
      <c r="E149" s="8">
        <v>6.3464999999999997E-11</v>
      </c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>
      <c r="B150" s="7">
        <v>1300</v>
      </c>
      <c r="C150" s="8">
        <v>6.2794000000000006E-11</v>
      </c>
      <c r="D150" s="8">
        <v>6.2794000000000006E-11</v>
      </c>
      <c r="E150" s="8">
        <v>6.2794000000000006E-11</v>
      </c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>
      <c r="B151" s="7">
        <v>1320</v>
      </c>
      <c r="C151" s="8">
        <v>6.2129999999999996E-11</v>
      </c>
      <c r="D151" s="8">
        <v>6.2129999999999996E-11</v>
      </c>
      <c r="E151" s="8">
        <v>6.2129999999999996E-11</v>
      </c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>
      <c r="B152" s="7">
        <v>1340</v>
      </c>
      <c r="C152" s="8">
        <v>6.1472E-11</v>
      </c>
      <c r="D152" s="8">
        <v>6.1472E-11</v>
      </c>
      <c r="E152" s="8">
        <v>6.1472E-11</v>
      </c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>
      <c r="B153" s="7">
        <v>1360</v>
      </c>
      <c r="C153" s="8">
        <v>6.0821999999999994E-11</v>
      </c>
      <c r="D153" s="8">
        <v>6.0821999999999994E-11</v>
      </c>
      <c r="E153" s="8">
        <v>6.0821999999999994E-11</v>
      </c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>
      <c r="B154" s="7">
        <v>1380</v>
      </c>
      <c r="C154" s="8">
        <v>6.0178999999999997E-11</v>
      </c>
      <c r="D154" s="8">
        <v>6.0178999999999997E-11</v>
      </c>
      <c r="E154" s="8">
        <v>6.0178999999999997E-11</v>
      </c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>
      <c r="B155" s="7">
        <v>1400</v>
      </c>
      <c r="C155" s="8">
        <v>5.9542999999999995E-11</v>
      </c>
      <c r="D155" s="8">
        <v>5.9542999999999995E-11</v>
      </c>
      <c r="E155" s="8">
        <v>5.9542999999999995E-11</v>
      </c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>
      <c r="B156" s="7">
        <v>1420</v>
      </c>
      <c r="C156" s="8">
        <v>5.8913000000000006E-11</v>
      </c>
      <c r="D156" s="8">
        <v>5.8913000000000006E-11</v>
      </c>
      <c r="E156" s="8">
        <v>5.8913000000000006E-11</v>
      </c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>
      <c r="B157" s="7">
        <v>1440</v>
      </c>
      <c r="C157" s="8">
        <v>5.829E-11</v>
      </c>
      <c r="D157" s="8">
        <v>5.829E-11</v>
      </c>
      <c r="E157" s="8">
        <v>5.829E-11</v>
      </c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>
      <c r="B158" s="7">
        <v>1460</v>
      </c>
      <c r="C158" s="8">
        <v>5.7674000000000002E-11</v>
      </c>
      <c r="D158" s="8">
        <v>5.7674000000000002E-11</v>
      </c>
      <c r="E158" s="8">
        <v>5.7674000000000002E-11</v>
      </c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>
      <c r="B159" s="7">
        <v>1480</v>
      </c>
      <c r="C159" s="8">
        <v>5.7064000000000003E-11</v>
      </c>
      <c r="D159" s="8">
        <v>5.7064000000000003E-11</v>
      </c>
      <c r="E159" s="8">
        <v>5.7064000000000003E-11</v>
      </c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>
      <c r="B160" s="7">
        <v>1500</v>
      </c>
      <c r="C160" s="8">
        <v>5.6459999999999998E-11</v>
      </c>
      <c r="D160" s="8">
        <v>5.6459999999999998E-11</v>
      </c>
      <c r="E160" s="8">
        <v>5.6459999999999998E-11</v>
      </c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>
      <c r="B161" s="7">
        <v>1520</v>
      </c>
      <c r="C161" s="8">
        <v>5.5863000000000001E-11</v>
      </c>
      <c r="D161" s="8">
        <v>5.5863000000000001E-11</v>
      </c>
      <c r="E161" s="8">
        <v>5.5863000000000001E-11</v>
      </c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>
      <c r="B162" s="7">
        <v>1560</v>
      </c>
      <c r="C162" s="8">
        <v>5.4688000000000003E-11</v>
      </c>
      <c r="D162" s="8">
        <v>5.4688000000000003E-11</v>
      </c>
      <c r="E162" s="8">
        <v>5.4688000000000003E-11</v>
      </c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>
      <c r="B163" s="7">
        <v>1600</v>
      </c>
      <c r="C163" s="8">
        <v>5.3536999999999997E-11</v>
      </c>
      <c r="D163" s="8">
        <v>5.3536999999999997E-11</v>
      </c>
      <c r="E163" s="8">
        <v>5.3536999999999997E-11</v>
      </c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>
      <c r="B164" s="7">
        <v>1640</v>
      </c>
      <c r="C164" s="8">
        <v>5.2410999999999999E-11</v>
      </c>
      <c r="D164" s="8">
        <v>5.2410999999999999E-11</v>
      </c>
      <c r="E164" s="8">
        <v>5.2410999999999999E-11</v>
      </c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>
      <c r="B165" s="7">
        <v>1680</v>
      </c>
      <c r="C165" s="8">
        <v>5.1307999999999997E-11</v>
      </c>
      <c r="D165" s="8">
        <v>5.1307999999999997E-11</v>
      </c>
      <c r="E165" s="8">
        <v>5.1307999999999997E-11</v>
      </c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>
      <c r="B166" s="7">
        <v>1720</v>
      </c>
      <c r="C166" s="8">
        <v>5.0229000000000002E-11</v>
      </c>
      <c r="D166" s="8">
        <v>5.0229000000000002E-11</v>
      </c>
      <c r="E166" s="8">
        <v>5.0229000000000002E-11</v>
      </c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>
      <c r="B167" s="7">
        <v>1760</v>
      </c>
      <c r="C167" s="8">
        <v>4.9172000000000001E-11</v>
      </c>
      <c r="D167" s="8">
        <v>4.9172000000000001E-11</v>
      </c>
      <c r="E167" s="8">
        <v>4.9172000000000001E-11</v>
      </c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>
      <c r="B168" s="7">
        <v>1800</v>
      </c>
      <c r="C168" s="8">
        <v>4.8137999999999997E-11</v>
      </c>
      <c r="D168" s="8">
        <v>4.8137999999999997E-11</v>
      </c>
      <c r="E168" s="8">
        <v>4.8137999999999997E-11</v>
      </c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>
      <c r="B169" s="7">
        <v>1840</v>
      </c>
      <c r="C169" s="8">
        <v>4.7124999999999999E-11</v>
      </c>
      <c r="D169" s="8">
        <v>4.7124999999999999E-11</v>
      </c>
      <c r="E169" s="8">
        <v>4.7124999999999999E-11</v>
      </c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>
      <c r="B170" s="7">
        <v>1880</v>
      </c>
      <c r="C170" s="8">
        <v>4.6133E-11</v>
      </c>
      <c r="D170" s="8">
        <v>4.6133E-11</v>
      </c>
      <c r="E170" s="8">
        <v>4.6133E-11</v>
      </c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>
      <c r="B171" s="7">
        <v>1920</v>
      </c>
      <c r="C171" s="8">
        <v>4.5163000000000002E-11</v>
      </c>
      <c r="D171" s="8">
        <v>4.5163000000000002E-11</v>
      </c>
      <c r="E171" s="8">
        <v>4.5163000000000002E-11</v>
      </c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>
      <c r="B172" s="7">
        <v>1960</v>
      </c>
      <c r="C172" s="8">
        <v>4.4213000000000002E-11</v>
      </c>
      <c r="D172" s="8">
        <v>4.4213000000000002E-11</v>
      </c>
      <c r="E172" s="8">
        <v>4.4213000000000002E-11</v>
      </c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>
      <c r="B173" s="7">
        <v>2000</v>
      </c>
      <c r="C173" s="8">
        <v>4.3282000000000002E-11</v>
      </c>
      <c r="D173" s="8">
        <v>4.3282000000000002E-11</v>
      </c>
      <c r="E173" s="8">
        <v>4.3282000000000002E-11</v>
      </c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>
      <c r="B174" s="7">
        <v>2040</v>
      </c>
      <c r="C174" s="8">
        <v>4.2372000000000002E-11</v>
      </c>
      <c r="D174" s="8">
        <v>4.2372000000000002E-11</v>
      </c>
      <c r="E174" s="8">
        <v>4.2372000000000002E-11</v>
      </c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>
      <c r="B175" s="7">
        <v>2080</v>
      </c>
      <c r="C175" s="8">
        <v>4.1480000000000002E-11</v>
      </c>
      <c r="D175" s="8">
        <v>4.1480000000000002E-11</v>
      </c>
      <c r="E175" s="8">
        <v>4.1480000000000002E-11</v>
      </c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>
      <c r="B176" s="7">
        <v>2120</v>
      </c>
      <c r="C176" s="8">
        <v>4.0607999999999998E-11</v>
      </c>
      <c r="D176" s="8">
        <v>4.0607999999999998E-11</v>
      </c>
      <c r="E176" s="8">
        <v>4.0607999999999998E-11</v>
      </c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>
      <c r="B177" s="7">
        <v>2160</v>
      </c>
      <c r="C177" s="8">
        <v>3.9752999999999998E-11</v>
      </c>
      <c r="D177" s="8">
        <v>3.9752999999999998E-11</v>
      </c>
      <c r="E177" s="8">
        <v>3.9752999999999998E-11</v>
      </c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>
      <c r="B178" s="7">
        <v>2200</v>
      </c>
      <c r="C178" s="8">
        <v>3.8917E-11</v>
      </c>
      <c r="D178" s="8">
        <v>3.8917E-11</v>
      </c>
      <c r="E178" s="8">
        <v>3.8917E-11</v>
      </c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>
      <c r="B179" s="7">
        <v>2240</v>
      </c>
      <c r="C179" s="8">
        <v>3.8097999999999999E-11</v>
      </c>
      <c r="D179" s="8">
        <v>3.8097999999999999E-11</v>
      </c>
      <c r="E179" s="8">
        <v>3.8097999999999999E-11</v>
      </c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>
      <c r="B180" s="7">
        <v>2280</v>
      </c>
      <c r="C180" s="8">
        <v>3.7297000000000003E-11</v>
      </c>
      <c r="D180" s="8">
        <v>3.7297000000000003E-11</v>
      </c>
      <c r="E180" s="8">
        <v>3.7297000000000003E-11</v>
      </c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>
      <c r="B181" s="7">
        <v>2320</v>
      </c>
      <c r="C181" s="8">
        <v>3.6512000000000003E-11</v>
      </c>
      <c r="D181" s="8">
        <v>3.6512000000000003E-11</v>
      </c>
      <c r="E181" s="8">
        <v>3.6512000000000003E-11</v>
      </c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>
      <c r="B182" s="7">
        <v>2360</v>
      </c>
      <c r="C182" s="8">
        <v>3.5744E-11</v>
      </c>
      <c r="D182" s="8">
        <v>3.5744E-11</v>
      </c>
      <c r="E182" s="8">
        <v>3.5744E-11</v>
      </c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>
      <c r="B183" s="7">
        <v>2400</v>
      </c>
      <c r="C183" s="8">
        <v>3.4991999999999998E-11</v>
      </c>
      <c r="D183" s="8">
        <v>3.4991999999999998E-11</v>
      </c>
      <c r="E183" s="8">
        <v>3.4991999999999998E-11</v>
      </c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>
      <c r="B184" s="7">
        <v>2440</v>
      </c>
      <c r="C184" s="8">
        <v>3.4255999999999998E-11</v>
      </c>
      <c r="D184" s="8">
        <v>3.4255999999999998E-11</v>
      </c>
      <c r="E184" s="8">
        <v>3.4255999999999998E-11</v>
      </c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>
      <c r="B185" s="7">
        <v>2480</v>
      </c>
      <c r="C185" s="8">
        <v>3.3534999999999997E-11</v>
      </c>
      <c r="D185" s="8">
        <v>3.3534999999999997E-11</v>
      </c>
      <c r="E185" s="8">
        <v>3.3534999999999997E-11</v>
      </c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>
      <c r="B186" s="7">
        <v>2520</v>
      </c>
      <c r="C186" s="8">
        <v>3.2829999999999998E-11</v>
      </c>
      <c r="D186" s="8">
        <v>3.2829999999999998E-11</v>
      </c>
      <c r="E186" s="8">
        <v>3.2829999999999998E-11</v>
      </c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>
      <c r="B187" s="7">
        <v>2560</v>
      </c>
      <c r="C187" s="8">
        <v>3.2139000000000003E-11</v>
      </c>
      <c r="D187" s="8">
        <v>3.2139000000000003E-11</v>
      </c>
      <c r="E187" s="8">
        <v>3.2139000000000003E-11</v>
      </c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>
      <c r="B188" s="7">
        <v>2600</v>
      </c>
      <c r="C188" s="8">
        <v>3.1463E-11</v>
      </c>
      <c r="D188" s="8">
        <v>3.1463E-11</v>
      </c>
      <c r="E188" s="8">
        <v>3.1463E-11</v>
      </c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>
      <c r="B189" s="7">
        <v>2640</v>
      </c>
      <c r="C189" s="8">
        <v>3.0801000000000002E-11</v>
      </c>
      <c r="D189" s="8">
        <v>3.0801000000000002E-11</v>
      </c>
      <c r="E189" s="8">
        <v>3.0801000000000002E-11</v>
      </c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>
      <c r="B190" s="7">
        <v>2680</v>
      </c>
      <c r="C190" s="8">
        <v>3.0153E-11</v>
      </c>
      <c r="D190" s="8">
        <v>3.0153E-11</v>
      </c>
      <c r="E190" s="8">
        <v>3.0153E-11</v>
      </c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>
      <c r="B191" s="7">
        <v>2720</v>
      </c>
      <c r="C191" s="8">
        <v>2.9518000000000001E-11</v>
      </c>
      <c r="D191" s="8">
        <v>2.9518000000000001E-11</v>
      </c>
      <c r="E191" s="8">
        <v>2.9518000000000001E-11</v>
      </c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>
      <c r="B192" s="7">
        <v>2760</v>
      </c>
      <c r="C192" s="8">
        <v>2.8896999999999999E-11</v>
      </c>
      <c r="D192" s="8">
        <v>2.8896999999999999E-11</v>
      </c>
      <c r="E192" s="8">
        <v>2.8896999999999999E-11</v>
      </c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>
      <c r="B193" s="7">
        <v>2800</v>
      </c>
      <c r="C193" s="8">
        <v>2.8289000000000001E-11</v>
      </c>
      <c r="D193" s="8">
        <v>2.8289000000000001E-11</v>
      </c>
      <c r="E193" s="8">
        <v>2.8289000000000001E-11</v>
      </c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>
      <c r="B194" s="7">
        <v>2840</v>
      </c>
      <c r="C194" s="8">
        <v>2.7693999999999999E-11</v>
      </c>
      <c r="D194" s="8">
        <v>2.7693999999999999E-11</v>
      </c>
      <c r="E194" s="8">
        <v>2.7693999999999999E-11</v>
      </c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>
      <c r="B195" s="7">
        <v>2880</v>
      </c>
      <c r="C195" s="8">
        <v>2.7112000000000002E-11</v>
      </c>
      <c r="D195" s="8">
        <v>2.7112000000000002E-11</v>
      </c>
      <c r="E195" s="8">
        <v>2.7112000000000002E-11</v>
      </c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>
      <c r="B196" s="7">
        <v>2920</v>
      </c>
      <c r="C196" s="8">
        <v>2.6540999999999998E-11</v>
      </c>
      <c r="D196" s="8">
        <v>2.6540999999999998E-11</v>
      </c>
      <c r="E196" s="8">
        <v>2.6540999999999998E-11</v>
      </c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>
      <c r="B197" s="7">
        <v>2960</v>
      </c>
      <c r="C197" s="8">
        <v>2.5983E-11</v>
      </c>
      <c r="D197" s="8">
        <v>2.5983E-11</v>
      </c>
      <c r="E197" s="8">
        <v>2.5983E-11</v>
      </c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>
      <c r="B198" s="7">
        <v>3000</v>
      </c>
      <c r="C198" s="8">
        <v>2.5435999999999999E-11</v>
      </c>
      <c r="D198" s="8">
        <v>2.5435999999999999E-11</v>
      </c>
      <c r="E198" s="8">
        <v>2.5435999999999999E-11</v>
      </c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>
      <c r="B199" s="7">
        <v>3040</v>
      </c>
      <c r="C199" s="8">
        <v>2.4901000000000001E-11</v>
      </c>
      <c r="D199" s="8">
        <v>2.4901000000000001E-11</v>
      </c>
      <c r="E199" s="8">
        <v>2.4901000000000001E-11</v>
      </c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>
      <c r="B200" s="7">
        <v>3080</v>
      </c>
      <c r="C200" s="8">
        <v>2.4377000000000001E-11</v>
      </c>
      <c r="D200" s="8">
        <v>2.4377000000000001E-11</v>
      </c>
      <c r="E200" s="8">
        <v>2.4377000000000001E-11</v>
      </c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>
      <c r="B201" s="7">
        <v>3120</v>
      </c>
      <c r="C201" s="8">
        <v>2.3864000000000001E-11</v>
      </c>
      <c r="D201" s="8">
        <v>2.3864000000000001E-11</v>
      </c>
      <c r="E201" s="8">
        <v>2.3864000000000001E-11</v>
      </c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>
      <c r="B202" s="7">
        <v>3160</v>
      </c>
      <c r="C202" s="8">
        <v>2.3361999999999998E-11</v>
      </c>
      <c r="D202" s="8">
        <v>2.3361999999999998E-11</v>
      </c>
      <c r="E202" s="8">
        <v>2.3361999999999998E-11</v>
      </c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>
      <c r="B203" s="7">
        <v>3200</v>
      </c>
      <c r="C203" s="8">
        <v>2.2871E-11</v>
      </c>
      <c r="D203" s="8">
        <v>2.2871E-11</v>
      </c>
      <c r="E203" s="8">
        <v>2.2871E-11</v>
      </c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>
      <c r="B204" s="7">
        <v>3240</v>
      </c>
      <c r="C204" s="8">
        <v>2.239E-11</v>
      </c>
      <c r="D204" s="8">
        <v>2.239E-11</v>
      </c>
      <c r="E204" s="8">
        <v>2.239E-11</v>
      </c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>
      <c r="B205" s="7">
        <v>3280</v>
      </c>
      <c r="C205" s="8">
        <v>2.1919000000000001E-11</v>
      </c>
      <c r="D205" s="8">
        <v>2.1919000000000001E-11</v>
      </c>
      <c r="E205" s="8">
        <v>2.1919000000000001E-11</v>
      </c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>
      <c r="B206" s="7">
        <v>3320</v>
      </c>
      <c r="C206" s="8">
        <v>2.1457E-11</v>
      </c>
      <c r="D206" s="8">
        <v>2.1457E-11</v>
      </c>
      <c r="E206" s="8">
        <v>2.1457E-11</v>
      </c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>
      <c r="B207" s="7">
        <v>3360</v>
      </c>
      <c r="C207" s="8">
        <v>2.1006000000000002E-11</v>
      </c>
      <c r="D207" s="8">
        <v>2.1006000000000002E-11</v>
      </c>
      <c r="E207" s="8">
        <v>2.1006000000000002E-11</v>
      </c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>
      <c r="B208" s="7">
        <v>3400</v>
      </c>
      <c r="C208" s="8">
        <v>2.0564E-11</v>
      </c>
      <c r="D208" s="8">
        <v>2.0564E-11</v>
      </c>
      <c r="E208" s="8">
        <v>2.0564E-11</v>
      </c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>
      <c r="B209" s="7">
        <v>3440</v>
      </c>
      <c r="C209" s="8">
        <v>2.0131000000000001E-11</v>
      </c>
      <c r="D209" s="8">
        <v>2.0131000000000001E-11</v>
      </c>
      <c r="E209" s="8">
        <v>2.0131000000000001E-11</v>
      </c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>
      <c r="B210" s="7">
        <v>3480</v>
      </c>
      <c r="C210" s="8">
        <v>1.9708000000000001E-11</v>
      </c>
      <c r="D210" s="8">
        <v>1.9708000000000001E-11</v>
      </c>
      <c r="E210" s="8">
        <v>1.9708000000000001E-11</v>
      </c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>
      <c r="B211" s="7">
        <v>3520</v>
      </c>
      <c r="C211" s="8">
        <v>1.9292999999999999E-11</v>
      </c>
      <c r="D211" s="8">
        <v>1.9292999999999999E-11</v>
      </c>
      <c r="E211" s="8">
        <v>1.9292999999999999E-11</v>
      </c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>
      <c r="B212" s="7">
        <v>3560</v>
      </c>
      <c r="C212" s="8">
        <v>1.8886999999999999E-11</v>
      </c>
      <c r="D212" s="8">
        <v>1.8886999999999999E-11</v>
      </c>
      <c r="E212" s="8">
        <v>1.8886999999999999E-11</v>
      </c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>
      <c r="B213" s="7">
        <v>3600</v>
      </c>
      <c r="C213" s="8">
        <v>1.8489999999999999E-11</v>
      </c>
      <c r="D213" s="8">
        <v>1.8489999999999999E-11</v>
      </c>
      <c r="E213" s="8">
        <v>1.8489999999999999E-11</v>
      </c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>
      <c r="B214" s="7">
        <v>3640</v>
      </c>
      <c r="C214" s="8">
        <v>1.8101E-11</v>
      </c>
      <c r="D214" s="8">
        <v>1.8101E-11</v>
      </c>
      <c r="E214" s="8">
        <v>1.8101E-11</v>
      </c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>
      <c r="B215" s="7">
        <v>3680</v>
      </c>
      <c r="C215" s="8">
        <v>1.7720000000000001E-11</v>
      </c>
      <c r="D215" s="8">
        <v>1.7720000000000001E-11</v>
      </c>
      <c r="E215" s="8">
        <v>1.7720000000000001E-11</v>
      </c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>
      <c r="B216" s="7">
        <v>3720</v>
      </c>
      <c r="C216" s="8">
        <v>1.7347E-11</v>
      </c>
      <c r="D216" s="8">
        <v>1.7347E-11</v>
      </c>
      <c r="E216" s="8">
        <v>1.7347E-11</v>
      </c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>
      <c r="B217" s="7">
        <v>3760</v>
      </c>
      <c r="C217" s="8">
        <v>1.6982E-11</v>
      </c>
      <c r="D217" s="8">
        <v>1.6982E-11</v>
      </c>
      <c r="E217" s="8">
        <v>1.6982E-11</v>
      </c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>
      <c r="B218" s="7">
        <v>3800</v>
      </c>
      <c r="C218" s="8">
        <v>1.6625000000000001E-11</v>
      </c>
      <c r="D218" s="8">
        <v>1.6625000000000001E-11</v>
      </c>
      <c r="E218" s="8">
        <v>1.6625000000000001E-11</v>
      </c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>
      <c r="B219" s="7">
        <v>3840</v>
      </c>
      <c r="C219" s="8">
        <v>1.6275E-11</v>
      </c>
      <c r="D219" s="8">
        <v>1.6275E-11</v>
      </c>
      <c r="E219" s="8">
        <v>1.6275E-11</v>
      </c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>
      <c r="B220" s="7">
        <v>3880</v>
      </c>
      <c r="C220" s="8">
        <v>1.5933E-11</v>
      </c>
      <c r="D220" s="8">
        <v>1.5933E-11</v>
      </c>
      <c r="E220" s="8">
        <v>1.5933E-11</v>
      </c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>
      <c r="B221" s="7">
        <v>3920</v>
      </c>
      <c r="C221" s="8">
        <v>1.5597999999999999E-11</v>
      </c>
      <c r="D221" s="8">
        <v>1.5597999999999999E-11</v>
      </c>
      <c r="E221" s="8">
        <v>1.5597999999999999E-11</v>
      </c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>
      <c r="B222" s="7">
        <v>3960</v>
      </c>
      <c r="C222" s="8">
        <v>1.5269999999999999E-11</v>
      </c>
      <c r="D222" s="8">
        <v>1.5269999999999999E-11</v>
      </c>
      <c r="E222" s="8">
        <v>1.5269999999999999E-11</v>
      </c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>
      <c r="B223" s="7">
        <v>4000</v>
      </c>
      <c r="C223" s="8">
        <v>1.4948E-11</v>
      </c>
      <c r="D223" s="8">
        <v>1.4948E-11</v>
      </c>
      <c r="E223" s="8">
        <v>1.4948E-11</v>
      </c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>
      <c r="B224" s="7">
        <v>4040</v>
      </c>
      <c r="C224" s="8">
        <v>1.4634000000000001E-11</v>
      </c>
      <c r="D224" s="8">
        <v>1.4634000000000001E-11</v>
      </c>
      <c r="E224" s="8">
        <v>1.4634000000000001E-11</v>
      </c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>
      <c r="B225" s="7">
        <v>4080</v>
      </c>
      <c r="C225" s="8">
        <v>1.4326E-11</v>
      </c>
      <c r="D225" s="8">
        <v>1.4326E-11</v>
      </c>
      <c r="E225" s="8">
        <v>1.4326E-11</v>
      </c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>
      <c r="B226" s="7">
        <v>4120</v>
      </c>
      <c r="C226" s="8">
        <v>1.4025E-11</v>
      </c>
      <c r="D226" s="8">
        <v>1.4025E-11</v>
      </c>
      <c r="E226" s="8">
        <v>1.4025E-11</v>
      </c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>
      <c r="B227" s="7">
        <v>4160</v>
      </c>
      <c r="C227" s="8">
        <v>1.3730000000000001E-11</v>
      </c>
      <c r="D227" s="8">
        <v>1.3730000000000001E-11</v>
      </c>
      <c r="E227" s="8">
        <v>1.3730000000000001E-11</v>
      </c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>
      <c r="B228" s="7">
        <v>4200</v>
      </c>
      <c r="C228" s="8">
        <v>1.3441E-11</v>
      </c>
      <c r="D228" s="8">
        <v>1.3441E-11</v>
      </c>
      <c r="E228" s="8">
        <v>1.3441E-11</v>
      </c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>
      <c r="B229" s="7">
        <v>4240</v>
      </c>
      <c r="C229" s="8">
        <v>1.3158E-11</v>
      </c>
      <c r="D229" s="8">
        <v>1.3158E-11</v>
      </c>
      <c r="E229" s="8">
        <v>1.3158E-11</v>
      </c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>
      <c r="B230" s="7">
        <v>4280</v>
      </c>
      <c r="C230" s="8">
        <v>1.2881000000000001E-11</v>
      </c>
      <c r="D230" s="8">
        <v>1.2881000000000001E-11</v>
      </c>
      <c r="E230" s="8">
        <v>1.2881000000000001E-11</v>
      </c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>
      <c r="B231" s="7">
        <v>4320</v>
      </c>
      <c r="C231" s="8">
        <v>1.2610000000000001E-11</v>
      </c>
      <c r="D231" s="8">
        <v>1.2610000000000001E-11</v>
      </c>
      <c r="E231" s="8">
        <v>1.2610000000000001E-11</v>
      </c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10.Document" shapeId="22531" r:id="rId4">
          <objectPr defaultSize="0" r:id="rId5">
            <anchor moveWithCells="1">
              <from>
                <xdr:col>23</xdr:col>
                <xdr:colOff>0</xdr:colOff>
                <xdr:row>18</xdr:row>
                <xdr:rowOff>0</xdr:rowOff>
              </from>
              <to>
                <xdr:col>28</xdr:col>
                <xdr:colOff>711200</xdr:colOff>
                <xdr:row>31</xdr:row>
                <xdr:rowOff>177800</xdr:rowOff>
              </to>
            </anchor>
          </objectPr>
        </oleObject>
      </mc:Choice>
      <mc:Fallback>
        <oleObject progId="Prism10.Document" shapeId="22531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7DB2-68C8-4D29-A806-29DAA074846D}">
  <dimension ref="A1:BM602"/>
  <sheetViews>
    <sheetView topLeftCell="I1" zoomScaleNormal="100" workbookViewId="0">
      <selection activeCell="O55" sqref="O55:V231"/>
    </sheetView>
  </sheetViews>
  <sheetFormatPr baseColWidth="10" defaultColWidth="8.83203125" defaultRowHeight="17"/>
  <cols>
    <col min="6" max="9" width="13.1640625" bestFit="1" customWidth="1"/>
    <col min="11" max="11" width="9.1640625" bestFit="1" customWidth="1"/>
    <col min="13" max="13" width="13.1640625" bestFit="1" customWidth="1"/>
    <col min="16" max="16" width="13.5" customWidth="1"/>
    <col min="17" max="17" width="9.83203125" bestFit="1" customWidth="1"/>
    <col min="18" max="18" width="9.5" bestFit="1" customWidth="1"/>
    <col min="20" max="20" width="11" bestFit="1" customWidth="1"/>
    <col min="21" max="21" width="9.5" bestFit="1" customWidth="1"/>
    <col min="22" max="22" width="13.33203125" bestFit="1" customWidth="1"/>
    <col min="29" max="29" width="9.5" bestFit="1" customWidth="1"/>
    <col min="33" max="34" width="9.1640625" bestFit="1" customWidth="1"/>
    <col min="35" max="35" width="9.1640625" customWidth="1"/>
    <col min="46" max="46" width="7.5" customWidth="1"/>
    <col min="47" max="47" width="15" customWidth="1"/>
    <col min="48" max="48" width="11" bestFit="1" customWidth="1"/>
    <col min="49" max="49" width="9.1640625" bestFit="1" customWidth="1"/>
    <col min="51" max="56" width="9.1640625" bestFit="1" customWidth="1"/>
  </cols>
  <sheetData>
    <row r="1" spans="1:65">
      <c r="A1" s="1">
        <f>K2</f>
        <v>1.2735726046408E-10</v>
      </c>
      <c r="B1" s="7" t="s">
        <v>0</v>
      </c>
      <c r="C1" s="7" t="s">
        <v>126</v>
      </c>
      <c r="D1" s="7" t="s">
        <v>126</v>
      </c>
      <c r="E1" s="7" t="s">
        <v>126</v>
      </c>
      <c r="F1" t="s">
        <v>126</v>
      </c>
      <c r="G1" t="s">
        <v>126</v>
      </c>
      <c r="H1" t="s">
        <v>127</v>
      </c>
      <c r="I1" t="s">
        <v>128</v>
      </c>
      <c r="J1" s="7"/>
      <c r="N1" s="7"/>
      <c r="O1" t="s">
        <v>35</v>
      </c>
      <c r="P1" t="s">
        <v>5</v>
      </c>
      <c r="Q1" t="s">
        <v>30</v>
      </c>
      <c r="R1" t="s">
        <v>38</v>
      </c>
      <c r="S1" s="3" t="s">
        <v>11</v>
      </c>
      <c r="T1" t="s">
        <v>32</v>
      </c>
      <c r="U1" t="s">
        <v>3</v>
      </c>
      <c r="V1" s="4" t="s">
        <v>4</v>
      </c>
      <c r="X1" s="3"/>
      <c r="Y1" s="3" t="s">
        <v>12</v>
      </c>
      <c r="Z1" s="3" t="s">
        <v>36</v>
      </c>
      <c r="AA1" s="3" t="s">
        <v>37</v>
      </c>
      <c r="AB1" s="3" t="s">
        <v>39</v>
      </c>
      <c r="AC1" s="3" t="s">
        <v>13</v>
      </c>
      <c r="AF1" s="35" t="s">
        <v>85</v>
      </c>
      <c r="AJ1" s="7"/>
      <c r="AK1" s="7"/>
    </row>
    <row r="2" spans="1:65">
      <c r="B2" s="7">
        <v>0</v>
      </c>
      <c r="C2" s="8">
        <v>1.2710000000000001E-10</v>
      </c>
      <c r="D2" s="8">
        <v>1.2710000000000001E-10</v>
      </c>
      <c r="E2" s="8">
        <v>1.2710000000000001E-10</v>
      </c>
      <c r="F2" s="1">
        <v>2.5726000000000001E-13</v>
      </c>
      <c r="G2" s="1">
        <v>4.6408000000000004E-19</v>
      </c>
      <c r="H2" s="1">
        <v>0</v>
      </c>
      <c r="I2" s="1">
        <v>0</v>
      </c>
      <c r="J2" s="8"/>
      <c r="K2" s="1">
        <f>SUM(C2,F2,G2)</f>
        <v>1.2735726046408E-10</v>
      </c>
      <c r="M2" s="1"/>
      <c r="N2" s="7"/>
      <c r="O2">
        <f>B2/60</f>
        <v>0</v>
      </c>
      <c r="P2" s="6">
        <f>(SUM(F2:J2)+C2)/$A$1*100</f>
        <v>100</v>
      </c>
      <c r="Q2" s="6">
        <f t="shared" ref="Q2:Q65" si="0">(H2+F2)/$A$1*100</f>
        <v>0.20199869176092863</v>
      </c>
      <c r="R2" s="6">
        <f t="shared" ref="R2:R65" si="1">(G2+I2)/$A$1*100</f>
        <v>3.6439226025193099E-7</v>
      </c>
      <c r="S2" s="5">
        <f t="shared" ref="S2:S65" si="2">J2/$A$1*100</f>
        <v>0</v>
      </c>
      <c r="T2" s="6">
        <f t="shared" ref="T2:V17" si="3">C2/$A$1*100</f>
        <v>99.798000943846816</v>
      </c>
      <c r="U2" s="1">
        <f t="shared" si="3"/>
        <v>99.798000943846816</v>
      </c>
      <c r="V2" s="1">
        <f t="shared" si="3"/>
        <v>99.798000943846816</v>
      </c>
      <c r="X2" s="9" t="s">
        <v>26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" t="s">
        <v>84</v>
      </c>
      <c r="AG2" t="s">
        <v>81</v>
      </c>
      <c r="AH2" s="7" t="s">
        <v>82</v>
      </c>
      <c r="AI2" s="7" t="s">
        <v>83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>
      <c r="B3" s="7">
        <v>2.1743000000000001</v>
      </c>
      <c r="C3" s="8">
        <v>1.243E-10</v>
      </c>
      <c r="D3" s="8">
        <v>1.243E-10</v>
      </c>
      <c r="E3" s="8">
        <v>1.243E-10</v>
      </c>
      <c r="F3" s="1">
        <v>2.9496999999999998E-12</v>
      </c>
      <c r="G3" s="1">
        <v>6.4130999999999999E-17</v>
      </c>
      <c r="H3" s="1">
        <v>5.8982999999999995E-14</v>
      </c>
      <c r="I3" s="1">
        <v>1.0551E-14</v>
      </c>
      <c r="J3" s="8"/>
      <c r="K3" s="1"/>
      <c r="L3" s="1"/>
      <c r="M3" s="1"/>
      <c r="N3" s="7"/>
      <c r="O3">
        <f t="shared" ref="O3:O66" si="4">B3/60</f>
        <v>3.6238333333333338E-2</v>
      </c>
      <c r="P3" s="6">
        <f t="shared" ref="P3:P66" si="5">(SUM(F3:J3)+C3)/$A$1*100</f>
        <v>99.970192250570037</v>
      </c>
      <c r="Q3" s="6">
        <f t="shared" si="0"/>
        <v>2.3623961359066548</v>
      </c>
      <c r="R3" s="6">
        <f t="shared" si="1"/>
        <v>8.3349241035173671E-3</v>
      </c>
      <c r="S3" s="5">
        <f t="shared" si="2"/>
        <v>0</v>
      </c>
      <c r="T3" s="6">
        <f t="shared" si="3"/>
        <v>97.599461190559865</v>
      </c>
      <c r="U3" s="1">
        <f t="shared" si="3"/>
        <v>97.599461190559865</v>
      </c>
      <c r="V3" s="1">
        <f t="shared" si="3"/>
        <v>97.599461190559865</v>
      </c>
      <c r="X3" s="9"/>
      <c r="Y3" s="2"/>
      <c r="Z3" s="2"/>
      <c r="AA3" s="2"/>
      <c r="AB3" s="2"/>
      <c r="AC3" s="2"/>
      <c r="AD3" s="1"/>
      <c r="AE3" s="1"/>
      <c r="AF3" t="s">
        <v>40</v>
      </c>
      <c r="AG3" t="s">
        <v>41</v>
      </c>
      <c r="AH3" s="7" t="s">
        <v>42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B4" s="7">
        <v>4.4467999999999996</v>
      </c>
      <c r="C4" s="8">
        <v>1.2406999999999999E-10</v>
      </c>
      <c r="D4" s="8">
        <v>1.2406999999999999E-10</v>
      </c>
      <c r="E4" s="8">
        <v>1.2406999999999999E-10</v>
      </c>
      <c r="F4" s="1">
        <v>3.0151999999999999E-12</v>
      </c>
      <c r="G4" s="1">
        <v>1.7034E-16</v>
      </c>
      <c r="H4" s="1">
        <v>1.8461000000000001E-13</v>
      </c>
      <c r="I4" s="1">
        <v>5.1078000000000002E-14</v>
      </c>
      <c r="J4" s="8"/>
      <c r="K4" s="1"/>
      <c r="L4" s="1"/>
      <c r="M4" s="1"/>
      <c r="N4" s="7"/>
      <c r="O4">
        <f t="shared" si="4"/>
        <v>7.4113333333333323E-2</v>
      </c>
      <c r="P4" s="6">
        <f t="shared" si="5"/>
        <v>99.97157435394881</v>
      </c>
      <c r="Q4" s="6">
        <f t="shared" si="0"/>
        <v>2.5124676742732532</v>
      </c>
      <c r="R4" s="6">
        <f t="shared" si="1"/>
        <v>4.0239825992844869E-2</v>
      </c>
      <c r="S4" s="5">
        <f t="shared" si="2"/>
        <v>0</v>
      </c>
      <c r="T4" s="6">
        <f t="shared" si="3"/>
        <v>97.418866853682715</v>
      </c>
      <c r="U4" s="1">
        <f t="shared" si="3"/>
        <v>97.418866853682715</v>
      </c>
      <c r="V4" s="1">
        <f t="shared" si="3"/>
        <v>97.418866853682715</v>
      </c>
      <c r="X4" s="9" t="s">
        <v>27</v>
      </c>
      <c r="Y4" s="2">
        <v>7333</v>
      </c>
      <c r="Z4" s="2">
        <v>2184</v>
      </c>
      <c r="AA4" s="2">
        <v>3827</v>
      </c>
      <c r="AB4" s="2">
        <v>0</v>
      </c>
      <c r="AC4" s="2">
        <v>1322</v>
      </c>
      <c r="AD4" s="1"/>
      <c r="AE4" s="1"/>
      <c r="AF4" t="s">
        <v>43</v>
      </c>
      <c r="AG4" t="s">
        <v>44</v>
      </c>
      <c r="AH4" s="1" t="s">
        <v>45</v>
      </c>
      <c r="AI4" s="1" t="s">
        <v>46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B5" s="7">
        <v>6.1510999999999996</v>
      </c>
      <c r="C5" s="8">
        <v>1.2392E-10</v>
      </c>
      <c r="D5" s="8">
        <v>1.2392E-10</v>
      </c>
      <c r="E5" s="8">
        <v>1.2392E-10</v>
      </c>
      <c r="F5" s="1">
        <v>3.0109E-12</v>
      </c>
      <c r="G5" s="1">
        <v>2.6713000000000001E-16</v>
      </c>
      <c r="H5" s="1">
        <v>2.8093E-13</v>
      </c>
      <c r="I5" s="1">
        <v>1.0829E-13</v>
      </c>
      <c r="J5" s="8"/>
      <c r="K5" s="1"/>
      <c r="L5" s="1"/>
      <c r="M5" s="1"/>
      <c r="N5" s="7"/>
      <c r="O5">
        <f t="shared" si="4"/>
        <v>0.10251833333333332</v>
      </c>
      <c r="P5" s="6">
        <f t="shared" si="5"/>
        <v>99.971047324710312</v>
      </c>
      <c r="Q5" s="6">
        <f t="shared" si="0"/>
        <v>2.5847211128794907</v>
      </c>
      <c r="R5" s="6">
        <f t="shared" si="1"/>
        <v>8.5238273502763973E-2</v>
      </c>
      <c r="S5" s="5">
        <f t="shared" si="2"/>
        <v>0</v>
      </c>
      <c r="T5" s="6">
        <f t="shared" si="3"/>
        <v>97.301087938328067</v>
      </c>
      <c r="U5" s="1">
        <f t="shared" si="3"/>
        <v>97.301087938328067</v>
      </c>
      <c r="V5" s="1">
        <f t="shared" si="3"/>
        <v>97.301087938328067</v>
      </c>
      <c r="X5" s="9" t="s">
        <v>28</v>
      </c>
      <c r="Y5" s="2">
        <v>7333</v>
      </c>
      <c r="Z5" s="2">
        <v>2184</v>
      </c>
      <c r="AA5" s="2">
        <v>3827</v>
      </c>
      <c r="AB5" s="2">
        <v>0</v>
      </c>
      <c r="AC5" s="2">
        <v>1322</v>
      </c>
      <c r="AD5" s="1"/>
      <c r="AE5" s="1"/>
      <c r="AF5" s="41" t="s">
        <v>60</v>
      </c>
      <c r="AG5" s="41" t="s">
        <v>98</v>
      </c>
      <c r="AH5" s="41" t="s">
        <v>98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B6" s="7">
        <v>8.4236000000000004</v>
      </c>
      <c r="C6" s="8">
        <v>1.2368000000000001E-10</v>
      </c>
      <c r="D6" s="8">
        <v>1.2368000000000001E-10</v>
      </c>
      <c r="E6" s="8">
        <v>1.2368000000000001E-10</v>
      </c>
      <c r="F6" s="1">
        <v>3.0016000000000001E-12</v>
      </c>
      <c r="G6" s="1">
        <v>3.8254E-16</v>
      </c>
      <c r="H6" s="1">
        <v>4.0958000000000001E-13</v>
      </c>
      <c r="I6" s="1">
        <v>2.2179000000000001E-13</v>
      </c>
      <c r="J6" s="8"/>
      <c r="K6" s="1"/>
      <c r="L6" s="1"/>
      <c r="M6" s="1"/>
      <c r="N6" s="7"/>
      <c r="O6">
        <f t="shared" si="4"/>
        <v>0.14039333333333334</v>
      </c>
      <c r="P6" s="6">
        <f t="shared" si="5"/>
        <v>99.965523815509243</v>
      </c>
      <c r="Q6" s="6">
        <f t="shared" si="0"/>
        <v>2.6784338698633468</v>
      </c>
      <c r="R6" s="6">
        <f t="shared" si="1"/>
        <v>0.17444827188526232</v>
      </c>
      <c r="S6" s="5">
        <f t="shared" si="2"/>
        <v>0</v>
      </c>
      <c r="T6" s="6">
        <f t="shared" si="3"/>
        <v>97.112641673760606</v>
      </c>
      <c r="U6" s="1">
        <f t="shared" si="3"/>
        <v>97.112641673760606</v>
      </c>
      <c r="V6" s="1">
        <f t="shared" si="3"/>
        <v>97.112641673760606</v>
      </c>
      <c r="X6" s="9" t="s">
        <v>29</v>
      </c>
      <c r="Y6" s="2">
        <v>1</v>
      </c>
      <c r="Z6" s="2">
        <v>1</v>
      </c>
      <c r="AA6" s="2">
        <v>1</v>
      </c>
      <c r="AB6" s="2">
        <v>27</v>
      </c>
      <c r="AC6" s="2">
        <v>1</v>
      </c>
      <c r="AD6" s="1"/>
      <c r="AE6" s="1"/>
      <c r="AF6" s="42" t="s">
        <v>18</v>
      </c>
      <c r="AG6" s="42">
        <v>0.5</v>
      </c>
      <c r="AH6" s="41">
        <v>0.5</v>
      </c>
      <c r="AI6" s="1" t="s">
        <v>47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B7" s="7">
        <v>10.696</v>
      </c>
      <c r="C7" s="8">
        <v>1.2342E-10</v>
      </c>
      <c r="D7" s="8">
        <v>1.2342E-10</v>
      </c>
      <c r="E7" s="8">
        <v>1.2342E-10</v>
      </c>
      <c r="F7" s="1">
        <v>2.9923000000000001E-12</v>
      </c>
      <c r="G7" s="1">
        <v>4.6294999999999996E-16</v>
      </c>
      <c r="H7" s="1">
        <v>5.3822E-13</v>
      </c>
      <c r="I7" s="1">
        <v>3.7008999999999999E-13</v>
      </c>
      <c r="J7" s="8"/>
      <c r="K7" s="1"/>
      <c r="L7" s="1"/>
      <c r="M7" s="1"/>
      <c r="N7" s="7"/>
      <c r="O7">
        <f t="shared" si="4"/>
        <v>0.17826666666666666</v>
      </c>
      <c r="P7" s="6">
        <f t="shared" si="5"/>
        <v>99.971585825615179</v>
      </c>
      <c r="Q7" s="6">
        <f t="shared" si="0"/>
        <v>2.7721387749195125</v>
      </c>
      <c r="R7" s="6">
        <f t="shared" si="1"/>
        <v>0.29095549688312528</v>
      </c>
      <c r="S7" s="5">
        <f t="shared" si="2"/>
        <v>0</v>
      </c>
      <c r="T7" s="6">
        <f t="shared" si="3"/>
        <v>96.908491553812539</v>
      </c>
      <c r="U7" s="1">
        <f t="shared" si="3"/>
        <v>96.908491553812539</v>
      </c>
      <c r="V7" s="1">
        <f t="shared" si="3"/>
        <v>96.908491553812539</v>
      </c>
      <c r="X7" s="9"/>
      <c r="Y7" s="2"/>
      <c r="Z7" s="2"/>
      <c r="AA7" s="2"/>
      <c r="AB7" s="2"/>
      <c r="AC7" s="2"/>
      <c r="AD7" s="1"/>
      <c r="AE7" s="40"/>
      <c r="AF7" s="36" t="s">
        <v>48</v>
      </c>
      <c r="AG7" s="40">
        <v>1E-10</v>
      </c>
      <c r="AH7" s="40">
        <v>1E-10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B8" s="7">
        <v>12.968</v>
      </c>
      <c r="C8" s="8">
        <v>1.2312999999999999E-10</v>
      </c>
      <c r="D8" s="8">
        <v>1.2312999999999999E-10</v>
      </c>
      <c r="E8" s="8">
        <v>1.2312999999999999E-10</v>
      </c>
      <c r="F8" s="1">
        <v>2.9833E-12</v>
      </c>
      <c r="G8" s="1">
        <v>5.2234000000000002E-16</v>
      </c>
      <c r="H8" s="1">
        <v>6.6673000000000003E-13</v>
      </c>
      <c r="I8" s="1">
        <v>5.4376E-13</v>
      </c>
      <c r="J8" s="8"/>
      <c r="K8" s="1"/>
      <c r="L8" s="1"/>
      <c r="M8" s="1"/>
      <c r="N8" s="7"/>
      <c r="O8">
        <f t="shared" si="4"/>
        <v>0.21613333333333334</v>
      </c>
      <c r="P8" s="6">
        <f t="shared" si="5"/>
        <v>99.974129371219249</v>
      </c>
      <c r="Q8" s="6">
        <f t="shared" si="0"/>
        <v>2.8659771627464141</v>
      </c>
      <c r="R8" s="6">
        <f t="shared" si="1"/>
        <v>0.42736655767930104</v>
      </c>
      <c r="S8" s="5">
        <f t="shared" si="2"/>
        <v>0</v>
      </c>
      <c r="T8" s="6">
        <f t="shared" si="3"/>
        <v>96.680785650793538</v>
      </c>
      <c r="U8" s="1">
        <f t="shared" si="3"/>
        <v>96.680785650793538</v>
      </c>
      <c r="V8" s="1">
        <f t="shared" si="3"/>
        <v>96.680785650793538</v>
      </c>
      <c r="X8" s="9"/>
      <c r="Y8" s="2">
        <f>Y4/$Y$4*100</f>
        <v>100</v>
      </c>
      <c r="Z8" s="10">
        <f>Z4/$Y$4*100</f>
        <v>29.783171962361926</v>
      </c>
      <c r="AA8" s="10">
        <f>AA4/$Y$4*100</f>
        <v>52.188735851629616</v>
      </c>
      <c r="AB8" s="10">
        <f>AB4/$Y$4*100</f>
        <v>0</v>
      </c>
      <c r="AC8" s="10">
        <f>AC4/$Y$4*100</f>
        <v>18.028092186008454</v>
      </c>
      <c r="AD8" s="1"/>
      <c r="AE8" s="1"/>
      <c r="AF8" s="1" t="s">
        <v>20</v>
      </c>
      <c r="AG8" s="1">
        <v>0</v>
      </c>
      <c r="AH8" s="1">
        <v>0</v>
      </c>
      <c r="AI8" s="1" t="s">
        <v>49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>
      <c r="B9" s="7">
        <v>15.241</v>
      </c>
      <c r="C9" s="8">
        <v>1.2282E-10</v>
      </c>
      <c r="D9" s="8">
        <v>1.2282E-10</v>
      </c>
      <c r="E9" s="8">
        <v>1.2282E-10</v>
      </c>
      <c r="F9" s="1">
        <v>2.9744999999999999E-12</v>
      </c>
      <c r="G9" s="1">
        <v>5.6670000000000002E-16</v>
      </c>
      <c r="H9" s="1">
        <v>7.9506999999999996E-13</v>
      </c>
      <c r="I9" s="1">
        <v>7.3521999999999997E-13</v>
      </c>
      <c r="J9" s="8"/>
      <c r="K9" s="1"/>
      <c r="L9" s="1"/>
      <c r="M9" s="1"/>
      <c r="N9" s="7"/>
      <c r="O9">
        <f t="shared" si="4"/>
        <v>0.25401666666666667</v>
      </c>
      <c r="P9" s="6">
        <f t="shared" si="5"/>
        <v>99.974949395139504</v>
      </c>
      <c r="Q9" s="6">
        <f t="shared" si="0"/>
        <v>2.9598391063563856</v>
      </c>
      <c r="R9" s="6">
        <f t="shared" si="1"/>
        <v>0.57773439638922053</v>
      </c>
      <c r="S9" s="5">
        <f t="shared" si="2"/>
        <v>0</v>
      </c>
      <c r="T9" s="6">
        <f t="shared" si="3"/>
        <v>96.437375892393902</v>
      </c>
      <c r="U9" s="1">
        <f t="shared" si="3"/>
        <v>96.437375892393902</v>
      </c>
      <c r="V9" s="1">
        <f t="shared" si="3"/>
        <v>96.437375892393902</v>
      </c>
      <c r="X9" s="9"/>
      <c r="Y9" s="2"/>
      <c r="Z9" s="2"/>
      <c r="AA9" s="2"/>
      <c r="AB9" s="2"/>
      <c r="AC9" s="2"/>
      <c r="AD9" s="1"/>
      <c r="AE9" s="1"/>
      <c r="AF9" s="1" t="s">
        <v>22</v>
      </c>
      <c r="AG9" s="1">
        <v>0</v>
      </c>
      <c r="AH9" s="1">
        <v>0</v>
      </c>
      <c r="AI9" s="1" t="s">
        <v>50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8" thickBot="1">
      <c r="B10" s="7">
        <v>17.513000000000002</v>
      </c>
      <c r="C10" s="8">
        <v>1.2249999999999999E-10</v>
      </c>
      <c r="D10" s="8">
        <v>1.2249999999999999E-10</v>
      </c>
      <c r="E10" s="8">
        <v>1.2249999999999999E-10</v>
      </c>
      <c r="F10" s="1">
        <v>2.9658000000000001E-12</v>
      </c>
      <c r="G10" s="1">
        <v>5.9624E-16</v>
      </c>
      <c r="H10" s="1">
        <v>9.2316999999999999E-13</v>
      </c>
      <c r="I10" s="1">
        <v>9.3887999999999993E-13</v>
      </c>
      <c r="J10" s="8"/>
      <c r="K10" s="1"/>
      <c r="L10" s="1"/>
      <c r="M10" s="1"/>
      <c r="N10" s="7"/>
      <c r="O10">
        <f t="shared" si="4"/>
        <v>0.29188333333333338</v>
      </c>
      <c r="P10" s="6">
        <f t="shared" si="5"/>
        <v>99.977375279607145</v>
      </c>
      <c r="Q10" s="6">
        <f t="shared" si="0"/>
        <v>3.0535911229786938</v>
      </c>
      <c r="R10" s="6">
        <f t="shared" si="1"/>
        <v>0.7376699503244819</v>
      </c>
      <c r="S10" s="5">
        <f t="shared" si="2"/>
        <v>0</v>
      </c>
      <c r="T10" s="6">
        <f t="shared" si="3"/>
        <v>96.186114206303969</v>
      </c>
      <c r="U10" s="1">
        <f t="shared" si="3"/>
        <v>96.186114206303969</v>
      </c>
      <c r="V10" s="1">
        <f t="shared" si="3"/>
        <v>96.186114206303969</v>
      </c>
      <c r="X10" s="9"/>
      <c r="Y10" s="2"/>
      <c r="Z10" s="2"/>
      <c r="AA10" s="2"/>
      <c r="AB10" s="2"/>
      <c r="AC10" s="2"/>
      <c r="AD10" s="1"/>
      <c r="AE10" s="1"/>
      <c r="AF10" s="1" t="s">
        <v>24</v>
      </c>
      <c r="AG10" s="1">
        <v>0</v>
      </c>
      <c r="AH10" s="1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>
      <c r="B11" s="7">
        <v>19.786000000000001</v>
      </c>
      <c r="C11" s="8">
        <v>1.2218000000000001E-10</v>
      </c>
      <c r="D11" s="8">
        <v>1.2218000000000001E-10</v>
      </c>
      <c r="E11" s="8">
        <v>1.2218000000000001E-10</v>
      </c>
      <c r="F11" s="1">
        <v>2.9572999999999999E-12</v>
      </c>
      <c r="G11" s="1">
        <v>6.1519000000000004E-16</v>
      </c>
      <c r="H11" s="1">
        <v>1.0510000000000001E-12</v>
      </c>
      <c r="I11" s="1">
        <v>1.1506999999999999E-12</v>
      </c>
      <c r="J11" s="8"/>
      <c r="K11" s="1"/>
      <c r="L11" s="1"/>
      <c r="M11" s="1"/>
      <c r="N11" s="7"/>
      <c r="O11">
        <f t="shared" si="4"/>
        <v>0.32976666666666671</v>
      </c>
      <c r="P11" s="6">
        <f t="shared" si="5"/>
        <v>99.986145058384821</v>
      </c>
      <c r="Q11" s="6">
        <f t="shared" si="0"/>
        <v>3.1472881761071694</v>
      </c>
      <c r="R11" s="6">
        <f t="shared" si="1"/>
        <v>0.90400436206361268</v>
      </c>
      <c r="S11" s="5">
        <f t="shared" si="2"/>
        <v>0</v>
      </c>
      <c r="T11" s="6">
        <f t="shared" si="3"/>
        <v>95.934852520214037</v>
      </c>
      <c r="U11" s="1">
        <f t="shared" si="3"/>
        <v>95.934852520214037</v>
      </c>
      <c r="V11" s="1">
        <f t="shared" si="3"/>
        <v>95.934852520214037</v>
      </c>
      <c r="X11" s="9"/>
      <c r="Y11" s="2"/>
      <c r="Z11" s="2"/>
      <c r="AA11" s="16"/>
      <c r="AB11" s="11" t="s">
        <v>33</v>
      </c>
      <c r="AC11" s="2"/>
      <c r="AD11" s="1"/>
      <c r="AE11" s="1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B12" s="7">
        <v>22.058</v>
      </c>
      <c r="C12" s="8">
        <v>1.2185E-10</v>
      </c>
      <c r="D12" s="8">
        <v>1.2185E-10</v>
      </c>
      <c r="E12" s="8">
        <v>1.2185E-10</v>
      </c>
      <c r="F12" s="1">
        <v>2.9488000000000001E-12</v>
      </c>
      <c r="G12" s="1">
        <v>6.2631999999999999E-16</v>
      </c>
      <c r="H12" s="1">
        <v>1.1786E-12</v>
      </c>
      <c r="I12" s="1">
        <v>1.3678000000000001E-12</v>
      </c>
      <c r="J12" s="8"/>
      <c r="K12" s="1"/>
      <c r="L12" s="1"/>
      <c r="M12" s="1"/>
      <c r="N12" s="7"/>
      <c r="O12">
        <f t="shared" si="4"/>
        <v>0.36763333333333331</v>
      </c>
      <c r="P12" s="6">
        <f t="shared" si="5"/>
        <v>99.99102199274833</v>
      </c>
      <c r="Q12" s="6">
        <f t="shared" si="0"/>
        <v>3.2408046348987676</v>
      </c>
      <c r="R12" s="6">
        <f t="shared" si="1"/>
        <v>1.0744784514157735</v>
      </c>
      <c r="S12" s="5">
        <f t="shared" si="2"/>
        <v>0</v>
      </c>
      <c r="T12" s="6">
        <f t="shared" si="3"/>
        <v>95.675738906433779</v>
      </c>
      <c r="U12" s="1">
        <f t="shared" si="3"/>
        <v>95.675738906433779</v>
      </c>
      <c r="V12" s="1">
        <f t="shared" si="3"/>
        <v>95.675738906433779</v>
      </c>
      <c r="X12" s="9"/>
      <c r="Y12" s="2"/>
      <c r="Z12" s="2"/>
      <c r="AA12" s="12" t="s">
        <v>32</v>
      </c>
      <c r="AB12" s="17">
        <f>AC8</f>
        <v>18.028092186008454</v>
      </c>
      <c r="AC12" s="2"/>
      <c r="AD12" s="1"/>
      <c r="AE12" s="1"/>
      <c r="AF12" s="1" t="s">
        <v>51</v>
      </c>
      <c r="AG12" s="1" t="s">
        <v>52</v>
      </c>
      <c r="AH12" s="1" t="s">
        <v>53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>
      <c r="B13" s="7">
        <v>26.603000000000002</v>
      </c>
      <c r="C13" s="8">
        <v>1.2117000000000001E-10</v>
      </c>
      <c r="D13" s="8">
        <v>1.2117000000000001E-10</v>
      </c>
      <c r="E13" s="8">
        <v>1.2117000000000001E-10</v>
      </c>
      <c r="F13" s="1">
        <v>2.9321E-12</v>
      </c>
      <c r="G13" s="1">
        <v>6.2876999999999996E-16</v>
      </c>
      <c r="H13" s="1">
        <v>1.4329000000000001E-12</v>
      </c>
      <c r="I13" s="1">
        <v>1.8109000000000001E-12</v>
      </c>
      <c r="J13" s="8"/>
      <c r="K13" s="1"/>
      <c r="L13" s="1"/>
      <c r="M13" s="1"/>
      <c r="N13" s="7"/>
      <c r="O13">
        <f t="shared" si="4"/>
        <v>0.44338333333333335</v>
      </c>
      <c r="P13" s="6">
        <f t="shared" si="5"/>
        <v>99.991573551408948</v>
      </c>
      <c r="Q13" s="6">
        <f t="shared" si="0"/>
        <v>3.4273664368205456</v>
      </c>
      <c r="R13" s="6">
        <f t="shared" si="1"/>
        <v>1.4223992910957173</v>
      </c>
      <c r="S13" s="5">
        <f t="shared" si="2"/>
        <v>0</v>
      </c>
      <c r="T13" s="6">
        <f t="shared" si="3"/>
        <v>95.14180782349267</v>
      </c>
      <c r="U13" s="1">
        <f t="shared" si="3"/>
        <v>95.14180782349267</v>
      </c>
      <c r="V13" s="1">
        <f t="shared" si="3"/>
        <v>95.14180782349267</v>
      </c>
      <c r="X13" s="9"/>
      <c r="Y13" s="2"/>
      <c r="Z13" s="2"/>
      <c r="AA13" s="13" t="s">
        <v>31</v>
      </c>
      <c r="AB13" s="18">
        <f>AA8</f>
        <v>52.188735851629616</v>
      </c>
      <c r="AC13" s="2"/>
      <c r="AD13" s="1"/>
      <c r="AE13" s="1"/>
      <c r="AF13" s="1" t="s">
        <v>54</v>
      </c>
      <c r="AG13" s="1" t="s">
        <v>55</v>
      </c>
      <c r="AH13" s="1" t="s">
        <v>56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>
      <c r="B14" s="7">
        <v>31.148</v>
      </c>
      <c r="C14" s="8">
        <v>1.205E-10</v>
      </c>
      <c r="D14" s="8">
        <v>1.205E-10</v>
      </c>
      <c r="E14" s="8">
        <v>1.205E-10</v>
      </c>
      <c r="F14" s="1">
        <v>2.9155999999999998E-12</v>
      </c>
      <c r="G14" s="1">
        <v>6.3103000000000002E-16</v>
      </c>
      <c r="H14" s="1">
        <v>1.6858999999999999E-12</v>
      </c>
      <c r="I14" s="1">
        <v>2.2600000000000001E-12</v>
      </c>
      <c r="J14" s="8"/>
      <c r="K14" s="1"/>
      <c r="L14" s="1"/>
      <c r="M14" s="1"/>
      <c r="N14" s="7"/>
      <c r="O14">
        <f t="shared" si="4"/>
        <v>0.51913333333333334</v>
      </c>
      <c r="P14" s="6">
        <f t="shared" si="5"/>
        <v>100.00382433314145</v>
      </c>
      <c r="Q14" s="6">
        <f t="shared" si="0"/>
        <v>3.6130645266963892</v>
      </c>
      <c r="R14" s="6">
        <f t="shared" si="1"/>
        <v>1.7750311382032213</v>
      </c>
      <c r="S14" s="5">
        <f t="shared" si="2"/>
        <v>0</v>
      </c>
      <c r="T14" s="6">
        <f t="shared" si="3"/>
        <v>94.615728668241857</v>
      </c>
      <c r="U14" s="1">
        <f t="shared" si="3"/>
        <v>94.615728668241857</v>
      </c>
      <c r="V14" s="1">
        <f t="shared" si="3"/>
        <v>94.615728668241857</v>
      </c>
      <c r="X14" s="9"/>
      <c r="Y14" s="2"/>
      <c r="Z14" s="2"/>
      <c r="AA14" s="14" t="s">
        <v>30</v>
      </c>
      <c r="AB14" s="19">
        <f>Z8</f>
        <v>29.783171962361926</v>
      </c>
      <c r="AC14" s="2"/>
      <c r="AD14" s="1"/>
      <c r="AE14" s="1"/>
      <c r="AF14" s="1" t="s">
        <v>57</v>
      </c>
      <c r="AG14" s="1" t="s">
        <v>58</v>
      </c>
      <c r="AH14" s="1" t="s">
        <v>59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8" thickBot="1">
      <c r="B15" s="7">
        <v>35.692999999999998</v>
      </c>
      <c r="C15" s="8">
        <v>1.1982000000000001E-10</v>
      </c>
      <c r="D15" s="8">
        <v>1.1982000000000001E-10</v>
      </c>
      <c r="E15" s="8">
        <v>1.1982000000000001E-10</v>
      </c>
      <c r="F15" s="1">
        <v>2.8991E-12</v>
      </c>
      <c r="G15" s="1">
        <v>6.3920000000000001E-16</v>
      </c>
      <c r="H15" s="1">
        <v>1.9376000000000001E-12</v>
      </c>
      <c r="I15" s="1">
        <v>2.7106000000000002E-12</v>
      </c>
      <c r="J15" s="8"/>
      <c r="K15" s="1"/>
      <c r="L15" s="1"/>
      <c r="M15" s="1"/>
      <c r="N15" s="7"/>
      <c r="O15">
        <f t="shared" si="4"/>
        <v>0.59488333333333332</v>
      </c>
      <c r="P15" s="6">
        <f t="shared" si="5"/>
        <v>100.00838486622679</v>
      </c>
      <c r="Q15" s="6">
        <f t="shared" si="0"/>
        <v>3.7977418659724935</v>
      </c>
      <c r="R15" s="6">
        <f t="shared" si="1"/>
        <v>2.1288454149535365</v>
      </c>
      <c r="S15" s="5">
        <f t="shared" si="2"/>
        <v>0</v>
      </c>
      <c r="T15" s="6">
        <f t="shared" si="3"/>
        <v>94.081797585300748</v>
      </c>
      <c r="U15" s="1">
        <f t="shared" si="3"/>
        <v>94.081797585300748</v>
      </c>
      <c r="V15" s="1">
        <f t="shared" si="3"/>
        <v>94.081797585300748</v>
      </c>
      <c r="X15" s="1"/>
      <c r="Y15" s="5"/>
      <c r="Z15" s="1"/>
      <c r="AA15" s="15" t="s">
        <v>11</v>
      </c>
      <c r="AB15" s="20">
        <f>AB8</f>
        <v>0</v>
      </c>
      <c r="AC15" s="1"/>
      <c r="AD15" s="1"/>
      <c r="AE15" s="1"/>
      <c r="AF15" s="1" t="s">
        <v>19</v>
      </c>
      <c r="AG15" s="1">
        <v>0.1</v>
      </c>
      <c r="AH15" s="1">
        <v>0.1</v>
      </c>
      <c r="AI15" s="1" t="s">
        <v>47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>
      <c r="B16" s="7">
        <v>40.238</v>
      </c>
      <c r="C16" s="8">
        <v>1.1913999999999999E-10</v>
      </c>
      <c r="D16" s="8">
        <v>1.1913999999999999E-10</v>
      </c>
      <c r="E16" s="8">
        <v>1.1913999999999999E-10</v>
      </c>
      <c r="F16" s="1">
        <v>2.8828000000000002E-12</v>
      </c>
      <c r="G16" s="1">
        <v>6.4027000000000005E-16</v>
      </c>
      <c r="H16" s="1">
        <v>2.1879E-12</v>
      </c>
      <c r="I16" s="1">
        <v>3.1604000000000001E-12</v>
      </c>
      <c r="J16" s="8"/>
      <c r="K16" s="1"/>
      <c r="L16" s="1"/>
      <c r="M16" s="1"/>
      <c r="N16" s="7"/>
      <c r="O16">
        <f t="shared" si="4"/>
        <v>0.6706333333333333</v>
      </c>
      <c r="P16" s="6">
        <f t="shared" si="5"/>
        <v>100.01136943890536</v>
      </c>
      <c r="Q16" s="6">
        <f t="shared" si="0"/>
        <v>3.9814769739257598</v>
      </c>
      <c r="R16" s="6">
        <f t="shared" si="1"/>
        <v>2.4820259626199674</v>
      </c>
      <c r="S16" s="5">
        <f t="shared" si="2"/>
        <v>0</v>
      </c>
      <c r="T16" s="6">
        <f t="shared" si="3"/>
        <v>93.547866502359625</v>
      </c>
      <c r="U16" s="1">
        <f t="shared" si="3"/>
        <v>93.547866502359625</v>
      </c>
      <c r="V16" s="1">
        <f t="shared" si="3"/>
        <v>93.547866502359625</v>
      </c>
      <c r="X16" s="1"/>
      <c r="AD16" s="1"/>
      <c r="AE16" s="1"/>
      <c r="AF16" s="1" t="s">
        <v>63</v>
      </c>
      <c r="AG16" s="1" t="s">
        <v>64</v>
      </c>
      <c r="AH16" s="1" t="s">
        <v>65</v>
      </c>
      <c r="AI16" s="1" t="s">
        <v>66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>
      <c r="B17" s="7">
        <v>49.328000000000003</v>
      </c>
      <c r="C17" s="8">
        <v>1.178E-10</v>
      </c>
      <c r="D17" s="8">
        <v>1.178E-10</v>
      </c>
      <c r="E17" s="8">
        <v>1.178E-10</v>
      </c>
      <c r="F17" s="1">
        <v>2.8504000000000001E-12</v>
      </c>
      <c r="G17" s="1">
        <v>6.1985E-16</v>
      </c>
      <c r="H17" s="1">
        <v>2.6845000000000001E-12</v>
      </c>
      <c r="I17" s="1">
        <v>4.0533999999999997E-12</v>
      </c>
      <c r="J17" s="8"/>
      <c r="K17" s="1"/>
      <c r="L17" s="1"/>
      <c r="M17" s="1"/>
      <c r="N17" s="7"/>
      <c r="O17">
        <f t="shared" si="4"/>
        <v>0.82213333333333338</v>
      </c>
      <c r="P17" s="6">
        <f t="shared" si="5"/>
        <v>100.02485872089635</v>
      </c>
      <c r="Q17" s="6">
        <f t="shared" si="0"/>
        <v>4.3459634573099741</v>
      </c>
      <c r="R17" s="6">
        <f t="shared" si="1"/>
        <v>3.1831870717283528</v>
      </c>
      <c r="S17" s="5">
        <f t="shared" si="2"/>
        <v>0</v>
      </c>
      <c r="T17" s="6">
        <f t="shared" si="3"/>
        <v>92.495708191858014</v>
      </c>
      <c r="U17" s="1">
        <f t="shared" si="3"/>
        <v>92.495708191858014</v>
      </c>
      <c r="V17" s="1">
        <f t="shared" si="3"/>
        <v>92.495708191858014</v>
      </c>
      <c r="X17" s="5"/>
      <c r="Y17" s="5"/>
      <c r="Z17" s="5"/>
      <c r="AA17" s="5"/>
      <c r="AB17" s="5"/>
      <c r="AC17" s="1"/>
      <c r="AD17" s="5"/>
      <c r="AE17" s="5"/>
      <c r="AF17" s="1" t="s">
        <v>67</v>
      </c>
      <c r="AG17" s="1">
        <v>0.7</v>
      </c>
      <c r="AH17" s="1">
        <v>0.7</v>
      </c>
      <c r="AI17" s="1" t="s">
        <v>68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>
      <c r="B18" s="7">
        <v>67.507000000000005</v>
      </c>
      <c r="C18" s="8">
        <v>1.1519E-10</v>
      </c>
      <c r="D18" s="8">
        <v>1.1519E-10</v>
      </c>
      <c r="E18" s="8">
        <v>1.1519E-10</v>
      </c>
      <c r="F18" s="1">
        <v>2.7872000000000001E-12</v>
      </c>
      <c r="G18" s="1">
        <v>6.0776000000000004E-16</v>
      </c>
      <c r="H18" s="1">
        <v>3.6611999999999998E-12</v>
      </c>
      <c r="I18" s="1">
        <v>5.8095999999999998E-12</v>
      </c>
      <c r="J18" s="8"/>
      <c r="K18" s="1"/>
      <c r="L18" s="1"/>
      <c r="M18" s="1"/>
      <c r="N18" s="7"/>
      <c r="O18">
        <f t="shared" si="4"/>
        <v>1.1251166666666668</v>
      </c>
      <c r="P18" s="6">
        <f t="shared" si="5"/>
        <v>100.07172523622694</v>
      </c>
      <c r="Q18" s="6">
        <f t="shared" si="0"/>
        <v>5.0632370518198409</v>
      </c>
      <c r="R18" s="6">
        <f t="shared" si="1"/>
        <v>4.5621331197201105</v>
      </c>
      <c r="S18" s="5">
        <f t="shared" si="2"/>
        <v>0</v>
      </c>
      <c r="T18" s="6">
        <f t="shared" ref="T18:V81" si="6">C18/$A$1*100</f>
        <v>90.446355064686983</v>
      </c>
      <c r="U18" s="1">
        <f t="shared" si="6"/>
        <v>90.446355064686983</v>
      </c>
      <c r="V18" s="1">
        <f t="shared" si="6"/>
        <v>90.446355064686983</v>
      </c>
      <c r="X18" s="5"/>
      <c r="Y18" s="5"/>
      <c r="Z18" s="5"/>
      <c r="AA18" s="5"/>
      <c r="AB18" s="5"/>
      <c r="AC18" s="1"/>
      <c r="AD18" s="5"/>
      <c r="AE18" s="5"/>
      <c r="AF18" t="s">
        <v>69</v>
      </c>
      <c r="AG18" s="1" t="s">
        <v>70</v>
      </c>
      <c r="AH18" s="1" t="s">
        <v>71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>
      <c r="B19" s="7">
        <v>103.87</v>
      </c>
      <c r="C19" s="8">
        <v>1.1019E-10</v>
      </c>
      <c r="D19" s="8">
        <v>1.1019E-10</v>
      </c>
      <c r="E19" s="8">
        <v>1.1019E-10</v>
      </c>
      <c r="F19" s="1">
        <v>2.6663000000000001E-12</v>
      </c>
      <c r="G19" s="1">
        <v>5.9342999999999996E-16</v>
      </c>
      <c r="H19" s="1">
        <v>5.5510000000000001E-12</v>
      </c>
      <c r="I19" s="1">
        <v>9.2073999999999997E-12</v>
      </c>
      <c r="J19" s="8"/>
      <c r="K19" s="1"/>
      <c r="L19" s="1"/>
      <c r="M19" s="1"/>
      <c r="N19" s="7"/>
      <c r="O19">
        <f t="shared" si="4"/>
        <v>1.7311666666666667</v>
      </c>
      <c r="P19" s="6">
        <f t="shared" si="5"/>
        <v>100.20260561901202</v>
      </c>
      <c r="Q19" s="6">
        <f t="shared" si="0"/>
        <v>6.4521645409588713</v>
      </c>
      <c r="R19" s="6">
        <f t="shared" si="1"/>
        <v>7.2300498585214426</v>
      </c>
      <c r="S19" s="5">
        <f t="shared" si="2"/>
        <v>0</v>
      </c>
      <c r="T19" s="6">
        <f t="shared" si="6"/>
        <v>86.520391219531717</v>
      </c>
      <c r="U19" s="1">
        <f t="shared" si="6"/>
        <v>86.520391219531717</v>
      </c>
      <c r="V19" s="1">
        <f t="shared" si="6"/>
        <v>86.520391219531717</v>
      </c>
      <c r="X19" s="5"/>
      <c r="Y19" s="5"/>
      <c r="Z19" s="5"/>
      <c r="AA19" s="5"/>
      <c r="AB19" s="5"/>
      <c r="AC19" s="1"/>
      <c r="AD19" s="5"/>
      <c r="AE19" s="5"/>
      <c r="AF19" t="s">
        <v>72</v>
      </c>
      <c r="AG19" s="1" t="s">
        <v>73</v>
      </c>
      <c r="AH19" s="1" t="s">
        <v>74</v>
      </c>
      <c r="AI19" s="1" t="s">
        <v>75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>
      <c r="B20" s="7">
        <v>140.22999999999999</v>
      </c>
      <c r="C20" s="8">
        <v>1.0541E-10</v>
      </c>
      <c r="D20" s="8">
        <v>1.0541E-10</v>
      </c>
      <c r="E20" s="8">
        <v>1.0541E-10</v>
      </c>
      <c r="F20" s="1">
        <v>2.5506000000000001E-12</v>
      </c>
      <c r="G20" s="1">
        <v>5.6963000000000005E-16</v>
      </c>
      <c r="H20" s="1">
        <v>7.3587999999999997E-12</v>
      </c>
      <c r="I20" s="1">
        <v>1.2458999999999999E-11</v>
      </c>
      <c r="J20" s="8"/>
      <c r="K20" s="1"/>
      <c r="L20" s="1"/>
      <c r="M20" s="1"/>
      <c r="N20" s="7"/>
      <c r="O20">
        <f t="shared" si="4"/>
        <v>2.3371666666666666</v>
      </c>
      <c r="P20" s="6">
        <f t="shared" si="5"/>
        <v>100.33112298771449</v>
      </c>
      <c r="Q20" s="6">
        <f t="shared" si="0"/>
        <v>7.7807892254363162</v>
      </c>
      <c r="R20" s="6">
        <f t="shared" si="1"/>
        <v>9.7831639787149101</v>
      </c>
      <c r="S20" s="5">
        <f t="shared" si="2"/>
        <v>0</v>
      </c>
      <c r="T20" s="6">
        <f t="shared" si="6"/>
        <v>82.767169783563276</v>
      </c>
      <c r="U20" s="1">
        <f t="shared" si="6"/>
        <v>82.767169783563276</v>
      </c>
      <c r="V20" s="1">
        <f t="shared" si="6"/>
        <v>82.767169783563276</v>
      </c>
      <c r="X20" s="5"/>
      <c r="Y20" s="5"/>
      <c r="Z20" s="5"/>
      <c r="AA20" s="5"/>
      <c r="AB20" s="5"/>
      <c r="AC20" s="1"/>
      <c r="AD20" s="5"/>
      <c r="AE20" s="5"/>
      <c r="AF20" t="s">
        <v>76</v>
      </c>
      <c r="AG20" s="1" t="s">
        <v>77</v>
      </c>
      <c r="AH20" s="1" t="s">
        <v>78</v>
      </c>
      <c r="AI20" s="1" t="s">
        <v>79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>
      <c r="B21" s="7">
        <v>212.94</v>
      </c>
      <c r="C21" s="8">
        <v>9.6640000000000002E-11</v>
      </c>
      <c r="D21" s="8">
        <v>9.6640000000000002E-11</v>
      </c>
      <c r="E21" s="8">
        <v>9.6640000000000002E-11</v>
      </c>
      <c r="F21" s="1">
        <v>2.3383999999999998E-12</v>
      </c>
      <c r="G21" s="1">
        <v>5.2394999999999996E-16</v>
      </c>
      <c r="H21" s="1">
        <v>1.0747E-11</v>
      </c>
      <c r="I21" s="1">
        <v>1.8553999999999999E-11</v>
      </c>
      <c r="J21" s="8"/>
      <c r="K21" s="1"/>
      <c r="L21" s="1"/>
      <c r="M21" s="1"/>
      <c r="N21" s="7"/>
      <c r="O21">
        <f t="shared" si="4"/>
        <v>3.5489999999999999</v>
      </c>
      <c r="P21" s="6">
        <f t="shared" si="5"/>
        <v>100.72446869739338</v>
      </c>
      <c r="Q21" s="6">
        <f t="shared" si="0"/>
        <v>10.274561459878939</v>
      </c>
      <c r="R21" s="6">
        <f t="shared" si="1"/>
        <v>14.568878038353485</v>
      </c>
      <c r="S21" s="5">
        <f t="shared" si="2"/>
        <v>0</v>
      </c>
      <c r="T21" s="6">
        <f t="shared" si="6"/>
        <v>75.881029199160949</v>
      </c>
      <c r="U21" s="1">
        <f t="shared" si="6"/>
        <v>75.881029199160949</v>
      </c>
      <c r="V21" s="1">
        <f t="shared" si="6"/>
        <v>75.881029199160949</v>
      </c>
      <c r="X21" s="5"/>
      <c r="Y21" s="5"/>
      <c r="Z21" s="5"/>
      <c r="AA21" s="5"/>
      <c r="AB21" s="5"/>
      <c r="AC21" s="1"/>
      <c r="AD21" s="5"/>
      <c r="AE21" s="5"/>
      <c r="AF21" t="s">
        <v>80</v>
      </c>
      <c r="AG21" s="1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49"/>
      <c r="AW21" s="49"/>
      <c r="AX21" s="49"/>
      <c r="AY21" s="49"/>
      <c r="AZ21" s="49"/>
      <c r="BA21" s="49"/>
      <c r="BB21" s="49"/>
      <c r="BC21" s="49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>
      <c r="B22" s="7">
        <v>278.39</v>
      </c>
      <c r="C22" s="8">
        <v>8.9342999999999998E-11</v>
      </c>
      <c r="D22" s="8">
        <v>8.9342999999999998E-11</v>
      </c>
      <c r="E22" s="8">
        <v>8.9342999999999998E-11</v>
      </c>
      <c r="F22" s="1">
        <v>2.1617999999999999E-12</v>
      </c>
      <c r="G22" s="1">
        <v>4.8406000000000002E-16</v>
      </c>
      <c r="H22" s="1">
        <v>1.3554E-11</v>
      </c>
      <c r="I22" s="1">
        <v>2.3604E-11</v>
      </c>
      <c r="J22" s="8"/>
      <c r="K22" s="1"/>
      <c r="L22" s="1"/>
      <c r="M22" s="1"/>
      <c r="N22" s="7"/>
      <c r="O22">
        <f t="shared" si="4"/>
        <v>4.6398333333333328</v>
      </c>
      <c r="P22" s="6">
        <f t="shared" si="5"/>
        <v>101.0254802837003</v>
      </c>
      <c r="Q22" s="6">
        <f t="shared" si="0"/>
        <v>12.33993251953822</v>
      </c>
      <c r="R22" s="6">
        <f t="shared" si="1"/>
        <v>18.534070200620747</v>
      </c>
      <c r="S22" s="5">
        <f t="shared" si="2"/>
        <v>0</v>
      </c>
      <c r="T22" s="6">
        <f t="shared" si="6"/>
        <v>70.151477563541349</v>
      </c>
      <c r="U22" s="1">
        <f t="shared" si="6"/>
        <v>70.151477563541349</v>
      </c>
      <c r="V22" s="1">
        <f t="shared" si="6"/>
        <v>70.151477563541349</v>
      </c>
      <c r="X22" s="5"/>
      <c r="Y22" s="5"/>
      <c r="Z22" s="5"/>
      <c r="AA22" s="5"/>
      <c r="AB22" s="5"/>
      <c r="AC22" s="1"/>
      <c r="AD22" s="5"/>
      <c r="AE22" s="5"/>
      <c r="AF22" s="1" t="s">
        <v>144</v>
      </c>
      <c r="AG22" s="1" t="s">
        <v>145</v>
      </c>
      <c r="AH22" s="1" t="s">
        <v>146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>
      <c r="B23" s="7">
        <v>343.84</v>
      </c>
      <c r="C23" s="8">
        <v>8.2597000000000004E-11</v>
      </c>
      <c r="D23" s="8">
        <v>8.2597000000000004E-11</v>
      </c>
      <c r="E23" s="8">
        <v>8.2597000000000004E-11</v>
      </c>
      <c r="F23" s="1">
        <v>1.9986E-12</v>
      </c>
      <c r="G23" s="1">
        <v>4.4745E-16</v>
      </c>
      <c r="H23" s="1">
        <v>1.6149000000000002E-11</v>
      </c>
      <c r="I23" s="1">
        <v>2.8272000000000001E-11</v>
      </c>
      <c r="J23" s="8"/>
      <c r="K23" s="1"/>
      <c r="L23" s="1"/>
      <c r="M23" s="1"/>
      <c r="N23" s="7"/>
      <c r="O23">
        <f t="shared" si="4"/>
        <v>5.7306666666666661</v>
      </c>
      <c r="P23" s="6">
        <f t="shared" si="5"/>
        <v>101.30325273947622</v>
      </c>
      <c r="Q23" s="6">
        <f t="shared" si="0"/>
        <v>14.249364295267936</v>
      </c>
      <c r="R23" s="6">
        <f t="shared" si="1"/>
        <v>22.19932130055043</v>
      </c>
      <c r="S23" s="5">
        <f t="shared" si="2"/>
        <v>0</v>
      </c>
      <c r="T23" s="6">
        <f t="shared" si="6"/>
        <v>64.854567143657874</v>
      </c>
      <c r="U23" s="1">
        <f t="shared" si="6"/>
        <v>64.854567143657874</v>
      </c>
      <c r="V23" s="1">
        <f t="shared" si="6"/>
        <v>64.854567143657874</v>
      </c>
      <c r="X23" s="5"/>
      <c r="Y23" s="5"/>
      <c r="Z23" s="5"/>
      <c r="AA23" s="5"/>
      <c r="AB23" s="5"/>
      <c r="AC23" s="1"/>
      <c r="AD23" s="5"/>
      <c r="AE23" s="5"/>
      <c r="AF23" s="1" t="s">
        <v>147</v>
      </c>
      <c r="AG23" s="1" t="s">
        <v>150</v>
      </c>
      <c r="AH23" s="1" t="s">
        <v>151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>
      <c r="B24" s="7">
        <v>409.28</v>
      </c>
      <c r="C24" s="8">
        <v>7.6359999999999995E-11</v>
      </c>
      <c r="D24" s="8">
        <v>7.6359999999999995E-11</v>
      </c>
      <c r="E24" s="8">
        <v>7.6359999999999995E-11</v>
      </c>
      <c r="F24" s="1">
        <v>1.8476999999999999E-12</v>
      </c>
      <c r="G24" s="1">
        <v>4.1389000000000001E-16</v>
      </c>
      <c r="H24" s="1">
        <v>1.8549000000000001E-11</v>
      </c>
      <c r="I24" s="1">
        <v>3.2588000000000003E-11</v>
      </c>
      <c r="J24" s="8"/>
      <c r="K24" s="1"/>
      <c r="L24" s="1"/>
      <c r="M24" s="1"/>
      <c r="N24" s="7"/>
      <c r="O24">
        <f t="shared" si="4"/>
        <v>6.8213333333333326</v>
      </c>
      <c r="P24" s="6">
        <f t="shared" si="5"/>
        <v>101.56084813592598</v>
      </c>
      <c r="Q24" s="6">
        <f t="shared" si="0"/>
        <v>16.015341352095675</v>
      </c>
      <c r="R24" s="6">
        <f t="shared" si="1"/>
        <v>25.588186940619124</v>
      </c>
      <c r="S24" s="5">
        <f t="shared" si="2"/>
        <v>0</v>
      </c>
      <c r="T24" s="6">
        <f t="shared" si="6"/>
        <v>59.957319843211188</v>
      </c>
      <c r="U24" s="1">
        <f t="shared" si="6"/>
        <v>59.957319843211188</v>
      </c>
      <c r="V24" s="1">
        <f t="shared" si="6"/>
        <v>59.957319843211188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>
      <c r="B25" s="7">
        <v>540.17999999999995</v>
      </c>
      <c r="C25" s="8">
        <v>6.4969000000000001E-11</v>
      </c>
      <c r="D25" s="8">
        <v>6.4969000000000001E-11</v>
      </c>
      <c r="E25" s="8">
        <v>6.4969000000000001E-11</v>
      </c>
      <c r="F25" s="1">
        <v>1.572E-12</v>
      </c>
      <c r="G25" s="1">
        <v>3.4805000000000001E-16</v>
      </c>
      <c r="H25" s="1">
        <v>2.2815000000000001E-11</v>
      </c>
      <c r="I25" s="1">
        <v>4.0262000000000003E-11</v>
      </c>
      <c r="J25" s="8"/>
      <c r="K25" s="1"/>
      <c r="L25" s="1"/>
      <c r="M25" s="1"/>
      <c r="N25" s="7"/>
      <c r="O25">
        <f t="shared" si="4"/>
        <v>9.0029999999999983</v>
      </c>
      <c r="P25" s="6">
        <f t="shared" si="5"/>
        <v>101.77538962261028</v>
      </c>
      <c r="Q25" s="6">
        <f t="shared" si="0"/>
        <v>19.148496058360283</v>
      </c>
      <c r="R25" s="6">
        <f t="shared" si="1"/>
        <v>31.613704553071507</v>
      </c>
      <c r="S25" s="5">
        <f t="shared" si="2"/>
        <v>0</v>
      </c>
      <c r="T25" s="6">
        <f t="shared" si="6"/>
        <v>51.013189011178476</v>
      </c>
      <c r="U25" s="1">
        <f t="shared" si="6"/>
        <v>51.013189011178476</v>
      </c>
      <c r="V25" s="1">
        <f t="shared" si="6"/>
        <v>51.013189011178476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>
      <c r="B26" s="7">
        <v>671.07</v>
      </c>
      <c r="C26" s="8">
        <v>5.5167000000000002E-11</v>
      </c>
      <c r="D26" s="8">
        <v>5.5167000000000002E-11</v>
      </c>
      <c r="E26" s="8">
        <v>5.5167000000000002E-11</v>
      </c>
      <c r="F26" s="1">
        <v>1.3349000000000001E-12</v>
      </c>
      <c r="G26" s="1">
        <v>2.9312000000000002E-16</v>
      </c>
      <c r="H26" s="1">
        <v>2.6441E-11</v>
      </c>
      <c r="I26" s="1">
        <v>4.6781000000000001E-11</v>
      </c>
      <c r="J26" s="8"/>
      <c r="K26" s="1"/>
      <c r="L26" s="1"/>
      <c r="M26" s="1"/>
      <c r="N26" s="7"/>
      <c r="O26">
        <f t="shared" si="4"/>
        <v>11.184500000000002</v>
      </c>
      <c r="P26" s="6">
        <f t="shared" si="5"/>
        <v>101.85849840621184</v>
      </c>
      <c r="Q26" s="6">
        <f t="shared" si="0"/>
        <v>21.809435833329623</v>
      </c>
      <c r="R26" s="6">
        <f t="shared" si="1"/>
        <v>36.732333083746141</v>
      </c>
      <c r="S26" s="5">
        <f t="shared" si="2"/>
        <v>0</v>
      </c>
      <c r="T26" s="6">
        <f t="shared" si="6"/>
        <v>43.316729489136094</v>
      </c>
      <c r="U26" s="1">
        <f t="shared" si="6"/>
        <v>43.316729489136094</v>
      </c>
      <c r="V26" s="1">
        <f t="shared" si="6"/>
        <v>43.316729489136094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>
      <c r="B27" s="7">
        <v>801.96</v>
      </c>
      <c r="C27" s="8">
        <v>4.6809000000000002E-11</v>
      </c>
      <c r="D27" s="8">
        <v>4.6809000000000002E-11</v>
      </c>
      <c r="E27" s="8">
        <v>4.6809000000000002E-11</v>
      </c>
      <c r="F27" s="1">
        <v>1.1326E-12</v>
      </c>
      <c r="G27" s="1">
        <v>2.5035999999999999E-16</v>
      </c>
      <c r="H27" s="1">
        <v>2.9519999999999999E-11</v>
      </c>
      <c r="I27" s="1">
        <v>5.2312999999999998E-11</v>
      </c>
      <c r="J27" s="8"/>
      <c r="K27" s="1"/>
      <c r="L27" s="1"/>
      <c r="M27" s="1"/>
      <c r="N27" s="7"/>
      <c r="O27">
        <f t="shared" si="4"/>
        <v>13.366000000000001</v>
      </c>
      <c r="P27" s="6">
        <f t="shared" si="5"/>
        <v>101.89827410475891</v>
      </c>
      <c r="Q27" s="6">
        <f t="shared" si="0"/>
        <v>24.068199872001252</v>
      </c>
      <c r="R27" s="6">
        <f t="shared" si="1"/>
        <v>41.075985907183117</v>
      </c>
      <c r="S27" s="5">
        <f t="shared" si="2"/>
        <v>0</v>
      </c>
      <c r="T27" s="6">
        <f t="shared" si="6"/>
        <v>36.75408832557455</v>
      </c>
      <c r="U27" s="1">
        <f t="shared" si="6"/>
        <v>36.75408832557455</v>
      </c>
      <c r="V27" s="1">
        <f t="shared" si="6"/>
        <v>36.75408832557455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>
      <c r="B28" s="7">
        <v>932.86</v>
      </c>
      <c r="C28" s="8">
        <v>3.9705E-11</v>
      </c>
      <c r="D28" s="8">
        <v>3.9705E-11</v>
      </c>
      <c r="E28" s="8">
        <v>3.9705E-11</v>
      </c>
      <c r="F28" s="1">
        <v>9.6071999999999997E-13</v>
      </c>
      <c r="G28" s="1">
        <v>2.1291999999999999E-16</v>
      </c>
      <c r="H28" s="1">
        <v>3.2130999999999999E-11</v>
      </c>
      <c r="I28" s="1">
        <v>5.7006999999999999E-11</v>
      </c>
      <c r="J28" s="8"/>
      <c r="K28" s="1"/>
      <c r="L28" s="1"/>
      <c r="M28" s="1"/>
      <c r="N28" s="7"/>
      <c r="O28">
        <f t="shared" si="4"/>
        <v>15.547666666666666</v>
      </c>
      <c r="P28" s="6">
        <f t="shared" si="5"/>
        <v>101.92110952057583</v>
      </c>
      <c r="Q28" s="6">
        <f t="shared" si="0"/>
        <v>25.983379258800269</v>
      </c>
      <c r="R28" s="6">
        <f t="shared" si="1"/>
        <v>44.761651367397612</v>
      </c>
      <c r="S28" s="5">
        <f t="shared" si="2"/>
        <v>0</v>
      </c>
      <c r="T28" s="6">
        <f t="shared" si="6"/>
        <v>31.176078894377952</v>
      </c>
      <c r="U28" s="1">
        <f t="shared" si="6"/>
        <v>31.176078894377952</v>
      </c>
      <c r="V28" s="1">
        <f t="shared" si="6"/>
        <v>31.176078894377952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>
      <c r="B29" s="7">
        <v>1063.8</v>
      </c>
      <c r="C29" s="8">
        <v>3.3675000000000003E-11</v>
      </c>
      <c r="D29" s="8">
        <v>3.3675000000000003E-11</v>
      </c>
      <c r="E29" s="8">
        <v>3.3675000000000003E-11</v>
      </c>
      <c r="F29" s="1">
        <v>8.1481999999999996E-13</v>
      </c>
      <c r="G29" s="1">
        <v>1.7951000000000001E-16</v>
      </c>
      <c r="H29" s="1">
        <v>3.4346000000000001E-11</v>
      </c>
      <c r="I29" s="1">
        <v>6.0987999999999997E-11</v>
      </c>
      <c r="J29" s="8"/>
      <c r="K29" s="1"/>
      <c r="L29" s="1"/>
      <c r="M29" s="1"/>
      <c r="N29" s="7"/>
      <c r="O29">
        <f t="shared" si="4"/>
        <v>17.73</v>
      </c>
      <c r="P29" s="6">
        <f t="shared" si="5"/>
        <v>101.93686566194296</v>
      </c>
      <c r="Q29" s="6">
        <f t="shared" si="0"/>
        <v>27.608021617202422</v>
      </c>
      <c r="R29" s="6">
        <f t="shared" si="1"/>
        <v>47.88747754761981</v>
      </c>
      <c r="S29" s="5">
        <f t="shared" si="2"/>
        <v>0</v>
      </c>
      <c r="T29" s="6">
        <f t="shared" si="6"/>
        <v>26.441366497120704</v>
      </c>
      <c r="U29" s="1">
        <f t="shared" si="6"/>
        <v>26.441366497120704</v>
      </c>
      <c r="V29" s="1">
        <f t="shared" si="6"/>
        <v>26.441366497120704</v>
      </c>
      <c r="X29" s="5"/>
      <c r="Y29" s="5"/>
      <c r="Z29" s="5"/>
      <c r="AA29" s="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>
      <c r="B30" s="7">
        <v>1194.5999999999999</v>
      </c>
      <c r="C30" s="8">
        <v>2.8559000000000001E-11</v>
      </c>
      <c r="D30" s="8">
        <v>2.8559000000000001E-11</v>
      </c>
      <c r="E30" s="8">
        <v>2.8559000000000001E-11</v>
      </c>
      <c r="F30" s="1">
        <v>6.9103999999999995E-13</v>
      </c>
      <c r="G30" s="1">
        <v>1.5158999999999999E-16</v>
      </c>
      <c r="H30" s="1">
        <v>3.6225000000000003E-11</v>
      </c>
      <c r="I30" s="1">
        <v>6.4365000000000002E-11</v>
      </c>
      <c r="J30" s="8"/>
      <c r="K30" s="1"/>
      <c r="L30" s="1"/>
      <c r="M30" s="1"/>
      <c r="N30" s="7"/>
      <c r="O30">
        <f t="shared" si="4"/>
        <v>19.91</v>
      </c>
      <c r="P30" s="6">
        <f t="shared" si="5"/>
        <v>101.94957956607453</v>
      </c>
      <c r="Q30" s="6">
        <f t="shared" si="0"/>
        <v>28.986207669261109</v>
      </c>
      <c r="R30" s="6">
        <f t="shared" si="1"/>
        <v>50.539051606055573</v>
      </c>
      <c r="S30" s="5">
        <f t="shared" si="2"/>
        <v>0</v>
      </c>
      <c r="T30" s="6">
        <f t="shared" si="6"/>
        <v>22.424320290757837</v>
      </c>
      <c r="U30" s="1">
        <f t="shared" si="6"/>
        <v>22.424320290757837</v>
      </c>
      <c r="V30" s="1">
        <f t="shared" si="6"/>
        <v>22.424320290757837</v>
      </c>
      <c r="X30" s="5"/>
      <c r="Y30" s="5"/>
      <c r="Z30" s="5"/>
      <c r="AA30" s="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>
      <c r="B31" s="7">
        <v>1325.5</v>
      </c>
      <c r="C31" s="8">
        <v>2.4220000000000001E-11</v>
      </c>
      <c r="D31" s="8">
        <v>2.4220000000000001E-11</v>
      </c>
      <c r="E31" s="8">
        <v>2.4220000000000001E-11</v>
      </c>
      <c r="F31" s="1">
        <v>5.8605000000000001E-13</v>
      </c>
      <c r="G31" s="1">
        <v>1.2892000000000001E-16</v>
      </c>
      <c r="H31" s="1">
        <v>3.7818000000000001E-11</v>
      </c>
      <c r="I31" s="1">
        <v>6.7229000000000001E-11</v>
      </c>
      <c r="J31" s="8"/>
      <c r="K31" s="1"/>
      <c r="L31" s="1"/>
      <c r="M31" s="1"/>
      <c r="N31" s="7"/>
      <c r="O31">
        <f t="shared" si="4"/>
        <v>22.091666666666665</v>
      </c>
      <c r="P31" s="6">
        <f t="shared" si="5"/>
        <v>101.95977712367954</v>
      </c>
      <c r="Q31" s="6">
        <f t="shared" si="0"/>
        <v>30.154582361507003</v>
      </c>
      <c r="R31" s="6">
        <f t="shared" si="1"/>
        <v>52.787825896240435</v>
      </c>
      <c r="S31" s="5">
        <f t="shared" si="2"/>
        <v>0</v>
      </c>
      <c r="T31" s="6">
        <f t="shared" si="6"/>
        <v>19.017368865932099</v>
      </c>
      <c r="U31" s="1">
        <f t="shared" si="6"/>
        <v>19.017368865932099</v>
      </c>
      <c r="V31" s="1">
        <f t="shared" si="6"/>
        <v>19.017368865932099</v>
      </c>
      <c r="X31" s="5"/>
      <c r="Y31" s="5"/>
      <c r="Z31" s="5"/>
      <c r="AA31" s="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>
      <c r="B32" s="7">
        <v>1456.4</v>
      </c>
      <c r="C32" s="8">
        <v>2.0541E-11</v>
      </c>
      <c r="D32" s="8">
        <v>2.0541E-11</v>
      </c>
      <c r="E32" s="8">
        <v>2.0541E-11</v>
      </c>
      <c r="F32" s="1">
        <v>4.9701000000000002E-13</v>
      </c>
      <c r="G32" s="1">
        <v>1.0945E-16</v>
      </c>
      <c r="H32" s="1">
        <v>3.9168999999999997E-11</v>
      </c>
      <c r="I32" s="1">
        <v>6.9656999999999995E-11</v>
      </c>
      <c r="J32" s="8"/>
      <c r="K32" s="1"/>
      <c r="L32" s="1"/>
      <c r="M32" s="1"/>
      <c r="N32" s="7"/>
      <c r="O32">
        <f t="shared" si="4"/>
        <v>24.273333333333333</v>
      </c>
      <c r="P32" s="6">
        <f t="shared" si="5"/>
        <v>101.9683675487249</v>
      </c>
      <c r="Q32" s="6">
        <f t="shared" si="0"/>
        <v>31.145464228313429</v>
      </c>
      <c r="R32" s="6">
        <f t="shared" si="1"/>
        <v>54.694258651744612</v>
      </c>
      <c r="S32" s="5">
        <f t="shared" si="2"/>
        <v>0</v>
      </c>
      <c r="T32" s="6">
        <f t="shared" si="6"/>
        <v>16.128644668666855</v>
      </c>
      <c r="U32" s="1">
        <f t="shared" si="6"/>
        <v>16.128644668666855</v>
      </c>
      <c r="V32" s="1">
        <f t="shared" si="6"/>
        <v>16.128644668666855</v>
      </c>
      <c r="X32" s="5"/>
      <c r="Y32" s="5"/>
      <c r="Z32" s="5"/>
      <c r="AA32" s="5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>
      <c r="B33" s="7">
        <v>1587.3</v>
      </c>
      <c r="C33" s="8">
        <v>1.742E-11</v>
      </c>
      <c r="D33" s="8">
        <v>1.742E-11</v>
      </c>
      <c r="E33" s="8">
        <v>1.742E-11</v>
      </c>
      <c r="F33" s="1">
        <v>4.2150000000000002E-13</v>
      </c>
      <c r="G33" s="1">
        <v>9.2557000000000004E-17</v>
      </c>
      <c r="H33" s="1">
        <v>4.0314999999999999E-11</v>
      </c>
      <c r="I33" s="1">
        <v>7.1716999999999999E-11</v>
      </c>
      <c r="J33" s="8"/>
      <c r="K33" s="1"/>
      <c r="L33" s="1"/>
      <c r="M33" s="1"/>
      <c r="N33" s="7"/>
      <c r="O33">
        <f t="shared" si="4"/>
        <v>26.454999999999998</v>
      </c>
      <c r="P33" s="6">
        <f t="shared" si="5"/>
        <v>101.97580576384155</v>
      </c>
      <c r="Q33" s="6">
        <f t="shared" si="0"/>
        <v>31.986005235633481</v>
      </c>
      <c r="R33" s="6">
        <f t="shared" si="1"/>
        <v>56.311742491687141</v>
      </c>
      <c r="S33" s="5">
        <f t="shared" si="2"/>
        <v>0</v>
      </c>
      <c r="T33" s="6">
        <f t="shared" si="6"/>
        <v>13.678058036520941</v>
      </c>
      <c r="U33" s="1">
        <f t="shared" si="6"/>
        <v>13.678058036520941</v>
      </c>
      <c r="V33" s="1">
        <f t="shared" si="6"/>
        <v>13.678058036520941</v>
      </c>
      <c r="X33" s="5"/>
      <c r="Y33" s="5"/>
      <c r="Z33" s="5"/>
      <c r="AA33" s="5"/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>
      <c r="B34" s="7">
        <v>1718.2</v>
      </c>
      <c r="C34" s="8">
        <v>1.4773000000000001E-11</v>
      </c>
      <c r="D34" s="8">
        <v>1.4773000000000001E-11</v>
      </c>
      <c r="E34" s="8">
        <v>1.4773000000000001E-11</v>
      </c>
      <c r="F34" s="1">
        <v>3.5746000000000002E-13</v>
      </c>
      <c r="G34" s="1">
        <v>7.8581999999999997E-17</v>
      </c>
      <c r="H34" s="1">
        <v>4.1287E-11</v>
      </c>
      <c r="I34" s="1">
        <v>7.3462999999999997E-11</v>
      </c>
      <c r="J34" s="8"/>
      <c r="K34" s="1"/>
      <c r="L34" s="1"/>
      <c r="M34" s="1"/>
      <c r="N34" s="7"/>
      <c r="O34">
        <f t="shared" si="4"/>
        <v>28.636666666666667</v>
      </c>
      <c r="P34" s="6">
        <f t="shared" si="5"/>
        <v>101.98125973244507</v>
      </c>
      <c r="Q34" s="6">
        <f t="shared" si="0"/>
        <v>32.698928862202919</v>
      </c>
      <c r="R34" s="6">
        <f t="shared" si="1"/>
        <v>57.682678093346404</v>
      </c>
      <c r="S34" s="5">
        <f t="shared" si="2"/>
        <v>0</v>
      </c>
      <c r="T34" s="6">
        <f t="shared" si="6"/>
        <v>11.599652776895745</v>
      </c>
      <c r="U34" s="1">
        <f t="shared" si="6"/>
        <v>11.599652776895745</v>
      </c>
      <c r="V34" s="1">
        <f t="shared" si="6"/>
        <v>11.599652776895745</v>
      </c>
      <c r="X34" s="5"/>
      <c r="Y34" s="5"/>
      <c r="Z34" s="5"/>
      <c r="AA34" s="5"/>
      <c r="AB34" s="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>
      <c r="B35" s="7">
        <v>1849.1</v>
      </c>
      <c r="C35" s="8">
        <v>1.2528E-11</v>
      </c>
      <c r="D35" s="8">
        <v>1.2528E-11</v>
      </c>
      <c r="E35" s="8">
        <v>1.2528E-11</v>
      </c>
      <c r="F35" s="1">
        <v>3.0314999999999998E-13</v>
      </c>
      <c r="G35" s="1">
        <v>6.6659000000000003E-17</v>
      </c>
      <c r="H35" s="1">
        <v>4.2110999999999999E-11</v>
      </c>
      <c r="I35" s="1">
        <v>7.4943999999999997E-11</v>
      </c>
      <c r="J35" s="8"/>
      <c r="K35" s="1"/>
      <c r="L35" s="1"/>
      <c r="M35" s="1"/>
      <c r="N35" s="7"/>
      <c r="O35">
        <f t="shared" si="4"/>
        <v>30.818333333333332</v>
      </c>
      <c r="P35" s="6">
        <f t="shared" si="5"/>
        <v>101.98571811744748</v>
      </c>
      <c r="Q35" s="6">
        <f t="shared" si="0"/>
        <v>33.303283884598429</v>
      </c>
      <c r="R35" s="6">
        <f t="shared" si="1"/>
        <v>58.845539222428009</v>
      </c>
      <c r="S35" s="5">
        <f t="shared" si="2"/>
        <v>0</v>
      </c>
      <c r="T35" s="6">
        <f t="shared" si="6"/>
        <v>9.8368950104210295</v>
      </c>
      <c r="U35" s="1">
        <f t="shared" si="6"/>
        <v>9.8368950104210295</v>
      </c>
      <c r="V35" s="1">
        <f t="shared" si="6"/>
        <v>9.8368950104210295</v>
      </c>
      <c r="X35" s="5"/>
      <c r="Y35" s="5"/>
      <c r="Z35" s="5"/>
      <c r="AA35" s="5"/>
      <c r="AB35" s="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>
      <c r="B36" s="7">
        <v>1980</v>
      </c>
      <c r="C36" s="8">
        <v>1.0625E-11</v>
      </c>
      <c r="D36" s="8">
        <v>1.0625E-11</v>
      </c>
      <c r="E36" s="8">
        <v>1.0625E-11</v>
      </c>
      <c r="F36" s="1">
        <v>2.5709000000000002E-13</v>
      </c>
      <c r="G36" s="1">
        <v>5.6370999999999997E-17</v>
      </c>
      <c r="H36" s="1">
        <v>4.2809999999999999E-11</v>
      </c>
      <c r="I36" s="1">
        <v>7.6201000000000001E-11</v>
      </c>
      <c r="J36" s="8"/>
      <c r="K36" s="1"/>
      <c r="L36" s="1"/>
      <c r="M36" s="1"/>
      <c r="N36" s="7"/>
      <c r="O36">
        <f t="shared" si="4"/>
        <v>33</v>
      </c>
      <c r="P36" s="6">
        <f t="shared" si="5"/>
        <v>101.99115927720135</v>
      </c>
      <c r="Q36" s="6">
        <f t="shared" si="0"/>
        <v>33.815967651209569</v>
      </c>
      <c r="R36" s="6">
        <f t="shared" si="1"/>
        <v>59.832518455036841</v>
      </c>
      <c r="S36" s="5">
        <f t="shared" si="2"/>
        <v>0</v>
      </c>
      <c r="T36" s="6">
        <f t="shared" si="6"/>
        <v>8.3426731709549369</v>
      </c>
      <c r="U36" s="1">
        <f t="shared" si="6"/>
        <v>8.3426731709549369</v>
      </c>
      <c r="V36" s="1">
        <f t="shared" si="6"/>
        <v>8.3426731709549369</v>
      </c>
      <c r="X36" s="5"/>
      <c r="Y36" s="5"/>
      <c r="Z36" s="5"/>
      <c r="AA36" s="5"/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>
      <c r="B37" s="7">
        <v>2110.9</v>
      </c>
      <c r="C37" s="8">
        <v>9.0106000000000004E-12</v>
      </c>
      <c r="D37" s="8">
        <v>9.0106000000000004E-12</v>
      </c>
      <c r="E37" s="8">
        <v>9.0106000000000004E-12</v>
      </c>
      <c r="F37" s="1">
        <v>2.1803000000000001E-13</v>
      </c>
      <c r="G37" s="1">
        <v>4.7871999999999999E-17</v>
      </c>
      <c r="H37" s="1">
        <v>4.3403E-11</v>
      </c>
      <c r="I37" s="1">
        <v>7.7266E-11</v>
      </c>
      <c r="J37" s="8"/>
      <c r="K37" s="1"/>
      <c r="L37" s="1"/>
      <c r="M37" s="1"/>
      <c r="N37" s="7"/>
      <c r="O37">
        <f t="shared" si="4"/>
        <v>35.181666666666665</v>
      </c>
      <c r="P37" s="6">
        <f t="shared" si="5"/>
        <v>101.99471737901939</v>
      </c>
      <c r="Q37" s="6">
        <f t="shared" si="0"/>
        <v>34.250917333686623</v>
      </c>
      <c r="R37" s="6">
        <f t="shared" si="1"/>
        <v>60.668742080701563</v>
      </c>
      <c r="S37" s="5">
        <f t="shared" si="2"/>
        <v>0</v>
      </c>
      <c r="T37" s="6">
        <f t="shared" si="6"/>
        <v>7.0750579646312053</v>
      </c>
      <c r="U37" s="1">
        <f t="shared" si="6"/>
        <v>7.0750579646312053</v>
      </c>
      <c r="V37" s="1">
        <f t="shared" si="6"/>
        <v>7.0750579646312053</v>
      </c>
      <c r="X37" s="5"/>
      <c r="Y37" s="5"/>
      <c r="Z37" s="5"/>
      <c r="AA37" s="5"/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>
      <c r="B38" s="7">
        <v>2241.8000000000002</v>
      </c>
      <c r="C38" s="8">
        <v>7.6415000000000005E-12</v>
      </c>
      <c r="D38" s="8">
        <v>7.6415000000000005E-12</v>
      </c>
      <c r="E38" s="8">
        <v>7.6415000000000005E-12</v>
      </c>
      <c r="F38" s="1">
        <v>1.849E-13</v>
      </c>
      <c r="G38" s="1">
        <v>4.0747999999999999E-17</v>
      </c>
      <c r="H38" s="1">
        <v>4.3905000000000002E-11</v>
      </c>
      <c r="I38" s="1">
        <v>7.817E-11</v>
      </c>
      <c r="J38" s="8"/>
      <c r="K38" s="1"/>
      <c r="L38" s="1"/>
      <c r="M38" s="1"/>
      <c r="N38" s="7"/>
      <c r="O38">
        <f t="shared" si="4"/>
        <v>37.363333333333337</v>
      </c>
      <c r="P38" s="6">
        <f t="shared" si="5"/>
        <v>101.99767196204536</v>
      </c>
      <c r="Q38" s="6">
        <f t="shared" si="0"/>
        <v>34.619070667302218</v>
      </c>
      <c r="R38" s="6">
        <f t="shared" si="1"/>
        <v>61.378550750192353</v>
      </c>
      <c r="S38" s="5">
        <f t="shared" si="2"/>
        <v>0</v>
      </c>
      <c r="T38" s="6">
        <f t="shared" si="6"/>
        <v>6.0000505445507901</v>
      </c>
      <c r="U38" s="1">
        <f t="shared" si="6"/>
        <v>6.0000505445507901</v>
      </c>
      <c r="V38" s="1">
        <f t="shared" si="6"/>
        <v>6.0000505445507901</v>
      </c>
      <c r="X38" s="5"/>
      <c r="Y38" s="5"/>
      <c r="Z38" s="5"/>
      <c r="AA38" s="5"/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>
      <c r="B39" s="7">
        <v>2372.6999999999998</v>
      </c>
      <c r="C39" s="8">
        <v>6.4805000000000001E-12</v>
      </c>
      <c r="D39" s="8">
        <v>6.4805000000000001E-12</v>
      </c>
      <c r="E39" s="8">
        <v>6.4805000000000001E-12</v>
      </c>
      <c r="F39" s="1">
        <v>1.5680999999999999E-13</v>
      </c>
      <c r="G39" s="1">
        <v>3.4449999999999998E-17</v>
      </c>
      <c r="H39" s="1">
        <v>4.4332000000000001E-11</v>
      </c>
      <c r="I39" s="1">
        <v>7.8936000000000005E-11</v>
      </c>
      <c r="J39" s="8"/>
      <c r="K39" s="1"/>
      <c r="L39" s="1"/>
      <c r="M39" s="1"/>
      <c r="N39" s="7"/>
      <c r="O39">
        <f t="shared" si="4"/>
        <v>39.544999999999995</v>
      </c>
      <c r="P39" s="6">
        <f t="shared" si="5"/>
        <v>102.0007371206282</v>
      </c>
      <c r="Q39" s="6">
        <f t="shared" si="0"/>
        <v>34.932291914796401</v>
      </c>
      <c r="R39" s="6">
        <f t="shared" si="1"/>
        <v>61.980003466126078</v>
      </c>
      <c r="S39" s="5">
        <f t="shared" si="2"/>
        <v>0</v>
      </c>
      <c r="T39" s="6">
        <f t="shared" si="6"/>
        <v>5.088441739705738</v>
      </c>
      <c r="U39" s="1">
        <f t="shared" si="6"/>
        <v>5.088441739705738</v>
      </c>
      <c r="V39" s="1">
        <f t="shared" si="6"/>
        <v>5.088441739705738</v>
      </c>
      <c r="X39" s="5"/>
      <c r="Y39" s="5"/>
      <c r="Z39" s="5"/>
      <c r="AA39" s="5"/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>
      <c r="B40" s="7">
        <v>2503.6</v>
      </c>
      <c r="C40" s="8">
        <v>5.4958999999999996E-12</v>
      </c>
      <c r="D40" s="8">
        <v>5.4958999999999996E-12</v>
      </c>
      <c r="E40" s="8">
        <v>5.4958999999999996E-12</v>
      </c>
      <c r="F40" s="1">
        <v>1.3298E-13</v>
      </c>
      <c r="G40" s="1">
        <v>2.9141000000000002E-17</v>
      </c>
      <c r="H40" s="1">
        <v>4.4693000000000003E-11</v>
      </c>
      <c r="I40" s="1">
        <v>7.9585999999999998E-11</v>
      </c>
      <c r="J40" s="8"/>
      <c r="K40" s="1"/>
      <c r="L40" s="1"/>
      <c r="M40" s="1"/>
      <c r="N40" s="7"/>
      <c r="O40">
        <f t="shared" si="4"/>
        <v>41.726666666666667</v>
      </c>
      <c r="P40" s="6">
        <f t="shared" si="5"/>
        <v>102.00275089745621</v>
      </c>
      <c r="Q40" s="6">
        <f t="shared" si="0"/>
        <v>35.197035360730595</v>
      </c>
      <c r="R40" s="6">
        <f t="shared" si="1"/>
        <v>62.49037459740785</v>
      </c>
      <c r="S40" s="5">
        <f t="shared" si="2"/>
        <v>0</v>
      </c>
      <c r="T40" s="6">
        <f t="shared" si="6"/>
        <v>4.3153409393177622</v>
      </c>
      <c r="U40" s="1">
        <f t="shared" si="6"/>
        <v>4.3153409393177622</v>
      </c>
      <c r="V40" s="1">
        <f t="shared" si="6"/>
        <v>4.3153409393177622</v>
      </c>
      <c r="X40" s="5"/>
      <c r="Y40" s="5"/>
      <c r="Z40" s="5"/>
      <c r="AA40" s="5"/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>
      <c r="B41" s="7">
        <v>2634.5</v>
      </c>
      <c r="C41" s="8">
        <v>4.6607999999999997E-12</v>
      </c>
      <c r="D41" s="8">
        <v>4.6607999999999997E-12</v>
      </c>
      <c r="E41" s="8">
        <v>4.6607999999999997E-12</v>
      </c>
      <c r="F41" s="1">
        <v>1.1278E-13</v>
      </c>
      <c r="G41" s="1">
        <v>2.4823000000000001E-17</v>
      </c>
      <c r="H41" s="1">
        <v>4.5E-11</v>
      </c>
      <c r="I41" s="1">
        <v>8.0136999999999994E-11</v>
      </c>
      <c r="J41" s="8"/>
      <c r="K41" s="1"/>
      <c r="L41" s="1"/>
      <c r="M41" s="1"/>
      <c r="N41" s="7"/>
      <c r="O41">
        <f t="shared" si="4"/>
        <v>43.908333333333331</v>
      </c>
      <c r="P41" s="6">
        <f t="shared" si="5"/>
        <v>102.00486752747022</v>
      </c>
      <c r="Q41" s="6">
        <f t="shared" si="0"/>
        <v>35.422228646888698</v>
      </c>
      <c r="R41" s="6">
        <f t="shared" si="1"/>
        <v>62.92301242268158</v>
      </c>
      <c r="S41" s="5">
        <f t="shared" si="2"/>
        <v>0</v>
      </c>
      <c r="T41" s="6">
        <f t="shared" si="6"/>
        <v>3.6596264578999311</v>
      </c>
      <c r="U41" s="1">
        <f t="shared" si="6"/>
        <v>3.6596264578999311</v>
      </c>
      <c r="V41" s="1">
        <f t="shared" si="6"/>
        <v>3.6596264578999311</v>
      </c>
      <c r="X41" s="5"/>
      <c r="Y41" s="5"/>
      <c r="Z41" s="5"/>
      <c r="AA41" s="5"/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>
      <c r="B42" s="7">
        <v>2765.4</v>
      </c>
      <c r="C42" s="8">
        <v>3.9527000000000003E-12</v>
      </c>
      <c r="D42" s="8">
        <v>3.9527000000000003E-12</v>
      </c>
      <c r="E42" s="8">
        <v>3.9527000000000003E-12</v>
      </c>
      <c r="F42" s="1">
        <v>9.5641000000000006E-14</v>
      </c>
      <c r="G42" s="1">
        <v>2.1055000000000001E-17</v>
      </c>
      <c r="H42" s="1">
        <v>4.5260000000000001E-11</v>
      </c>
      <c r="I42" s="1">
        <v>8.0603999999999994E-11</v>
      </c>
      <c r="J42" s="8"/>
      <c r="K42" s="1"/>
      <c r="L42" s="1"/>
      <c r="M42" s="1"/>
      <c r="N42" s="7"/>
      <c r="O42">
        <f t="shared" si="4"/>
        <v>46.09</v>
      </c>
      <c r="P42" s="6">
        <f t="shared" si="5"/>
        <v>102.00624729333012</v>
      </c>
      <c r="Q42" s="6">
        <f t="shared" si="0"/>
        <v>35.612921347968353</v>
      </c>
      <c r="R42" s="6">
        <f t="shared" si="1"/>
        <v>63.289694487212721</v>
      </c>
      <c r="S42" s="5">
        <f t="shared" si="2"/>
        <v>0</v>
      </c>
      <c r="T42" s="6">
        <f t="shared" si="6"/>
        <v>3.1036314581490427</v>
      </c>
      <c r="U42" s="1">
        <f t="shared" si="6"/>
        <v>3.1036314581490427</v>
      </c>
      <c r="V42" s="1">
        <f t="shared" si="6"/>
        <v>3.1036314581490427</v>
      </c>
      <c r="X42" s="5"/>
      <c r="Y42" s="5"/>
      <c r="Z42" s="5"/>
      <c r="AA42" s="5"/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>
      <c r="B43" s="7">
        <v>2896.3</v>
      </c>
      <c r="C43" s="8">
        <v>3.3520999999999998E-12</v>
      </c>
      <c r="D43" s="8">
        <v>3.3520999999999998E-12</v>
      </c>
      <c r="E43" s="8">
        <v>3.3520999999999998E-12</v>
      </c>
      <c r="F43" s="1">
        <v>8.1109999999999995E-14</v>
      </c>
      <c r="G43" s="1">
        <v>1.7808E-17</v>
      </c>
      <c r="H43" s="1">
        <v>4.5480000000000001E-11</v>
      </c>
      <c r="I43" s="1">
        <v>8.1001E-11</v>
      </c>
      <c r="J43" s="8"/>
      <c r="K43" s="1"/>
      <c r="L43" s="1"/>
      <c r="M43" s="1"/>
      <c r="N43" s="7"/>
      <c r="O43">
        <f t="shared" si="4"/>
        <v>48.271666666666668</v>
      </c>
      <c r="P43" s="6">
        <f t="shared" si="5"/>
        <v>102.00771226909451</v>
      </c>
      <c r="Q43" s="6">
        <f t="shared" si="0"/>
        <v>35.774254121028392</v>
      </c>
      <c r="R43" s="6">
        <f t="shared" si="1"/>
        <v>63.601413466997144</v>
      </c>
      <c r="S43" s="5">
        <f t="shared" si="2"/>
        <v>0</v>
      </c>
      <c r="T43" s="6">
        <f t="shared" si="6"/>
        <v>2.6320446810689919</v>
      </c>
      <c r="U43" s="1">
        <f t="shared" si="6"/>
        <v>2.6320446810689919</v>
      </c>
      <c r="V43" s="1">
        <f t="shared" si="6"/>
        <v>2.6320446810689919</v>
      </c>
      <c r="X43" s="5"/>
      <c r="Y43" s="5"/>
      <c r="Z43" s="5"/>
      <c r="AA43" s="5"/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>
      <c r="B44" s="7">
        <v>3027.1</v>
      </c>
      <c r="C44" s="8">
        <v>2.8428E-12</v>
      </c>
      <c r="D44" s="8">
        <v>2.8428E-12</v>
      </c>
      <c r="E44" s="8">
        <v>2.8428E-12</v>
      </c>
      <c r="F44" s="1">
        <v>6.8786000000000003E-14</v>
      </c>
      <c r="G44" s="1">
        <v>1.5122999999999999E-17</v>
      </c>
      <c r="H44" s="1">
        <v>4.5667000000000002E-11</v>
      </c>
      <c r="I44" s="1">
        <v>8.1337E-11</v>
      </c>
      <c r="J44" s="8"/>
      <c r="K44" s="1"/>
      <c r="L44" s="1"/>
      <c r="M44" s="1"/>
      <c r="N44" s="7"/>
      <c r="O44">
        <f t="shared" si="4"/>
        <v>50.451666666666668</v>
      </c>
      <c r="P44" s="6">
        <f t="shared" si="5"/>
        <v>102.00879058610212</v>
      </c>
      <c r="Q44" s="6">
        <f t="shared" si="0"/>
        <v>35.911408453151658</v>
      </c>
      <c r="R44" s="6">
        <f t="shared" si="1"/>
        <v>63.865236129148997</v>
      </c>
      <c r="S44" s="5">
        <f t="shared" si="2"/>
        <v>0</v>
      </c>
      <c r="T44" s="6">
        <f t="shared" si="6"/>
        <v>2.2321460038014771</v>
      </c>
      <c r="U44" s="1">
        <f t="shared" si="6"/>
        <v>2.2321460038014771</v>
      </c>
      <c r="V44" s="1">
        <f t="shared" si="6"/>
        <v>2.2321460038014771</v>
      </c>
      <c r="X44" s="5"/>
      <c r="Y44" s="5"/>
      <c r="Z44" s="5"/>
      <c r="AA44" s="5"/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>
      <c r="B45" s="7">
        <v>3158</v>
      </c>
      <c r="C45" s="8">
        <v>2.4109000000000002E-12</v>
      </c>
      <c r="D45" s="8">
        <v>2.4109000000000002E-12</v>
      </c>
      <c r="E45" s="8">
        <v>2.4109000000000002E-12</v>
      </c>
      <c r="F45" s="1">
        <v>5.8334999999999998E-14</v>
      </c>
      <c r="G45" s="1">
        <v>1.2836E-17</v>
      </c>
      <c r="H45" s="1">
        <v>4.5826000000000003E-11</v>
      </c>
      <c r="I45" s="1">
        <v>8.1622000000000003E-11</v>
      </c>
      <c r="J45" s="8"/>
      <c r="K45" s="1"/>
      <c r="L45" s="1"/>
      <c r="M45" s="1"/>
      <c r="N45" s="7"/>
      <c r="O45">
        <f t="shared" si="4"/>
        <v>52.633333333333333</v>
      </c>
      <c r="P45" s="6">
        <f t="shared" si="5"/>
        <v>102.0100835732424</v>
      </c>
      <c r="Q45" s="6">
        <f t="shared" si="0"/>
        <v>36.028048053798457</v>
      </c>
      <c r="R45" s="6">
        <f t="shared" si="1"/>
        <v>64.089014272586979</v>
      </c>
      <c r="S45" s="5">
        <f t="shared" si="2"/>
        <v>0</v>
      </c>
      <c r="T45" s="6">
        <f t="shared" si="6"/>
        <v>1.8930212468569654</v>
      </c>
      <c r="U45" s="1">
        <f t="shared" si="6"/>
        <v>1.8930212468569654</v>
      </c>
      <c r="V45" s="1">
        <f t="shared" si="6"/>
        <v>1.8930212468569654</v>
      </c>
      <c r="X45" s="5"/>
      <c r="Y45" s="5"/>
      <c r="Z45" s="5"/>
      <c r="AA45" s="5"/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>
      <c r="B46" s="7">
        <v>3288.9</v>
      </c>
      <c r="C46" s="8">
        <v>2.0446E-12</v>
      </c>
      <c r="D46" s="8">
        <v>2.0446E-12</v>
      </c>
      <c r="E46" s="8">
        <v>2.0446E-12</v>
      </c>
      <c r="F46" s="1">
        <v>4.9472000000000002E-14</v>
      </c>
      <c r="G46" s="1">
        <v>1.0879E-17</v>
      </c>
      <c r="H46" s="1">
        <v>4.5960000000000002E-11</v>
      </c>
      <c r="I46" s="1">
        <v>8.1863999999999998E-11</v>
      </c>
      <c r="J46" s="8"/>
      <c r="K46" s="1"/>
      <c r="L46" s="1"/>
      <c r="M46" s="1"/>
      <c r="N46" s="7"/>
      <c r="O46">
        <f t="shared" si="4"/>
        <v>54.815000000000005</v>
      </c>
      <c r="P46" s="6">
        <f t="shared" si="5"/>
        <v>102.01073924296782</v>
      </c>
      <c r="Q46" s="6">
        <f t="shared" si="0"/>
        <v>36.126304721336695</v>
      </c>
      <c r="R46" s="6">
        <f t="shared" si="1"/>
        <v>64.279029386070235</v>
      </c>
      <c r="S46" s="5">
        <f t="shared" si="2"/>
        <v>0</v>
      </c>
      <c r="T46" s="6">
        <f t="shared" si="6"/>
        <v>1.6054051355608907</v>
      </c>
      <c r="U46" s="1">
        <f t="shared" si="6"/>
        <v>1.6054051355608907</v>
      </c>
      <c r="V46" s="1">
        <f t="shared" si="6"/>
        <v>1.6054051355608907</v>
      </c>
      <c r="X46" s="5"/>
      <c r="Y46" s="5"/>
      <c r="Z46" s="5"/>
      <c r="AA46" s="5"/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>
      <c r="B47" s="7">
        <v>3419.8</v>
      </c>
      <c r="C47" s="8">
        <v>1.7338999999999999E-12</v>
      </c>
      <c r="D47" s="8">
        <v>1.7338999999999999E-12</v>
      </c>
      <c r="E47" s="8">
        <v>1.7338999999999999E-12</v>
      </c>
      <c r="F47" s="1">
        <v>4.1955000000000003E-14</v>
      </c>
      <c r="G47" s="1">
        <v>9.2290999999999997E-18</v>
      </c>
      <c r="H47" s="1">
        <v>4.6075E-11</v>
      </c>
      <c r="I47" s="1">
        <v>8.2068999999999999E-11</v>
      </c>
      <c r="J47" s="8"/>
      <c r="K47" s="1"/>
      <c r="L47" s="1"/>
      <c r="M47" s="1"/>
      <c r="N47" s="7"/>
      <c r="O47">
        <f t="shared" si="4"/>
        <v>56.99666666666667</v>
      </c>
      <c r="P47" s="6">
        <f t="shared" si="5"/>
        <v>102.01213794618546</v>
      </c>
      <c r="Q47" s="6">
        <f t="shared" si="0"/>
        <v>36.210699595730453</v>
      </c>
      <c r="R47" s="6">
        <f t="shared" si="1"/>
        <v>64.43999260823206</v>
      </c>
      <c r="S47" s="5">
        <f t="shared" si="2"/>
        <v>0</v>
      </c>
      <c r="T47" s="6">
        <f t="shared" si="6"/>
        <v>1.3614457422229425</v>
      </c>
      <c r="U47" s="1">
        <f t="shared" si="6"/>
        <v>1.3614457422229425</v>
      </c>
      <c r="V47" s="1">
        <f t="shared" si="6"/>
        <v>1.3614457422229425</v>
      </c>
      <c r="X47" s="5"/>
      <c r="Y47" s="5"/>
      <c r="Z47" s="5"/>
      <c r="AA47" s="5"/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>
      <c r="B48" s="7">
        <v>3550.7</v>
      </c>
      <c r="C48" s="8">
        <v>1.4705E-12</v>
      </c>
      <c r="D48" s="8">
        <v>1.4705E-12</v>
      </c>
      <c r="E48" s="8">
        <v>1.4705E-12</v>
      </c>
      <c r="F48" s="1">
        <v>3.5581000000000001E-14</v>
      </c>
      <c r="G48" s="1">
        <v>7.8306999999999995E-18</v>
      </c>
      <c r="H48" s="1">
        <v>4.6171000000000003E-11</v>
      </c>
      <c r="I48" s="1">
        <v>8.2243000000000005E-11</v>
      </c>
      <c r="J48" s="8"/>
      <c r="K48" s="1"/>
      <c r="L48" s="1"/>
      <c r="M48" s="1"/>
      <c r="N48" s="7"/>
      <c r="O48">
        <f t="shared" si="4"/>
        <v>59.178333333333327</v>
      </c>
      <c r="P48" s="6">
        <f t="shared" si="5"/>
        <v>102.01231430173769</v>
      </c>
      <c r="Q48" s="6">
        <f t="shared" si="0"/>
        <v>36.281073282847636</v>
      </c>
      <c r="R48" s="6">
        <f t="shared" si="1"/>
        <v>64.576615052029908</v>
      </c>
      <c r="S48" s="5">
        <f t="shared" si="2"/>
        <v>0</v>
      </c>
      <c r="T48" s="6">
        <f t="shared" si="6"/>
        <v>1.1546259668601633</v>
      </c>
      <c r="U48" s="1">
        <f t="shared" si="6"/>
        <v>1.1546259668601633</v>
      </c>
      <c r="V48" s="1">
        <f t="shared" si="6"/>
        <v>1.1546259668601633</v>
      </c>
      <c r="X48" s="5"/>
      <c r="Y48" s="5"/>
      <c r="Z48" s="5"/>
      <c r="AA48" s="5"/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>
      <c r="B49" s="7">
        <v>3681.6</v>
      </c>
      <c r="C49" s="8">
        <v>1.2471E-12</v>
      </c>
      <c r="D49" s="8">
        <v>1.2471E-12</v>
      </c>
      <c r="E49" s="8">
        <v>1.2471E-12</v>
      </c>
      <c r="F49" s="1">
        <v>3.0175000000000001E-14</v>
      </c>
      <c r="G49" s="1">
        <v>6.6346000000000001E-18</v>
      </c>
      <c r="H49" s="1">
        <v>4.6253000000000002E-11</v>
      </c>
      <c r="I49" s="1">
        <v>8.2389999999999999E-11</v>
      </c>
      <c r="J49" s="8"/>
      <c r="K49" s="1"/>
      <c r="L49" s="1"/>
      <c r="M49" s="1"/>
      <c r="N49" s="7"/>
      <c r="O49">
        <f t="shared" si="4"/>
        <v>61.36</v>
      </c>
      <c r="P49" s="6">
        <f t="shared" si="5"/>
        <v>102.01246568996582</v>
      </c>
      <c r="Q49" s="6">
        <f t="shared" si="0"/>
        <v>36.341214337798803</v>
      </c>
      <c r="R49" s="6">
        <f t="shared" si="1"/>
        <v>64.692037449908383</v>
      </c>
      <c r="S49" s="5">
        <f t="shared" si="2"/>
        <v>0</v>
      </c>
      <c r="T49" s="6">
        <f t="shared" si="6"/>
        <v>0.97921390225862592</v>
      </c>
      <c r="U49" s="1">
        <f t="shared" si="6"/>
        <v>0.97921390225862592</v>
      </c>
      <c r="V49" s="1">
        <f t="shared" si="6"/>
        <v>0.97921390225862592</v>
      </c>
      <c r="X49" s="5"/>
      <c r="Y49" s="5"/>
      <c r="Z49" s="5"/>
      <c r="AA49" s="5"/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>
      <c r="B50" s="7">
        <v>3812.5</v>
      </c>
      <c r="C50" s="8">
        <v>1.0576000000000001E-12</v>
      </c>
      <c r="D50" s="8">
        <v>1.0576000000000001E-12</v>
      </c>
      <c r="E50" s="8">
        <v>1.0576000000000001E-12</v>
      </c>
      <c r="F50" s="1">
        <v>2.5590000000000001E-14</v>
      </c>
      <c r="G50" s="1">
        <v>5.6241999999999997E-18</v>
      </c>
      <c r="H50" s="1">
        <v>4.6323000000000001E-11</v>
      </c>
      <c r="I50" s="1">
        <v>8.2514999999999999E-11</v>
      </c>
      <c r="J50" s="8"/>
      <c r="K50" s="1"/>
      <c r="L50" s="1"/>
      <c r="M50" s="1"/>
      <c r="N50" s="7"/>
      <c r="O50">
        <f t="shared" si="4"/>
        <v>63.541666666666664</v>
      </c>
      <c r="P50" s="6">
        <f t="shared" si="5"/>
        <v>102.0131833479907</v>
      </c>
      <c r="Q50" s="6">
        <f t="shared" si="0"/>
        <v>36.392577722784964</v>
      </c>
      <c r="R50" s="6">
        <f t="shared" si="1"/>
        <v>64.790185752678497</v>
      </c>
      <c r="S50" s="5">
        <f t="shared" si="2"/>
        <v>0</v>
      </c>
      <c r="T50" s="6">
        <f t="shared" si="6"/>
        <v>0.83041987252724159</v>
      </c>
      <c r="U50" s="1">
        <f t="shared" si="6"/>
        <v>0.83041987252724159</v>
      </c>
      <c r="V50" s="1">
        <f t="shared" si="6"/>
        <v>0.83041987252724159</v>
      </c>
      <c r="X50" s="5"/>
      <c r="Y50" s="5"/>
      <c r="Z50" s="5"/>
      <c r="AA50" s="5"/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>
      <c r="B51" s="7">
        <v>3943.4</v>
      </c>
      <c r="C51" s="8">
        <v>8.9690000000000005E-13</v>
      </c>
      <c r="D51" s="8">
        <v>8.9690000000000005E-13</v>
      </c>
      <c r="E51" s="8">
        <v>8.9690000000000005E-13</v>
      </c>
      <c r="F51" s="1">
        <v>2.1702000000000001E-14</v>
      </c>
      <c r="G51" s="1">
        <v>4.7759999999999999E-18</v>
      </c>
      <c r="H51" s="1">
        <v>4.6381999999999997E-11</v>
      </c>
      <c r="I51" s="1">
        <v>8.2621000000000003E-11</v>
      </c>
      <c r="J51" s="8"/>
      <c r="K51" s="1"/>
      <c r="L51" s="1"/>
      <c r="M51" s="1"/>
      <c r="N51" s="7"/>
      <c r="O51">
        <f t="shared" si="4"/>
        <v>65.723333333333329</v>
      </c>
      <c r="P51" s="6">
        <f t="shared" si="5"/>
        <v>102.01350618141105</v>
      </c>
      <c r="Q51" s="6">
        <f t="shared" si="0"/>
        <v>36.435851266671797</v>
      </c>
      <c r="R51" s="6">
        <f t="shared" si="1"/>
        <v>64.873415520195294</v>
      </c>
      <c r="S51" s="5">
        <f t="shared" si="2"/>
        <v>0</v>
      </c>
      <c r="T51" s="6">
        <f t="shared" si="6"/>
        <v>0.70423939454395135</v>
      </c>
      <c r="U51" s="1">
        <f t="shared" si="6"/>
        <v>0.70423939454395135</v>
      </c>
      <c r="V51" s="1">
        <f t="shared" si="6"/>
        <v>0.70423939454395135</v>
      </c>
      <c r="X51" s="5"/>
      <c r="Y51" s="5"/>
      <c r="Z51" s="5"/>
      <c r="AA51" s="5"/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>
      <c r="B52" s="7">
        <v>4074.3</v>
      </c>
      <c r="C52" s="8">
        <v>7.6062999999999996E-13</v>
      </c>
      <c r="D52" s="8">
        <v>7.6062999999999996E-13</v>
      </c>
      <c r="E52" s="8">
        <v>7.6062999999999996E-13</v>
      </c>
      <c r="F52" s="1">
        <v>1.8405000000000001E-14</v>
      </c>
      <c r="G52" s="1">
        <v>4.0575999999999999E-18</v>
      </c>
      <c r="H52" s="1">
        <v>4.6431999999999999E-11</v>
      </c>
      <c r="I52" s="1">
        <v>8.2711E-11</v>
      </c>
      <c r="J52" s="8"/>
      <c r="K52" s="1"/>
      <c r="L52" s="1"/>
      <c r="M52" s="1"/>
      <c r="N52" s="7"/>
      <c r="O52">
        <f t="shared" si="4"/>
        <v>67.905000000000001</v>
      </c>
      <c r="P52" s="6">
        <f t="shared" si="5"/>
        <v>102.01384560579754</v>
      </c>
      <c r="Q52" s="6">
        <f t="shared" si="0"/>
        <v>36.472522124563859</v>
      </c>
      <c r="R52" s="6">
        <f t="shared" si="1"/>
        <v>64.944082305325594</v>
      </c>
      <c r="S52" s="5">
        <f t="shared" si="2"/>
        <v>0</v>
      </c>
      <c r="T52" s="6">
        <f t="shared" si="6"/>
        <v>0.59724117590808967</v>
      </c>
      <c r="U52" s="1">
        <f t="shared" si="6"/>
        <v>0.59724117590808967</v>
      </c>
      <c r="V52" s="1">
        <f t="shared" si="6"/>
        <v>0.59724117590808967</v>
      </c>
      <c r="X52" s="5"/>
      <c r="Y52" s="5"/>
      <c r="Z52" s="5"/>
      <c r="AA52" s="5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>
      <c r="B53" s="7">
        <v>4205.2</v>
      </c>
      <c r="C53" s="8">
        <v>6.4505999999999998E-13</v>
      </c>
      <c r="D53" s="8">
        <v>6.4505999999999998E-13</v>
      </c>
      <c r="E53" s="8">
        <v>6.4505999999999998E-13</v>
      </c>
      <c r="F53" s="1">
        <v>1.5608E-14</v>
      </c>
      <c r="G53" s="1">
        <v>3.4334999999999999E-18</v>
      </c>
      <c r="H53" s="1">
        <v>4.6473999999999998E-11</v>
      </c>
      <c r="I53" s="1">
        <v>8.2787000000000006E-11</v>
      </c>
      <c r="J53" s="8"/>
      <c r="K53" s="1"/>
      <c r="L53" s="1"/>
      <c r="M53" s="1"/>
      <c r="N53" s="7"/>
      <c r="O53">
        <f t="shared" si="4"/>
        <v>70.086666666666659</v>
      </c>
      <c r="P53" s="6">
        <f t="shared" si="5"/>
        <v>102.01355695001251</v>
      </c>
      <c r="Q53" s="6">
        <f t="shared" si="0"/>
        <v>36.503304036688185</v>
      </c>
      <c r="R53" s="6">
        <f t="shared" si="1"/>
        <v>65.003756465733147</v>
      </c>
      <c r="S53" s="5">
        <f t="shared" si="2"/>
        <v>0</v>
      </c>
      <c r="T53" s="6">
        <f t="shared" si="6"/>
        <v>0.50649644759117096</v>
      </c>
      <c r="U53" s="1">
        <f t="shared" si="6"/>
        <v>0.50649644759117096</v>
      </c>
      <c r="V53" s="1">
        <f t="shared" si="6"/>
        <v>0.50649644759117096</v>
      </c>
      <c r="X53" s="5"/>
      <c r="Y53" s="5"/>
      <c r="Z53" s="5"/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>
      <c r="B54" s="7">
        <v>4320</v>
      </c>
      <c r="C54" s="8">
        <v>5.5815E-13</v>
      </c>
      <c r="D54" s="8">
        <v>5.5815E-13</v>
      </c>
      <c r="E54" s="8">
        <v>5.5815E-13</v>
      </c>
      <c r="F54" s="1">
        <v>1.3505E-14</v>
      </c>
      <c r="G54" s="1">
        <v>2.9673E-18</v>
      </c>
      <c r="H54" s="1">
        <v>4.6506000000000001E-11</v>
      </c>
      <c r="I54" s="1">
        <v>8.2844999999999999E-11</v>
      </c>
      <c r="J54" s="8"/>
      <c r="K54" s="1"/>
      <c r="L54" s="1"/>
      <c r="M54" s="1"/>
      <c r="N54" s="7"/>
      <c r="O54">
        <f t="shared" si="4"/>
        <v>72</v>
      </c>
      <c r="P54" s="6">
        <f t="shared" si="5"/>
        <v>102.01433156921867</v>
      </c>
      <c r="Q54" s="6">
        <f t="shared" si="0"/>
        <v>36.52677894490391</v>
      </c>
      <c r="R54" s="6">
        <f t="shared" si="1"/>
        <v>65.049297280280072</v>
      </c>
      <c r="S54" s="5">
        <f t="shared" si="2"/>
        <v>0</v>
      </c>
      <c r="T54" s="6">
        <f t="shared" si="6"/>
        <v>0.43825534403468214</v>
      </c>
      <c r="U54" s="1">
        <f t="shared" si="6"/>
        <v>0.43825534403468214</v>
      </c>
      <c r="V54" s="1">
        <f t="shared" si="6"/>
        <v>0.43825534403468214</v>
      </c>
      <c r="X54" s="5"/>
      <c r="Y54" s="5"/>
      <c r="Z54" s="5"/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>
      <c r="B55" s="7">
        <v>175</v>
      </c>
      <c r="C55" s="8">
        <v>1.142E-10</v>
      </c>
      <c r="D55" s="8">
        <v>1.142E-10</v>
      </c>
      <c r="E55" s="8">
        <v>1.142E-10</v>
      </c>
      <c r="J55" s="8"/>
      <c r="K55" s="1"/>
      <c r="L55" s="1"/>
      <c r="N55" s="7"/>
      <c r="P55" s="6"/>
      <c r="Q55" s="6"/>
      <c r="R55" s="6"/>
      <c r="S55" s="5"/>
      <c r="T55" s="6"/>
      <c r="U55" s="1"/>
      <c r="V55" s="1"/>
      <c r="X55" s="5"/>
      <c r="Y55" s="5"/>
      <c r="Z55" s="5"/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>
      <c r="B56" s="7">
        <v>180</v>
      </c>
      <c r="C56" s="8">
        <v>1.139E-10</v>
      </c>
      <c r="D56" s="8">
        <v>1.139E-10</v>
      </c>
      <c r="E56" s="8">
        <v>1.139E-10</v>
      </c>
      <c r="J56" s="8"/>
      <c r="K56" s="1"/>
      <c r="L56" s="1"/>
      <c r="N56" s="7"/>
      <c r="P56" s="6"/>
      <c r="Q56" s="6"/>
      <c r="R56" s="6"/>
      <c r="S56" s="5"/>
      <c r="T56" s="6"/>
      <c r="U56" s="1"/>
      <c r="V56" s="1"/>
      <c r="X56" s="5"/>
      <c r="Y56" s="5"/>
      <c r="Z56" s="5"/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>
      <c r="B57" s="7">
        <v>185</v>
      </c>
      <c r="C57" s="8">
        <v>1.136E-10</v>
      </c>
      <c r="D57" s="8">
        <v>1.136E-10</v>
      </c>
      <c r="E57" s="8">
        <v>1.136E-10</v>
      </c>
      <c r="J57" s="8"/>
      <c r="K57" s="1"/>
      <c r="L57" s="1"/>
      <c r="N57" s="7"/>
      <c r="P57" s="6"/>
      <c r="Q57" s="6"/>
      <c r="R57" s="6"/>
      <c r="S57" s="5"/>
      <c r="T57" s="6"/>
      <c r="U57" s="1"/>
      <c r="V57" s="1"/>
      <c r="X57" s="5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>
      <c r="B58" s="7">
        <v>190</v>
      </c>
      <c r="C58" s="8">
        <v>1.133E-10</v>
      </c>
      <c r="D58" s="8">
        <v>1.133E-10</v>
      </c>
      <c r="E58" s="8">
        <v>1.133E-10</v>
      </c>
      <c r="J58" s="8"/>
      <c r="K58" s="1"/>
      <c r="L58" s="1"/>
      <c r="N58" s="7"/>
      <c r="P58" s="6"/>
      <c r="Q58" s="6"/>
      <c r="R58" s="6"/>
      <c r="S58" s="5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>
      <c r="B59" s="7">
        <v>195</v>
      </c>
      <c r="C59" s="8">
        <v>1.13E-10</v>
      </c>
      <c r="D59" s="8">
        <v>1.13E-10</v>
      </c>
      <c r="E59" s="8">
        <v>1.13E-10</v>
      </c>
      <c r="J59" s="8"/>
      <c r="K59" s="1"/>
      <c r="L59" s="1"/>
      <c r="N59" s="7"/>
      <c r="P59" s="6"/>
      <c r="Q59" s="6"/>
      <c r="R59" s="6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>
      <c r="B60" s="7">
        <v>200</v>
      </c>
      <c r="C60" s="8">
        <v>1.127E-10</v>
      </c>
      <c r="D60" s="8">
        <v>1.127E-10</v>
      </c>
      <c r="E60" s="8">
        <v>1.127E-10</v>
      </c>
      <c r="J60" s="8"/>
      <c r="K60" s="1"/>
      <c r="L60" s="1"/>
      <c r="N60" s="7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>
      <c r="B61" s="7">
        <v>205</v>
      </c>
      <c r="C61" s="8">
        <v>1.1241E-10</v>
      </c>
      <c r="D61" s="8">
        <v>1.1241E-10</v>
      </c>
      <c r="E61" s="8">
        <v>1.1241E-10</v>
      </c>
      <c r="J61" s="8"/>
      <c r="K61" s="1"/>
      <c r="L61" s="1"/>
      <c r="N61" s="7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>
      <c r="B62" s="7">
        <v>210</v>
      </c>
      <c r="C62" s="8">
        <v>1.1211E-10</v>
      </c>
      <c r="D62" s="8">
        <v>1.1211E-10</v>
      </c>
      <c r="E62" s="8">
        <v>1.1211E-10</v>
      </c>
      <c r="J62" s="8"/>
      <c r="K62" s="1"/>
      <c r="L62" s="1"/>
      <c r="N62" s="7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>
      <c r="B63" s="7">
        <v>215</v>
      </c>
      <c r="C63" s="8">
        <v>1.1181E-10</v>
      </c>
      <c r="D63" s="8">
        <v>1.1181E-10</v>
      </c>
      <c r="E63" s="8">
        <v>1.1181E-10</v>
      </c>
      <c r="J63" s="8"/>
      <c r="K63" s="1"/>
      <c r="L63" s="1"/>
      <c r="N63" s="7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>
      <c r="B64" s="7">
        <v>220</v>
      </c>
      <c r="C64" s="8">
        <v>1.1152000000000001E-10</v>
      </c>
      <c r="D64" s="8">
        <v>1.1152000000000001E-10</v>
      </c>
      <c r="E64" s="8">
        <v>1.1152000000000001E-10</v>
      </c>
      <c r="J64" s="8"/>
      <c r="K64" s="1"/>
      <c r="L64" s="1"/>
      <c r="N64" s="7"/>
      <c r="P64" s="6"/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2:65">
      <c r="B65" s="7">
        <v>225</v>
      </c>
      <c r="C65" s="8">
        <v>1.1122E-10</v>
      </c>
      <c r="D65" s="8">
        <v>1.1122E-10</v>
      </c>
      <c r="E65" s="8">
        <v>1.1122E-10</v>
      </c>
      <c r="J65" s="8"/>
      <c r="K65" s="1"/>
      <c r="L65" s="1"/>
      <c r="N65" s="7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2:65">
      <c r="B66" s="7">
        <v>230</v>
      </c>
      <c r="C66" s="8">
        <v>1.1093E-10</v>
      </c>
      <c r="D66" s="8">
        <v>1.1093E-10</v>
      </c>
      <c r="E66" s="8">
        <v>1.1093E-10</v>
      </c>
      <c r="J66" s="8"/>
      <c r="K66" s="1"/>
      <c r="L66" s="1"/>
      <c r="N66" s="7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2:65">
      <c r="B67" s="7">
        <v>235</v>
      </c>
      <c r="C67" s="8">
        <v>1.1063E-10</v>
      </c>
      <c r="D67" s="8">
        <v>1.1063E-10</v>
      </c>
      <c r="E67" s="8">
        <v>1.1063E-10</v>
      </c>
      <c r="J67" s="8"/>
      <c r="K67" s="1"/>
      <c r="L67" s="1"/>
      <c r="N67" s="7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2:65">
      <c r="B68" s="7">
        <v>240</v>
      </c>
      <c r="C68" s="8">
        <v>1.1034E-10</v>
      </c>
      <c r="D68" s="8">
        <v>1.1034E-10</v>
      </c>
      <c r="E68" s="8">
        <v>1.1034E-10</v>
      </c>
      <c r="J68" s="8"/>
      <c r="K68" s="1"/>
      <c r="L68" s="1"/>
      <c r="N68" s="7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2:65">
      <c r="B69" s="7">
        <v>245</v>
      </c>
      <c r="C69" s="8">
        <v>1.1005E-10</v>
      </c>
      <c r="D69" s="8">
        <v>1.1005E-10</v>
      </c>
      <c r="E69" s="8">
        <v>1.1005E-10</v>
      </c>
      <c r="J69" s="8"/>
      <c r="K69" s="1"/>
      <c r="L69" s="1"/>
      <c r="N69" s="7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2:65">
      <c r="B70" s="7">
        <v>250</v>
      </c>
      <c r="C70" s="8">
        <v>1.0976E-10</v>
      </c>
      <c r="D70" s="8">
        <v>1.0976E-10</v>
      </c>
      <c r="E70" s="8">
        <v>1.0976E-10</v>
      </c>
      <c r="J70" s="8"/>
      <c r="K70" s="1"/>
      <c r="L70" s="1"/>
      <c r="N70" s="7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2:65">
      <c r="B71" s="7">
        <v>255</v>
      </c>
      <c r="C71" s="8">
        <v>1.0947E-10</v>
      </c>
      <c r="D71" s="8">
        <v>1.0947E-10</v>
      </c>
      <c r="E71" s="8">
        <v>1.0947E-10</v>
      </c>
      <c r="J71" s="8"/>
      <c r="K71" s="1"/>
      <c r="L71" s="1"/>
      <c r="N71" s="7"/>
      <c r="P71" s="6"/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2:65">
      <c r="B72" s="7">
        <v>260</v>
      </c>
      <c r="C72" s="8">
        <v>1.0918E-10</v>
      </c>
      <c r="D72" s="8">
        <v>1.0918E-10</v>
      </c>
      <c r="E72" s="8">
        <v>1.0918E-10</v>
      </c>
      <c r="J72" s="8"/>
      <c r="K72" s="1"/>
      <c r="L72" s="1"/>
      <c r="N72" s="7"/>
      <c r="P72" s="6"/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2:65">
      <c r="B73" s="7">
        <v>265</v>
      </c>
      <c r="C73" s="8">
        <v>1.0889E-10</v>
      </c>
      <c r="D73" s="8">
        <v>1.0889E-10</v>
      </c>
      <c r="E73" s="8">
        <v>1.0889E-10</v>
      </c>
      <c r="J73" s="8"/>
      <c r="K73" s="1"/>
      <c r="L73" s="1"/>
      <c r="N73" s="7"/>
      <c r="P73" s="6"/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2:65">
      <c r="B74" s="7">
        <v>270</v>
      </c>
      <c r="C74" s="8">
        <v>1.086E-10</v>
      </c>
      <c r="D74" s="8">
        <v>1.086E-10</v>
      </c>
      <c r="E74" s="8">
        <v>1.086E-10</v>
      </c>
      <c r="J74" s="8"/>
      <c r="K74" s="1"/>
      <c r="L74" s="1"/>
      <c r="N74" s="7"/>
      <c r="P74" s="6"/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2:65">
      <c r="B75" s="7">
        <v>275</v>
      </c>
      <c r="C75" s="8">
        <v>1.0831E-10</v>
      </c>
      <c r="D75" s="8">
        <v>1.0831E-10</v>
      </c>
      <c r="E75" s="8">
        <v>1.0831E-10</v>
      </c>
      <c r="J75" s="8"/>
      <c r="K75" s="1"/>
      <c r="L75" s="1"/>
      <c r="N75" s="7"/>
      <c r="P75" s="6"/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2:65">
      <c r="B76" s="7">
        <v>280</v>
      </c>
      <c r="C76" s="8">
        <v>1.0802000000000001E-10</v>
      </c>
      <c r="D76" s="8">
        <v>1.0802000000000001E-10</v>
      </c>
      <c r="E76" s="8">
        <v>1.0802000000000001E-10</v>
      </c>
      <c r="J76" s="8"/>
      <c r="K76" s="1"/>
      <c r="L76" s="1"/>
      <c r="N76" s="7"/>
      <c r="P76" s="6"/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2:65">
      <c r="B77" s="7">
        <v>285</v>
      </c>
      <c r="C77" s="8">
        <v>1.0773E-10</v>
      </c>
      <c r="D77" s="8">
        <v>1.0773E-10</v>
      </c>
      <c r="E77" s="8">
        <v>1.0773E-10</v>
      </c>
      <c r="J77" s="8"/>
      <c r="K77" s="1"/>
      <c r="L77" s="1"/>
      <c r="N77" s="7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2:65">
      <c r="B78" s="7">
        <v>290</v>
      </c>
      <c r="C78" s="8">
        <v>1.0745E-10</v>
      </c>
      <c r="D78" s="8">
        <v>1.0745E-10</v>
      </c>
      <c r="E78" s="8">
        <v>1.0745E-10</v>
      </c>
      <c r="J78" s="8"/>
      <c r="K78" s="1"/>
      <c r="L78" s="1"/>
      <c r="N78" s="7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2:65">
      <c r="B79" s="7">
        <v>295</v>
      </c>
      <c r="C79" s="8">
        <v>1.0715999999999999E-10</v>
      </c>
      <c r="D79" s="8">
        <v>1.0715999999999999E-10</v>
      </c>
      <c r="E79" s="8">
        <v>1.0715999999999999E-10</v>
      </c>
      <c r="J79" s="8"/>
      <c r="K79" s="1"/>
      <c r="L79" s="1"/>
      <c r="N79" s="7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2:65">
      <c r="B80" s="7">
        <v>300</v>
      </c>
      <c r="C80" s="8">
        <v>1.0688E-10</v>
      </c>
      <c r="D80" s="8">
        <v>1.0688E-10</v>
      </c>
      <c r="E80" s="8">
        <v>1.0688E-10</v>
      </c>
      <c r="J80" s="8"/>
      <c r="K80" s="1"/>
      <c r="L80" s="1"/>
      <c r="N80" s="7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2:65">
      <c r="B81" s="7">
        <v>310</v>
      </c>
      <c r="C81" s="8">
        <v>1.0631000000000001E-10</v>
      </c>
      <c r="D81" s="8">
        <v>1.0631000000000001E-10</v>
      </c>
      <c r="E81" s="8">
        <v>1.0631000000000001E-10</v>
      </c>
      <c r="J81" s="8"/>
      <c r="K81" s="1"/>
      <c r="L81" s="1"/>
      <c r="N81" s="7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2:65">
      <c r="B82" s="7">
        <v>320</v>
      </c>
      <c r="C82" s="8">
        <v>1.0575E-10</v>
      </c>
      <c r="D82" s="8">
        <v>1.0575E-10</v>
      </c>
      <c r="E82" s="8">
        <v>1.0575E-10</v>
      </c>
      <c r="J82" s="8"/>
      <c r="K82" s="1"/>
      <c r="L82" s="1"/>
      <c r="N82" s="7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2:65">
      <c r="B83" s="7">
        <v>330</v>
      </c>
      <c r="C83" s="8">
        <v>1.0518000000000001E-10</v>
      </c>
      <c r="D83" s="8">
        <v>1.0518000000000001E-10</v>
      </c>
      <c r="E83" s="8">
        <v>1.0518000000000001E-10</v>
      </c>
      <c r="J83" s="8"/>
      <c r="K83" s="1"/>
      <c r="L83" s="1"/>
      <c r="N83" s="7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2:65">
      <c r="B84" s="7">
        <v>340</v>
      </c>
      <c r="C84" s="8">
        <v>1.0463E-10</v>
      </c>
      <c r="D84" s="8">
        <v>1.0463E-10</v>
      </c>
      <c r="E84" s="8">
        <v>1.0463E-10</v>
      </c>
      <c r="J84" s="8"/>
      <c r="K84" s="1"/>
      <c r="L84" s="1"/>
      <c r="N84" s="7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2:65">
      <c r="B85" s="7">
        <v>350</v>
      </c>
      <c r="C85" s="8">
        <v>1.0407E-10</v>
      </c>
      <c r="D85" s="8">
        <v>1.0407E-10</v>
      </c>
      <c r="E85" s="8">
        <v>1.0407E-10</v>
      </c>
      <c r="J85" s="8"/>
      <c r="K85" s="1"/>
      <c r="L85" s="1"/>
      <c r="N85" s="7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2:65">
      <c r="B86" s="7">
        <v>360</v>
      </c>
      <c r="C86" s="8">
        <v>1.0352E-10</v>
      </c>
      <c r="D86" s="8">
        <v>1.0352E-10</v>
      </c>
      <c r="E86" s="8">
        <v>1.0352E-10</v>
      </c>
      <c r="J86" s="8"/>
      <c r="K86" s="1"/>
      <c r="L86" s="1"/>
      <c r="N86" s="7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2:65">
      <c r="B87" s="7">
        <v>370</v>
      </c>
      <c r="C87" s="8">
        <v>1.0296999999999999E-10</v>
      </c>
      <c r="D87" s="8">
        <v>1.0296999999999999E-10</v>
      </c>
      <c r="E87" s="8">
        <v>1.0296999999999999E-10</v>
      </c>
      <c r="J87" s="8"/>
      <c r="K87" s="1"/>
      <c r="L87" s="1"/>
      <c r="N87" s="7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2:65">
      <c r="B88" s="7">
        <v>380</v>
      </c>
      <c r="C88" s="8">
        <v>1.0241999999999999E-10</v>
      </c>
      <c r="D88" s="8">
        <v>1.0241999999999999E-10</v>
      </c>
      <c r="E88" s="8">
        <v>1.0241999999999999E-10</v>
      </c>
      <c r="J88" s="8"/>
      <c r="K88" s="1"/>
      <c r="L88" s="1"/>
      <c r="N88" s="7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2:65">
      <c r="B89" s="7">
        <v>390</v>
      </c>
      <c r="C89" s="8">
        <v>1.0188E-10</v>
      </c>
      <c r="D89" s="8">
        <v>1.0188E-10</v>
      </c>
      <c r="E89" s="8">
        <v>1.0188E-10</v>
      </c>
      <c r="J89" s="8"/>
      <c r="K89" s="1"/>
      <c r="L89" s="1"/>
      <c r="N89" s="7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2:65">
      <c r="B90" s="7">
        <v>400</v>
      </c>
      <c r="C90" s="8">
        <v>1.0133E-10</v>
      </c>
      <c r="D90" s="8">
        <v>1.0133E-10</v>
      </c>
      <c r="E90" s="8">
        <v>1.0133E-10</v>
      </c>
      <c r="J90" s="8"/>
      <c r="K90" s="1"/>
      <c r="L90" s="1"/>
      <c r="N90" s="7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2:65">
      <c r="B91" s="7">
        <v>410</v>
      </c>
      <c r="C91" s="8">
        <v>1.008E-10</v>
      </c>
      <c r="D91" s="8">
        <v>1.008E-10</v>
      </c>
      <c r="E91" s="8">
        <v>1.008E-10</v>
      </c>
      <c r="J91" s="8"/>
      <c r="K91" s="1"/>
      <c r="L91" s="1"/>
      <c r="N91" s="7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2:65">
      <c r="B92" s="7">
        <v>420</v>
      </c>
      <c r="C92" s="8">
        <v>1.0026E-10</v>
      </c>
      <c r="D92" s="8">
        <v>1.0026E-10</v>
      </c>
      <c r="E92" s="8">
        <v>1.0026E-10</v>
      </c>
      <c r="J92" s="8"/>
      <c r="K92" s="1"/>
      <c r="L92" s="1"/>
      <c r="N92" s="7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2:65">
      <c r="B93" s="7">
        <v>430</v>
      </c>
      <c r="C93" s="8">
        <v>9.9727999999999997E-11</v>
      </c>
      <c r="D93" s="8">
        <v>9.9727999999999997E-11</v>
      </c>
      <c r="E93" s="8">
        <v>9.9727999999999997E-11</v>
      </c>
      <c r="J93" s="8"/>
      <c r="K93" s="1"/>
      <c r="L93" s="1"/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2:65">
      <c r="B94" s="7">
        <v>440</v>
      </c>
      <c r="C94" s="8">
        <v>9.9198E-11</v>
      </c>
      <c r="D94" s="8">
        <v>9.9198E-11</v>
      </c>
      <c r="E94" s="8">
        <v>9.9198E-11</v>
      </c>
      <c r="J94" s="8"/>
      <c r="K94" s="1"/>
      <c r="L94" s="1"/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2:65">
      <c r="B95" s="7">
        <v>450</v>
      </c>
      <c r="C95" s="8">
        <v>9.8671000000000002E-11</v>
      </c>
      <c r="D95" s="8">
        <v>9.8671000000000002E-11</v>
      </c>
      <c r="E95" s="8">
        <v>9.8671000000000002E-11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2:65">
      <c r="B96" s="7">
        <v>460</v>
      </c>
      <c r="C96" s="8">
        <v>9.8147000000000005E-11</v>
      </c>
      <c r="D96" s="8">
        <v>9.8147000000000005E-11</v>
      </c>
      <c r="E96" s="8">
        <v>9.8147000000000005E-11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>
      <c r="B97" s="7">
        <v>470</v>
      </c>
      <c r="C97" s="8">
        <v>9.7625999999999995E-11</v>
      </c>
      <c r="D97" s="8">
        <v>9.7625999999999995E-11</v>
      </c>
      <c r="E97" s="8">
        <v>9.7625999999999995E-11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>
      <c r="B98" s="7">
        <v>480</v>
      </c>
      <c r="C98" s="8">
        <v>9.7107000000000001E-11</v>
      </c>
      <c r="D98" s="8">
        <v>9.7107000000000001E-11</v>
      </c>
      <c r="E98" s="8">
        <v>9.7107000000000001E-11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>
      <c r="B99" s="7">
        <v>490</v>
      </c>
      <c r="C99" s="8">
        <v>9.6590999999999995E-11</v>
      </c>
      <c r="D99" s="8">
        <v>9.6590999999999995E-11</v>
      </c>
      <c r="E99" s="8">
        <v>9.6590999999999995E-11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>
      <c r="B100" s="7">
        <v>500</v>
      </c>
      <c r="C100" s="8">
        <v>9.6078000000000002E-11</v>
      </c>
      <c r="D100" s="8">
        <v>9.6078000000000002E-11</v>
      </c>
      <c r="E100" s="8">
        <v>9.6078000000000002E-11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>
      <c r="B101" s="7">
        <v>510</v>
      </c>
      <c r="C101" s="8">
        <v>9.5567999999999995E-11</v>
      </c>
      <c r="D101" s="8">
        <v>9.5567999999999995E-11</v>
      </c>
      <c r="E101" s="8">
        <v>9.5567999999999995E-11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>
      <c r="B102" s="7">
        <v>520</v>
      </c>
      <c r="C102" s="8">
        <v>9.5060000000000006E-11</v>
      </c>
      <c r="D102" s="8">
        <v>9.5060000000000006E-11</v>
      </c>
      <c r="E102" s="8">
        <v>9.5060000000000006E-11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>
      <c r="B103" s="7">
        <v>530</v>
      </c>
      <c r="C103" s="8">
        <v>9.4555999999999999E-11</v>
      </c>
      <c r="D103" s="8">
        <v>9.4555999999999999E-11</v>
      </c>
      <c r="E103" s="8">
        <v>9.4555999999999999E-11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>
      <c r="B104" s="7">
        <v>540</v>
      </c>
      <c r="C104" s="8">
        <v>9.4053000000000001E-11</v>
      </c>
      <c r="D104" s="8">
        <v>9.4053000000000001E-11</v>
      </c>
      <c r="E104" s="8">
        <v>9.4053000000000001E-11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>
      <c r="B105" s="7">
        <v>550</v>
      </c>
      <c r="C105" s="8">
        <v>9.3553999999999998E-11</v>
      </c>
      <c r="D105" s="8">
        <v>9.3553999999999998E-11</v>
      </c>
      <c r="E105" s="8">
        <v>9.3553999999999998E-11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>
      <c r="B106" s="7">
        <v>560</v>
      </c>
      <c r="C106" s="8">
        <v>9.3057E-11</v>
      </c>
      <c r="D106" s="8">
        <v>9.3057E-11</v>
      </c>
      <c r="E106" s="8">
        <v>9.3057E-11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>
      <c r="B107" s="7">
        <v>570</v>
      </c>
      <c r="C107" s="8">
        <v>9.2563000000000001E-11</v>
      </c>
      <c r="D107" s="8">
        <v>9.2563000000000001E-11</v>
      </c>
      <c r="E107" s="8">
        <v>9.2563000000000001E-11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>
      <c r="B108" s="7">
        <v>580</v>
      </c>
      <c r="C108" s="8">
        <v>9.2072000000000003E-11</v>
      </c>
      <c r="D108" s="8">
        <v>9.2072000000000003E-11</v>
      </c>
      <c r="E108" s="8">
        <v>9.2072000000000003E-11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>
      <c r="B109" s="7">
        <v>590</v>
      </c>
      <c r="C109" s="8">
        <v>9.1582999999999995E-11</v>
      </c>
      <c r="D109" s="8">
        <v>9.1582999999999995E-11</v>
      </c>
      <c r="E109" s="8">
        <v>9.1582999999999995E-11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>
      <c r="B110" s="7">
        <v>600</v>
      </c>
      <c r="C110" s="8">
        <v>9.1097000000000001E-11</v>
      </c>
      <c r="D110" s="8">
        <v>9.1097000000000001E-11</v>
      </c>
      <c r="E110" s="8">
        <v>9.1097000000000001E-11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>
      <c r="B111" s="7">
        <v>610</v>
      </c>
      <c r="C111" s="8">
        <v>9.0612999999999998E-11</v>
      </c>
      <c r="D111" s="8">
        <v>9.0612999999999998E-11</v>
      </c>
      <c r="E111" s="8">
        <v>9.0612999999999998E-11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>
      <c r="B112" s="7">
        <v>620</v>
      </c>
      <c r="C112" s="8">
        <v>9.0131999999999994E-11</v>
      </c>
      <c r="D112" s="8">
        <v>9.0131999999999994E-11</v>
      </c>
      <c r="E112" s="8">
        <v>9.0131999999999994E-11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>
      <c r="B113" s="7">
        <v>630</v>
      </c>
      <c r="C113" s="8">
        <v>8.9654000000000004E-11</v>
      </c>
      <c r="D113" s="8">
        <v>8.9654000000000004E-11</v>
      </c>
      <c r="E113" s="8">
        <v>8.9654000000000004E-11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>
      <c r="B114" s="7">
        <v>640</v>
      </c>
      <c r="C114" s="8">
        <v>8.9178000000000005E-11</v>
      </c>
      <c r="D114" s="8">
        <v>8.9178000000000005E-11</v>
      </c>
      <c r="E114" s="8">
        <v>8.9178000000000005E-11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>
      <c r="B115" s="7">
        <v>650</v>
      </c>
      <c r="C115" s="8">
        <v>8.8705000000000005E-11</v>
      </c>
      <c r="D115" s="8">
        <v>8.8705000000000005E-11</v>
      </c>
      <c r="E115" s="8">
        <v>8.8705000000000005E-11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>
      <c r="B116" s="7">
        <v>660</v>
      </c>
      <c r="C116" s="8">
        <v>8.8233999999999997E-11</v>
      </c>
      <c r="D116" s="8">
        <v>8.8233999999999997E-11</v>
      </c>
      <c r="E116" s="8">
        <v>8.8233999999999997E-11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>
      <c r="B117" s="7">
        <v>670</v>
      </c>
      <c r="C117" s="8">
        <v>8.7766000000000002E-11</v>
      </c>
      <c r="D117" s="8">
        <v>8.7766000000000002E-11</v>
      </c>
      <c r="E117" s="8">
        <v>8.7766000000000002E-11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>
      <c r="B118" s="7">
        <v>680</v>
      </c>
      <c r="C118" s="8">
        <v>8.7299999999999998E-11</v>
      </c>
      <c r="D118" s="8">
        <v>8.7299999999999998E-11</v>
      </c>
      <c r="E118" s="8">
        <v>8.7299999999999998E-11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>
      <c r="B119" s="7">
        <v>690</v>
      </c>
      <c r="C119" s="8">
        <v>8.6836999999999994E-11</v>
      </c>
      <c r="D119" s="8">
        <v>8.6836999999999994E-11</v>
      </c>
      <c r="E119" s="8">
        <v>8.6836999999999994E-11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>
      <c r="B120" s="7">
        <v>700</v>
      </c>
      <c r="C120" s="8">
        <v>8.6375999999999995E-11</v>
      </c>
      <c r="D120" s="8">
        <v>8.6375999999999995E-11</v>
      </c>
      <c r="E120" s="8">
        <v>8.6375999999999995E-11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>
      <c r="B121" s="7">
        <v>720</v>
      </c>
      <c r="C121" s="8">
        <v>8.5461000000000003E-11</v>
      </c>
      <c r="D121" s="8">
        <v>8.5461000000000003E-11</v>
      </c>
      <c r="E121" s="8">
        <v>8.5461000000000003E-11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>
      <c r="B122" s="7">
        <v>740</v>
      </c>
      <c r="C122" s="8">
        <v>8.4561999999999995E-11</v>
      </c>
      <c r="D122" s="8">
        <v>8.4561999999999995E-11</v>
      </c>
      <c r="E122" s="8">
        <v>8.4561999999999995E-11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>
      <c r="B123" s="7">
        <v>760</v>
      </c>
      <c r="C123" s="8">
        <v>8.3671000000000002E-11</v>
      </c>
      <c r="D123" s="8">
        <v>8.3671000000000002E-11</v>
      </c>
      <c r="E123" s="8">
        <v>8.3671000000000002E-11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>
      <c r="B124" s="7">
        <v>780</v>
      </c>
      <c r="C124" s="8">
        <v>8.2791000000000001E-11</v>
      </c>
      <c r="D124" s="8">
        <v>8.2791000000000001E-11</v>
      </c>
      <c r="E124" s="8">
        <v>8.2791000000000001E-11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>
      <c r="B125" s="7">
        <v>800</v>
      </c>
      <c r="C125" s="8">
        <v>8.1916000000000004E-11</v>
      </c>
      <c r="D125" s="8">
        <v>8.1916000000000004E-11</v>
      </c>
      <c r="E125" s="8">
        <v>8.1916000000000004E-11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>
      <c r="B126" s="7">
        <v>820</v>
      </c>
      <c r="C126" s="8">
        <v>8.1049999999999994E-11</v>
      </c>
      <c r="D126" s="8">
        <v>8.1049999999999994E-11</v>
      </c>
      <c r="E126" s="8">
        <v>8.1049999999999994E-11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>
      <c r="B127" s="7">
        <v>840</v>
      </c>
      <c r="C127" s="8">
        <v>8.0192000000000001E-11</v>
      </c>
      <c r="D127" s="8">
        <v>8.0192000000000001E-11</v>
      </c>
      <c r="E127" s="8">
        <v>8.0192000000000001E-11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>
      <c r="B128" s="7">
        <v>860</v>
      </c>
      <c r="C128" s="8">
        <v>7.9344000000000003E-11</v>
      </c>
      <c r="D128" s="8">
        <v>7.9344000000000003E-11</v>
      </c>
      <c r="E128" s="8">
        <v>7.9344000000000003E-11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>
      <c r="B129" s="7">
        <v>880</v>
      </c>
      <c r="C129" s="8">
        <v>7.8503999999999996E-11</v>
      </c>
      <c r="D129" s="8">
        <v>7.8503999999999996E-11</v>
      </c>
      <c r="E129" s="8">
        <v>7.8503999999999996E-11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>
      <c r="B130" s="7">
        <v>900</v>
      </c>
      <c r="C130" s="8">
        <v>7.7673999999999997E-11</v>
      </c>
      <c r="D130" s="8">
        <v>7.7673999999999997E-11</v>
      </c>
      <c r="E130" s="8">
        <v>7.7673999999999997E-11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>
      <c r="B131" s="7">
        <v>920</v>
      </c>
      <c r="C131" s="8">
        <v>7.6852000000000003E-11</v>
      </c>
      <c r="D131" s="8">
        <v>7.6852000000000003E-11</v>
      </c>
      <c r="E131" s="8">
        <v>7.6852000000000003E-11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>
      <c r="B132" s="7">
        <v>940</v>
      </c>
      <c r="C132" s="8">
        <v>7.6038999999999995E-11</v>
      </c>
      <c r="D132" s="8">
        <v>7.6038999999999995E-11</v>
      </c>
      <c r="E132" s="8">
        <v>7.6038999999999995E-11</v>
      </c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>
      <c r="B133" s="7">
        <v>960</v>
      </c>
      <c r="C133" s="8">
        <v>7.5234999999999999E-11</v>
      </c>
      <c r="D133" s="8">
        <v>7.5234999999999999E-11</v>
      </c>
      <c r="E133" s="8">
        <v>7.5234999999999999E-11</v>
      </c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>
      <c r="B134" s="7">
        <v>980</v>
      </c>
      <c r="C134" s="8">
        <v>7.4438999999999995E-11</v>
      </c>
      <c r="D134" s="8">
        <v>7.4438999999999995E-11</v>
      </c>
      <c r="E134" s="8">
        <v>7.4438999999999995E-11</v>
      </c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>
      <c r="B135" s="7">
        <v>1000</v>
      </c>
      <c r="C135" s="8">
        <v>7.3650999999999995E-11</v>
      </c>
      <c r="D135" s="8">
        <v>7.3650999999999995E-11</v>
      </c>
      <c r="E135" s="8">
        <v>7.3650999999999995E-11</v>
      </c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>
      <c r="B136" s="7">
        <v>1020</v>
      </c>
      <c r="C136" s="8">
        <v>7.2871999999999994E-11</v>
      </c>
      <c r="D136" s="8">
        <v>7.2871999999999994E-11</v>
      </c>
      <c r="E136" s="8">
        <v>7.2871999999999994E-11</v>
      </c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>
      <c r="B137" s="7">
        <v>1040</v>
      </c>
      <c r="C137" s="8">
        <v>7.2102000000000006E-11</v>
      </c>
      <c r="D137" s="8">
        <v>7.2102000000000006E-11</v>
      </c>
      <c r="E137" s="8">
        <v>7.2102000000000006E-11</v>
      </c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>
      <c r="B138" s="7">
        <v>1060</v>
      </c>
      <c r="C138" s="8">
        <v>7.1339E-11</v>
      </c>
      <c r="D138" s="8">
        <v>7.1339E-11</v>
      </c>
      <c r="E138" s="8">
        <v>7.1339E-11</v>
      </c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>
      <c r="B139" s="7">
        <v>1080</v>
      </c>
      <c r="C139" s="8">
        <v>7.0583999999999999E-11</v>
      </c>
      <c r="D139" s="8">
        <v>7.0583999999999999E-11</v>
      </c>
      <c r="E139" s="8">
        <v>7.0583999999999999E-11</v>
      </c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>
      <c r="B140" s="7">
        <v>1100</v>
      </c>
      <c r="C140" s="8">
        <v>6.9837999999999997E-11</v>
      </c>
      <c r="D140" s="8">
        <v>6.9837999999999997E-11</v>
      </c>
      <c r="E140" s="8">
        <v>6.9837999999999997E-11</v>
      </c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>
      <c r="B141" s="7">
        <v>1120</v>
      </c>
      <c r="C141" s="8">
        <v>6.9099000000000004E-11</v>
      </c>
      <c r="D141" s="8">
        <v>6.9099000000000004E-11</v>
      </c>
      <c r="E141" s="8">
        <v>6.9099000000000004E-11</v>
      </c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>
      <c r="B142" s="7">
        <v>1140</v>
      </c>
      <c r="C142" s="8">
        <v>6.8368000000000001E-11</v>
      </c>
      <c r="D142" s="8">
        <v>6.8368000000000001E-11</v>
      </c>
      <c r="E142" s="8">
        <v>6.8368000000000001E-11</v>
      </c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>
      <c r="B143" s="7">
        <v>1160</v>
      </c>
      <c r="C143" s="8">
        <v>6.7645000000000003E-11</v>
      </c>
      <c r="D143" s="8">
        <v>6.7645000000000003E-11</v>
      </c>
      <c r="E143" s="8">
        <v>6.7645000000000003E-11</v>
      </c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>
      <c r="B144" s="7">
        <v>1180</v>
      </c>
      <c r="C144" s="8">
        <v>6.6929999999999995E-11</v>
      </c>
      <c r="D144" s="8">
        <v>6.6929999999999995E-11</v>
      </c>
      <c r="E144" s="8">
        <v>6.6929999999999995E-11</v>
      </c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>
      <c r="B145" s="7">
        <v>1200</v>
      </c>
      <c r="C145" s="8">
        <v>6.6221999999999996E-11</v>
      </c>
      <c r="D145" s="8">
        <v>6.6221999999999996E-11</v>
      </c>
      <c r="E145" s="8">
        <v>6.6221999999999996E-11</v>
      </c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>
      <c r="B146" s="7">
        <v>1220</v>
      </c>
      <c r="C146" s="8">
        <v>6.5522000000000001E-11</v>
      </c>
      <c r="D146" s="8">
        <v>6.5522000000000001E-11</v>
      </c>
      <c r="E146" s="8">
        <v>6.5522000000000001E-11</v>
      </c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>
      <c r="B147" s="7">
        <v>1240</v>
      </c>
      <c r="C147" s="8">
        <v>6.4829000000000002E-11</v>
      </c>
      <c r="D147" s="8">
        <v>6.4829000000000002E-11</v>
      </c>
      <c r="E147" s="8">
        <v>6.4829000000000002E-11</v>
      </c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>
      <c r="B148" s="7">
        <v>1260</v>
      </c>
      <c r="C148" s="8">
        <v>6.4142999999999998E-11</v>
      </c>
      <c r="D148" s="8">
        <v>6.4142999999999998E-11</v>
      </c>
      <c r="E148" s="8">
        <v>6.4142999999999998E-11</v>
      </c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>
      <c r="B149" s="7">
        <v>1280</v>
      </c>
      <c r="C149" s="8">
        <v>6.3464999999999997E-11</v>
      </c>
      <c r="D149" s="8">
        <v>6.3464999999999997E-11</v>
      </c>
      <c r="E149" s="8">
        <v>6.3464999999999997E-11</v>
      </c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>
      <c r="B150" s="7">
        <v>1300</v>
      </c>
      <c r="C150" s="8">
        <v>6.2794000000000006E-11</v>
      </c>
      <c r="D150" s="8">
        <v>6.2794000000000006E-11</v>
      </c>
      <c r="E150" s="8">
        <v>6.2794000000000006E-11</v>
      </c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>
      <c r="B151" s="7">
        <v>1320</v>
      </c>
      <c r="C151" s="8">
        <v>6.2129999999999996E-11</v>
      </c>
      <c r="D151" s="8">
        <v>6.2129999999999996E-11</v>
      </c>
      <c r="E151" s="8">
        <v>6.2129999999999996E-11</v>
      </c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>
      <c r="B152" s="7">
        <v>1340</v>
      </c>
      <c r="C152" s="8">
        <v>6.1472E-11</v>
      </c>
      <c r="D152" s="8">
        <v>6.1472E-11</v>
      </c>
      <c r="E152" s="8">
        <v>6.1472E-11</v>
      </c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>
      <c r="B153" s="7">
        <v>1360</v>
      </c>
      <c r="C153" s="8">
        <v>6.0821999999999994E-11</v>
      </c>
      <c r="D153" s="8">
        <v>6.0821999999999994E-11</v>
      </c>
      <c r="E153" s="8">
        <v>6.0821999999999994E-11</v>
      </c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>
      <c r="B154" s="7">
        <v>1380</v>
      </c>
      <c r="C154" s="8">
        <v>6.0178999999999997E-11</v>
      </c>
      <c r="D154" s="8">
        <v>6.0178999999999997E-11</v>
      </c>
      <c r="E154" s="8">
        <v>6.0178999999999997E-11</v>
      </c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>
      <c r="B155" s="7">
        <v>1400</v>
      </c>
      <c r="C155" s="8">
        <v>5.9542999999999995E-11</v>
      </c>
      <c r="D155" s="8">
        <v>5.9542999999999995E-11</v>
      </c>
      <c r="E155" s="8">
        <v>5.9542999999999995E-11</v>
      </c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>
      <c r="B156" s="7">
        <v>1420</v>
      </c>
      <c r="C156" s="8">
        <v>5.8913000000000006E-11</v>
      </c>
      <c r="D156" s="8">
        <v>5.8913000000000006E-11</v>
      </c>
      <c r="E156" s="8">
        <v>5.8913000000000006E-11</v>
      </c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>
      <c r="B157" s="7">
        <v>1440</v>
      </c>
      <c r="C157" s="8">
        <v>5.829E-11</v>
      </c>
      <c r="D157" s="8">
        <v>5.829E-11</v>
      </c>
      <c r="E157" s="8">
        <v>5.829E-11</v>
      </c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>
      <c r="B158" s="7">
        <v>1460</v>
      </c>
      <c r="C158" s="8">
        <v>5.7674000000000002E-11</v>
      </c>
      <c r="D158" s="8">
        <v>5.7674000000000002E-11</v>
      </c>
      <c r="E158" s="8">
        <v>5.7674000000000002E-11</v>
      </c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>
      <c r="B159" s="7">
        <v>1480</v>
      </c>
      <c r="C159" s="8">
        <v>5.7064000000000003E-11</v>
      </c>
      <c r="D159" s="8">
        <v>5.7064000000000003E-11</v>
      </c>
      <c r="E159" s="8">
        <v>5.7064000000000003E-11</v>
      </c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>
      <c r="B160" s="7">
        <v>1500</v>
      </c>
      <c r="C160" s="8">
        <v>5.6459999999999998E-11</v>
      </c>
      <c r="D160" s="8">
        <v>5.6459999999999998E-11</v>
      </c>
      <c r="E160" s="8">
        <v>5.6459999999999998E-11</v>
      </c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>
      <c r="B161" s="7">
        <v>1520</v>
      </c>
      <c r="C161" s="8">
        <v>5.5863000000000001E-11</v>
      </c>
      <c r="D161" s="8">
        <v>5.5863000000000001E-11</v>
      </c>
      <c r="E161" s="8">
        <v>5.5863000000000001E-11</v>
      </c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>
      <c r="B162" s="7">
        <v>1560</v>
      </c>
      <c r="C162" s="8">
        <v>5.4688000000000003E-11</v>
      </c>
      <c r="D162" s="8">
        <v>5.4688000000000003E-11</v>
      </c>
      <c r="E162" s="8">
        <v>5.4688000000000003E-11</v>
      </c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>
      <c r="B163" s="7">
        <v>1600</v>
      </c>
      <c r="C163" s="8">
        <v>5.3536999999999997E-11</v>
      </c>
      <c r="D163" s="8">
        <v>5.3536999999999997E-11</v>
      </c>
      <c r="E163" s="8">
        <v>5.3536999999999997E-11</v>
      </c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>
      <c r="B164" s="7">
        <v>1640</v>
      </c>
      <c r="C164" s="8">
        <v>5.2410999999999999E-11</v>
      </c>
      <c r="D164" s="8">
        <v>5.2410999999999999E-11</v>
      </c>
      <c r="E164" s="8">
        <v>5.2410999999999999E-11</v>
      </c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>
      <c r="B165" s="7">
        <v>1680</v>
      </c>
      <c r="C165" s="8">
        <v>5.1307999999999997E-11</v>
      </c>
      <c r="D165" s="8">
        <v>5.1307999999999997E-11</v>
      </c>
      <c r="E165" s="8">
        <v>5.1307999999999997E-11</v>
      </c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>
      <c r="B166" s="7">
        <v>1720</v>
      </c>
      <c r="C166" s="8">
        <v>5.0229000000000002E-11</v>
      </c>
      <c r="D166" s="8">
        <v>5.0229000000000002E-11</v>
      </c>
      <c r="E166" s="8">
        <v>5.0229000000000002E-11</v>
      </c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>
      <c r="B167" s="7">
        <v>1760</v>
      </c>
      <c r="C167" s="8">
        <v>4.9172000000000001E-11</v>
      </c>
      <c r="D167" s="8">
        <v>4.9172000000000001E-11</v>
      </c>
      <c r="E167" s="8">
        <v>4.9172000000000001E-11</v>
      </c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>
      <c r="B168" s="7">
        <v>1800</v>
      </c>
      <c r="C168" s="8">
        <v>4.8137999999999997E-11</v>
      </c>
      <c r="D168" s="8">
        <v>4.8137999999999997E-11</v>
      </c>
      <c r="E168" s="8">
        <v>4.8137999999999997E-11</v>
      </c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>
      <c r="B169" s="7">
        <v>1840</v>
      </c>
      <c r="C169" s="8">
        <v>4.7124999999999999E-11</v>
      </c>
      <c r="D169" s="8">
        <v>4.7124999999999999E-11</v>
      </c>
      <c r="E169" s="8">
        <v>4.7124999999999999E-11</v>
      </c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>
      <c r="B170" s="7">
        <v>1880</v>
      </c>
      <c r="C170" s="8">
        <v>4.6133E-11</v>
      </c>
      <c r="D170" s="8">
        <v>4.6133E-11</v>
      </c>
      <c r="E170" s="8">
        <v>4.6133E-11</v>
      </c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>
      <c r="B171" s="7">
        <v>1920</v>
      </c>
      <c r="C171" s="8">
        <v>4.5163000000000002E-11</v>
      </c>
      <c r="D171" s="8">
        <v>4.5163000000000002E-11</v>
      </c>
      <c r="E171" s="8">
        <v>4.5163000000000002E-11</v>
      </c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>
      <c r="B172" s="7">
        <v>1960</v>
      </c>
      <c r="C172" s="8">
        <v>4.4213000000000002E-11</v>
      </c>
      <c r="D172" s="8">
        <v>4.4213000000000002E-11</v>
      </c>
      <c r="E172" s="8">
        <v>4.4213000000000002E-11</v>
      </c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>
      <c r="B173" s="7">
        <v>2000</v>
      </c>
      <c r="C173" s="8">
        <v>4.3282000000000002E-11</v>
      </c>
      <c r="D173" s="8">
        <v>4.3282000000000002E-11</v>
      </c>
      <c r="E173" s="8">
        <v>4.3282000000000002E-11</v>
      </c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>
      <c r="B174" s="7">
        <v>2040</v>
      </c>
      <c r="C174" s="8">
        <v>4.2372000000000002E-11</v>
      </c>
      <c r="D174" s="8">
        <v>4.2372000000000002E-11</v>
      </c>
      <c r="E174" s="8">
        <v>4.2372000000000002E-11</v>
      </c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>
      <c r="B175" s="7">
        <v>2080</v>
      </c>
      <c r="C175" s="8">
        <v>4.1480000000000002E-11</v>
      </c>
      <c r="D175" s="8">
        <v>4.1480000000000002E-11</v>
      </c>
      <c r="E175" s="8">
        <v>4.1480000000000002E-11</v>
      </c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>
      <c r="B176" s="7">
        <v>2120</v>
      </c>
      <c r="C176" s="8">
        <v>4.0607999999999998E-11</v>
      </c>
      <c r="D176" s="8">
        <v>4.0607999999999998E-11</v>
      </c>
      <c r="E176" s="8">
        <v>4.0607999999999998E-11</v>
      </c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>
      <c r="B177" s="7">
        <v>2160</v>
      </c>
      <c r="C177" s="8">
        <v>3.9752999999999998E-11</v>
      </c>
      <c r="D177" s="8">
        <v>3.9752999999999998E-11</v>
      </c>
      <c r="E177" s="8">
        <v>3.9752999999999998E-11</v>
      </c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>
      <c r="B178" s="7">
        <v>2200</v>
      </c>
      <c r="C178" s="8">
        <v>3.8917E-11</v>
      </c>
      <c r="D178" s="8">
        <v>3.8917E-11</v>
      </c>
      <c r="E178" s="8">
        <v>3.8917E-11</v>
      </c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>
      <c r="B179" s="7">
        <v>2240</v>
      </c>
      <c r="C179" s="8">
        <v>3.8097999999999999E-11</v>
      </c>
      <c r="D179" s="8">
        <v>3.8097999999999999E-11</v>
      </c>
      <c r="E179" s="8">
        <v>3.8097999999999999E-11</v>
      </c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>
      <c r="B180" s="7">
        <v>2280</v>
      </c>
      <c r="C180" s="8">
        <v>3.7297000000000003E-11</v>
      </c>
      <c r="D180" s="8">
        <v>3.7297000000000003E-11</v>
      </c>
      <c r="E180" s="8">
        <v>3.7297000000000003E-11</v>
      </c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>
      <c r="B181" s="7">
        <v>2320</v>
      </c>
      <c r="C181" s="8">
        <v>3.6512000000000003E-11</v>
      </c>
      <c r="D181" s="8">
        <v>3.6512000000000003E-11</v>
      </c>
      <c r="E181" s="8">
        <v>3.6512000000000003E-11</v>
      </c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>
      <c r="B182" s="7">
        <v>2360</v>
      </c>
      <c r="C182" s="8">
        <v>3.5744E-11</v>
      </c>
      <c r="D182" s="8">
        <v>3.5744E-11</v>
      </c>
      <c r="E182" s="8">
        <v>3.5744E-11</v>
      </c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>
      <c r="B183" s="7">
        <v>2400</v>
      </c>
      <c r="C183" s="8">
        <v>3.4991999999999998E-11</v>
      </c>
      <c r="D183" s="8">
        <v>3.4991999999999998E-11</v>
      </c>
      <c r="E183" s="8">
        <v>3.4991999999999998E-11</v>
      </c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>
      <c r="B184" s="7">
        <v>2440</v>
      </c>
      <c r="C184" s="8">
        <v>3.4255999999999998E-11</v>
      </c>
      <c r="D184" s="8">
        <v>3.4255999999999998E-11</v>
      </c>
      <c r="E184" s="8">
        <v>3.4255999999999998E-11</v>
      </c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>
      <c r="B185" s="7">
        <v>2480</v>
      </c>
      <c r="C185" s="8">
        <v>3.3534999999999997E-11</v>
      </c>
      <c r="D185" s="8">
        <v>3.3534999999999997E-11</v>
      </c>
      <c r="E185" s="8">
        <v>3.3534999999999997E-11</v>
      </c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>
      <c r="B186" s="7">
        <v>2520</v>
      </c>
      <c r="C186" s="8">
        <v>3.2829999999999998E-11</v>
      </c>
      <c r="D186" s="8">
        <v>3.2829999999999998E-11</v>
      </c>
      <c r="E186" s="8">
        <v>3.2829999999999998E-11</v>
      </c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>
      <c r="B187" s="7">
        <v>2560</v>
      </c>
      <c r="C187" s="8">
        <v>3.2139000000000003E-11</v>
      </c>
      <c r="D187" s="8">
        <v>3.2139000000000003E-11</v>
      </c>
      <c r="E187" s="8">
        <v>3.2139000000000003E-11</v>
      </c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>
      <c r="B188" s="7">
        <v>2600</v>
      </c>
      <c r="C188" s="8">
        <v>3.1463E-11</v>
      </c>
      <c r="D188" s="8">
        <v>3.1463E-11</v>
      </c>
      <c r="E188" s="8">
        <v>3.1463E-11</v>
      </c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>
      <c r="B189" s="7">
        <v>2640</v>
      </c>
      <c r="C189" s="8">
        <v>3.0801000000000002E-11</v>
      </c>
      <c r="D189" s="8">
        <v>3.0801000000000002E-11</v>
      </c>
      <c r="E189" s="8">
        <v>3.0801000000000002E-11</v>
      </c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>
      <c r="B190" s="7">
        <v>2680</v>
      </c>
      <c r="C190" s="8">
        <v>3.0153E-11</v>
      </c>
      <c r="D190" s="8">
        <v>3.0153E-11</v>
      </c>
      <c r="E190" s="8">
        <v>3.0153E-11</v>
      </c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>
      <c r="B191" s="7">
        <v>2720</v>
      </c>
      <c r="C191" s="8">
        <v>2.9518000000000001E-11</v>
      </c>
      <c r="D191" s="8">
        <v>2.9518000000000001E-11</v>
      </c>
      <c r="E191" s="8">
        <v>2.9518000000000001E-11</v>
      </c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>
      <c r="B192" s="7">
        <v>2760</v>
      </c>
      <c r="C192" s="8">
        <v>2.8896999999999999E-11</v>
      </c>
      <c r="D192" s="8">
        <v>2.8896999999999999E-11</v>
      </c>
      <c r="E192" s="8">
        <v>2.8896999999999999E-11</v>
      </c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>
      <c r="B193" s="7">
        <v>2800</v>
      </c>
      <c r="C193" s="8">
        <v>2.8289000000000001E-11</v>
      </c>
      <c r="D193" s="8">
        <v>2.8289000000000001E-11</v>
      </c>
      <c r="E193" s="8">
        <v>2.8289000000000001E-11</v>
      </c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>
      <c r="B194" s="7">
        <v>2840</v>
      </c>
      <c r="C194" s="8">
        <v>2.7693999999999999E-11</v>
      </c>
      <c r="D194" s="8">
        <v>2.7693999999999999E-11</v>
      </c>
      <c r="E194" s="8">
        <v>2.7693999999999999E-11</v>
      </c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>
      <c r="B195" s="7">
        <v>2880</v>
      </c>
      <c r="C195" s="8">
        <v>2.7112000000000002E-11</v>
      </c>
      <c r="D195" s="8">
        <v>2.7112000000000002E-11</v>
      </c>
      <c r="E195" s="8">
        <v>2.7112000000000002E-11</v>
      </c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>
      <c r="B196" s="7">
        <v>2920</v>
      </c>
      <c r="C196" s="8">
        <v>2.6540999999999998E-11</v>
      </c>
      <c r="D196" s="8">
        <v>2.6540999999999998E-11</v>
      </c>
      <c r="E196" s="8">
        <v>2.6540999999999998E-11</v>
      </c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>
      <c r="B197" s="7">
        <v>2960</v>
      </c>
      <c r="C197" s="8">
        <v>2.5983E-11</v>
      </c>
      <c r="D197" s="8">
        <v>2.5983E-11</v>
      </c>
      <c r="E197" s="8">
        <v>2.5983E-11</v>
      </c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>
      <c r="B198" s="7">
        <v>3000</v>
      </c>
      <c r="C198" s="8">
        <v>2.5435999999999999E-11</v>
      </c>
      <c r="D198" s="8">
        <v>2.5435999999999999E-11</v>
      </c>
      <c r="E198" s="8">
        <v>2.5435999999999999E-11</v>
      </c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>
      <c r="B199" s="7">
        <v>3040</v>
      </c>
      <c r="C199" s="8">
        <v>2.4901000000000001E-11</v>
      </c>
      <c r="D199" s="8">
        <v>2.4901000000000001E-11</v>
      </c>
      <c r="E199" s="8">
        <v>2.4901000000000001E-11</v>
      </c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>
      <c r="B200" s="7">
        <v>3080</v>
      </c>
      <c r="C200" s="8">
        <v>2.4377000000000001E-11</v>
      </c>
      <c r="D200" s="8">
        <v>2.4377000000000001E-11</v>
      </c>
      <c r="E200" s="8">
        <v>2.4377000000000001E-11</v>
      </c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>
      <c r="B201" s="7">
        <v>3120</v>
      </c>
      <c r="C201" s="8">
        <v>2.3864000000000001E-11</v>
      </c>
      <c r="D201" s="8">
        <v>2.3864000000000001E-11</v>
      </c>
      <c r="E201" s="8">
        <v>2.3864000000000001E-11</v>
      </c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>
      <c r="B202" s="7">
        <v>3160</v>
      </c>
      <c r="C202" s="8">
        <v>2.3361999999999998E-11</v>
      </c>
      <c r="D202" s="8">
        <v>2.3361999999999998E-11</v>
      </c>
      <c r="E202" s="8">
        <v>2.3361999999999998E-11</v>
      </c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>
      <c r="B203" s="7">
        <v>3200</v>
      </c>
      <c r="C203" s="8">
        <v>2.2871E-11</v>
      </c>
      <c r="D203" s="8">
        <v>2.2871E-11</v>
      </c>
      <c r="E203" s="8">
        <v>2.2871E-11</v>
      </c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>
      <c r="B204" s="7">
        <v>3240</v>
      </c>
      <c r="C204" s="8">
        <v>2.239E-11</v>
      </c>
      <c r="D204" s="8">
        <v>2.239E-11</v>
      </c>
      <c r="E204" s="8">
        <v>2.239E-11</v>
      </c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>
      <c r="B205" s="7">
        <v>3280</v>
      </c>
      <c r="C205" s="8">
        <v>2.1919000000000001E-11</v>
      </c>
      <c r="D205" s="8">
        <v>2.1919000000000001E-11</v>
      </c>
      <c r="E205" s="8">
        <v>2.1919000000000001E-11</v>
      </c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>
      <c r="B206" s="7">
        <v>3320</v>
      </c>
      <c r="C206" s="8">
        <v>2.1457E-11</v>
      </c>
      <c r="D206" s="8">
        <v>2.1457E-11</v>
      </c>
      <c r="E206" s="8">
        <v>2.1457E-11</v>
      </c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>
      <c r="B207" s="7">
        <v>3360</v>
      </c>
      <c r="C207" s="8">
        <v>2.1006000000000002E-11</v>
      </c>
      <c r="D207" s="8">
        <v>2.1006000000000002E-11</v>
      </c>
      <c r="E207" s="8">
        <v>2.1006000000000002E-11</v>
      </c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>
      <c r="B208" s="7">
        <v>3400</v>
      </c>
      <c r="C208" s="8">
        <v>2.0564E-11</v>
      </c>
      <c r="D208" s="8">
        <v>2.0564E-11</v>
      </c>
      <c r="E208" s="8">
        <v>2.0564E-11</v>
      </c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>
      <c r="B209" s="7">
        <v>3440</v>
      </c>
      <c r="C209" s="8">
        <v>2.0131000000000001E-11</v>
      </c>
      <c r="D209" s="8">
        <v>2.0131000000000001E-11</v>
      </c>
      <c r="E209" s="8">
        <v>2.0131000000000001E-11</v>
      </c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>
      <c r="B210" s="7">
        <v>3480</v>
      </c>
      <c r="C210" s="8">
        <v>1.9708000000000001E-11</v>
      </c>
      <c r="D210" s="8">
        <v>1.9708000000000001E-11</v>
      </c>
      <c r="E210" s="8">
        <v>1.9708000000000001E-11</v>
      </c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>
      <c r="B211" s="7">
        <v>3520</v>
      </c>
      <c r="C211" s="8">
        <v>1.9292999999999999E-11</v>
      </c>
      <c r="D211" s="8">
        <v>1.9292999999999999E-11</v>
      </c>
      <c r="E211" s="8">
        <v>1.9292999999999999E-11</v>
      </c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>
      <c r="B212" s="7">
        <v>3560</v>
      </c>
      <c r="C212" s="8">
        <v>1.8886999999999999E-11</v>
      </c>
      <c r="D212" s="8">
        <v>1.8886999999999999E-11</v>
      </c>
      <c r="E212" s="8">
        <v>1.8886999999999999E-11</v>
      </c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>
      <c r="B213" s="7">
        <v>3600</v>
      </c>
      <c r="C213" s="8">
        <v>1.8489999999999999E-11</v>
      </c>
      <c r="D213" s="8">
        <v>1.8489999999999999E-11</v>
      </c>
      <c r="E213" s="8">
        <v>1.8489999999999999E-11</v>
      </c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>
      <c r="B214" s="7">
        <v>3640</v>
      </c>
      <c r="C214" s="8">
        <v>1.8101E-11</v>
      </c>
      <c r="D214" s="8">
        <v>1.8101E-11</v>
      </c>
      <c r="E214" s="8">
        <v>1.8101E-11</v>
      </c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>
      <c r="B215" s="7">
        <v>3680</v>
      </c>
      <c r="C215" s="8">
        <v>1.7720000000000001E-11</v>
      </c>
      <c r="D215" s="8">
        <v>1.7720000000000001E-11</v>
      </c>
      <c r="E215" s="8">
        <v>1.7720000000000001E-11</v>
      </c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>
      <c r="B216" s="7">
        <v>3720</v>
      </c>
      <c r="C216" s="8">
        <v>1.7347E-11</v>
      </c>
      <c r="D216" s="8">
        <v>1.7347E-11</v>
      </c>
      <c r="E216" s="8">
        <v>1.7347E-11</v>
      </c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>
      <c r="B217" s="7">
        <v>3760</v>
      </c>
      <c r="C217" s="8">
        <v>1.6982E-11</v>
      </c>
      <c r="D217" s="8">
        <v>1.6982E-11</v>
      </c>
      <c r="E217" s="8">
        <v>1.6982E-11</v>
      </c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>
      <c r="B218" s="7">
        <v>3800</v>
      </c>
      <c r="C218" s="8">
        <v>1.6625000000000001E-11</v>
      </c>
      <c r="D218" s="8">
        <v>1.6625000000000001E-11</v>
      </c>
      <c r="E218" s="8">
        <v>1.6625000000000001E-11</v>
      </c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>
      <c r="B219" s="7">
        <v>3840</v>
      </c>
      <c r="C219" s="8">
        <v>1.6275E-11</v>
      </c>
      <c r="D219" s="8">
        <v>1.6275E-11</v>
      </c>
      <c r="E219" s="8">
        <v>1.6275E-11</v>
      </c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>
      <c r="B220" s="7">
        <v>3880</v>
      </c>
      <c r="C220" s="8">
        <v>1.5933E-11</v>
      </c>
      <c r="D220" s="8">
        <v>1.5933E-11</v>
      </c>
      <c r="E220" s="8">
        <v>1.5933E-11</v>
      </c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>
      <c r="B221" s="7">
        <v>3920</v>
      </c>
      <c r="C221" s="8">
        <v>1.5597999999999999E-11</v>
      </c>
      <c r="D221" s="8">
        <v>1.5597999999999999E-11</v>
      </c>
      <c r="E221" s="8">
        <v>1.5597999999999999E-11</v>
      </c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>
      <c r="B222" s="7">
        <v>3960</v>
      </c>
      <c r="C222" s="8">
        <v>1.5269999999999999E-11</v>
      </c>
      <c r="D222" s="8">
        <v>1.5269999999999999E-11</v>
      </c>
      <c r="E222" s="8">
        <v>1.5269999999999999E-11</v>
      </c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>
      <c r="B223" s="7">
        <v>4000</v>
      </c>
      <c r="C223" s="8">
        <v>1.4948E-11</v>
      </c>
      <c r="D223" s="8">
        <v>1.4948E-11</v>
      </c>
      <c r="E223" s="8">
        <v>1.4948E-11</v>
      </c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>
      <c r="B224" s="7">
        <v>4040</v>
      </c>
      <c r="C224" s="8">
        <v>1.4634000000000001E-11</v>
      </c>
      <c r="D224" s="8">
        <v>1.4634000000000001E-11</v>
      </c>
      <c r="E224" s="8">
        <v>1.4634000000000001E-11</v>
      </c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>
      <c r="B225" s="7">
        <v>4080</v>
      </c>
      <c r="C225" s="8">
        <v>1.4326E-11</v>
      </c>
      <c r="D225" s="8">
        <v>1.4326E-11</v>
      </c>
      <c r="E225" s="8">
        <v>1.4326E-11</v>
      </c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>
      <c r="B226" s="7">
        <v>4120</v>
      </c>
      <c r="C226" s="8">
        <v>1.4025E-11</v>
      </c>
      <c r="D226" s="8">
        <v>1.4025E-11</v>
      </c>
      <c r="E226" s="8">
        <v>1.4025E-11</v>
      </c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>
      <c r="B227" s="7">
        <v>4160</v>
      </c>
      <c r="C227" s="8">
        <v>1.3730000000000001E-11</v>
      </c>
      <c r="D227" s="8">
        <v>1.3730000000000001E-11</v>
      </c>
      <c r="E227" s="8">
        <v>1.3730000000000001E-11</v>
      </c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>
      <c r="B228" s="7">
        <v>4200</v>
      </c>
      <c r="C228" s="8">
        <v>1.3441E-11</v>
      </c>
      <c r="D228" s="8">
        <v>1.3441E-11</v>
      </c>
      <c r="E228" s="8">
        <v>1.3441E-11</v>
      </c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>
      <c r="B229" s="7">
        <v>4240</v>
      </c>
      <c r="C229" s="8">
        <v>1.3158E-11</v>
      </c>
      <c r="D229" s="8">
        <v>1.3158E-11</v>
      </c>
      <c r="E229" s="8">
        <v>1.3158E-11</v>
      </c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>
      <c r="B230" s="7">
        <v>4280</v>
      </c>
      <c r="C230" s="8">
        <v>1.2881000000000001E-11</v>
      </c>
      <c r="D230" s="8">
        <v>1.2881000000000001E-11</v>
      </c>
      <c r="E230" s="8">
        <v>1.2881000000000001E-11</v>
      </c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>
      <c r="B231" s="7">
        <v>4320</v>
      </c>
      <c r="C231" s="8">
        <v>1.2610000000000001E-11</v>
      </c>
      <c r="D231" s="8">
        <v>1.2610000000000001E-11</v>
      </c>
      <c r="E231" s="8">
        <v>1.2610000000000001E-11</v>
      </c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10.Document" shapeId="24578" r:id="rId4">
          <objectPr defaultSize="0" r:id="rId5">
            <anchor moveWithCells="1">
              <from>
                <xdr:col>23</xdr:col>
                <xdr:colOff>0</xdr:colOff>
                <xdr:row>18</xdr:row>
                <xdr:rowOff>0</xdr:rowOff>
              </from>
              <to>
                <xdr:col>28</xdr:col>
                <xdr:colOff>711200</xdr:colOff>
                <xdr:row>31</xdr:row>
                <xdr:rowOff>177800</xdr:rowOff>
              </to>
            </anchor>
          </objectPr>
        </oleObject>
      </mc:Choice>
      <mc:Fallback>
        <oleObject progId="Prism10.Document" shapeId="24578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A5DA-985A-42D2-A91E-CD55E0F20599}">
  <dimension ref="A1:BM602"/>
  <sheetViews>
    <sheetView tabSelected="1" topLeftCell="I1" zoomScaleNormal="100" workbookViewId="0">
      <selection activeCell="O55" sqref="O55:V231"/>
    </sheetView>
  </sheetViews>
  <sheetFormatPr baseColWidth="10" defaultColWidth="8.83203125" defaultRowHeight="17"/>
  <cols>
    <col min="6" max="9" width="13.1640625" bestFit="1" customWidth="1"/>
    <col min="11" max="11" width="9.1640625" bestFit="1" customWidth="1"/>
    <col min="13" max="13" width="13.1640625" bestFit="1" customWidth="1"/>
    <col min="16" max="16" width="13.5" customWidth="1"/>
    <col min="17" max="17" width="9.83203125" bestFit="1" customWidth="1"/>
    <col min="18" max="18" width="9.5" bestFit="1" customWidth="1"/>
    <col min="20" max="20" width="11" bestFit="1" customWidth="1"/>
    <col min="21" max="21" width="9.5" bestFit="1" customWidth="1"/>
    <col min="22" max="22" width="13.33203125" bestFit="1" customWidth="1"/>
    <col min="29" max="29" width="9.5" bestFit="1" customWidth="1"/>
    <col min="33" max="34" width="9.1640625" bestFit="1" customWidth="1"/>
    <col min="35" max="35" width="9.1640625" customWidth="1"/>
    <col min="46" max="46" width="7.5" customWidth="1"/>
    <col min="47" max="47" width="15" customWidth="1"/>
    <col min="48" max="48" width="11" bestFit="1" customWidth="1"/>
    <col min="49" max="49" width="9.1640625" bestFit="1" customWidth="1"/>
    <col min="51" max="56" width="9.1640625" bestFit="1" customWidth="1"/>
  </cols>
  <sheetData>
    <row r="1" spans="1:65">
      <c r="A1" s="1">
        <f>K2</f>
        <v>1.27357010019184E-10</v>
      </c>
      <c r="B1" s="7" t="s">
        <v>0</v>
      </c>
      <c r="C1" s="7" t="s">
        <v>129</v>
      </c>
      <c r="D1" s="7" t="s">
        <v>129</v>
      </c>
      <c r="E1" s="7" t="s">
        <v>129</v>
      </c>
      <c r="F1" t="s">
        <v>129</v>
      </c>
      <c r="G1" t="s">
        <v>129</v>
      </c>
      <c r="H1" t="s">
        <v>130</v>
      </c>
      <c r="I1" t="s">
        <v>131</v>
      </c>
      <c r="J1" s="7"/>
      <c r="N1" s="7"/>
      <c r="O1" t="s">
        <v>35</v>
      </c>
      <c r="P1" t="s">
        <v>5</v>
      </c>
      <c r="Q1" t="s">
        <v>30</v>
      </c>
      <c r="R1" t="s">
        <v>38</v>
      </c>
      <c r="S1" s="3" t="s">
        <v>11</v>
      </c>
      <c r="T1" t="s">
        <v>32</v>
      </c>
      <c r="U1" t="s">
        <v>3</v>
      </c>
      <c r="V1" s="4" t="s">
        <v>4</v>
      </c>
      <c r="X1" s="3"/>
      <c r="Y1" s="3" t="s">
        <v>12</v>
      </c>
      <c r="Z1" s="3" t="s">
        <v>36</v>
      </c>
      <c r="AA1" s="3" t="s">
        <v>37</v>
      </c>
      <c r="AB1" s="3" t="s">
        <v>39</v>
      </c>
      <c r="AC1" s="3" t="s">
        <v>13</v>
      </c>
      <c r="AF1" s="35" t="s">
        <v>85</v>
      </c>
      <c r="AJ1" s="7"/>
      <c r="AK1" s="7"/>
    </row>
    <row r="2" spans="1:65">
      <c r="B2" s="7">
        <v>0</v>
      </c>
      <c r="C2" s="8">
        <v>1.2710000000000001E-10</v>
      </c>
      <c r="D2" s="8">
        <v>1.2710000000000001E-10</v>
      </c>
      <c r="E2" s="8">
        <v>1.2710000000000001E-10</v>
      </c>
      <c r="F2" s="1">
        <v>2.5700999999999998E-13</v>
      </c>
      <c r="G2" s="1">
        <v>1.9184000000000001E-20</v>
      </c>
      <c r="H2" s="1">
        <v>0</v>
      </c>
      <c r="I2" s="1">
        <v>0</v>
      </c>
      <c r="J2" s="8"/>
      <c r="K2" s="1">
        <f>SUM(C2,F2,G2)</f>
        <v>1.27357010019184E-10</v>
      </c>
      <c r="M2" s="1"/>
      <c r="N2" s="7"/>
      <c r="O2">
        <f>B2/60</f>
        <v>0</v>
      </c>
      <c r="P2" s="6">
        <f>(SUM(F2:J2)+C2)/$A$1*100</f>
        <v>100</v>
      </c>
      <c r="Q2" s="6">
        <f t="shared" ref="Q2:Q65" si="0">(H2+F2)/$A$1*100</f>
        <v>0.20180279040885626</v>
      </c>
      <c r="R2" s="6">
        <f t="shared" ref="R2:R65" si="1">(G2+I2)/$A$1*100</f>
        <v>1.5063167702437644E-8</v>
      </c>
      <c r="S2" s="5">
        <f t="shared" ref="S2:S65" si="2">J2/$A$1*100</f>
        <v>0</v>
      </c>
      <c r="T2" s="6">
        <f t="shared" ref="T2:V17" si="3">C2/$A$1*100</f>
        <v>99.798197194527987</v>
      </c>
      <c r="U2" s="1">
        <f t="shared" si="3"/>
        <v>99.798197194527987</v>
      </c>
      <c r="V2" s="1">
        <f t="shared" si="3"/>
        <v>99.798197194527987</v>
      </c>
      <c r="X2" s="9" t="s">
        <v>26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" t="s">
        <v>84</v>
      </c>
      <c r="AG2" t="s">
        <v>81</v>
      </c>
      <c r="AH2" s="7" t="s">
        <v>82</v>
      </c>
      <c r="AI2" s="7" t="s">
        <v>83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>
      <c r="B3" s="7">
        <v>2.476</v>
      </c>
      <c r="C3" s="8">
        <v>1.2546E-10</v>
      </c>
      <c r="D3" s="8">
        <v>1.2546E-10</v>
      </c>
      <c r="E3" s="8">
        <v>1.2546E-10</v>
      </c>
      <c r="F3" s="1">
        <v>1.8396E-12</v>
      </c>
      <c r="G3" s="1">
        <v>2.5505E-18</v>
      </c>
      <c r="H3" s="1">
        <v>3.9451000000000001E-14</v>
      </c>
      <c r="I3" s="1">
        <v>4.7358999999999997E-16</v>
      </c>
      <c r="J3" s="8"/>
      <c r="K3" s="1"/>
      <c r="L3" s="1"/>
      <c r="M3" s="1"/>
      <c r="N3" s="7"/>
      <c r="O3">
        <f t="shared" ref="O3:O66" si="4">B3/60</f>
        <v>4.1266666666666667E-2</v>
      </c>
      <c r="P3" s="6">
        <f t="shared" ref="P3:P66" si="5">(SUM(F3:J3)+C3)/$A$1*100</f>
        <v>99.986272543080773</v>
      </c>
      <c r="Q3" s="6">
        <f t="shared" si="0"/>
        <v>1.4754201592177418</v>
      </c>
      <c r="R3" s="6">
        <f t="shared" si="1"/>
        <v>3.7386281283478476E-4</v>
      </c>
      <c r="S3" s="5">
        <f t="shared" si="2"/>
        <v>0</v>
      </c>
      <c r="T3" s="6">
        <f t="shared" si="3"/>
        <v>98.510478521050189</v>
      </c>
      <c r="U3" s="1">
        <f t="shared" si="3"/>
        <v>98.510478521050189</v>
      </c>
      <c r="V3" s="1">
        <f t="shared" si="3"/>
        <v>98.510478521050189</v>
      </c>
      <c r="X3" s="9"/>
      <c r="Y3" s="2"/>
      <c r="Z3" s="2"/>
      <c r="AA3" s="2"/>
      <c r="AB3" s="2"/>
      <c r="AC3" s="2"/>
      <c r="AD3" s="1"/>
      <c r="AE3" s="1"/>
      <c r="AF3" t="s">
        <v>40</v>
      </c>
      <c r="AG3" t="s">
        <v>41</v>
      </c>
      <c r="AH3" s="7" t="s">
        <v>42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B4" s="7">
        <v>4.0119999999999996</v>
      </c>
      <c r="C4" s="8">
        <v>1.2512E-10</v>
      </c>
      <c r="D4" s="8">
        <v>1.2512E-10</v>
      </c>
      <c r="E4" s="8">
        <v>1.2512E-10</v>
      </c>
      <c r="F4" s="1">
        <v>2.1234E-12</v>
      </c>
      <c r="G4" s="1">
        <v>3.0406999999999999E-18</v>
      </c>
      <c r="H4" s="1">
        <v>9.2881999999999997E-14</v>
      </c>
      <c r="I4" s="1">
        <v>1.1392000000000001E-15</v>
      </c>
      <c r="J4" s="8"/>
      <c r="K4" s="1"/>
      <c r="L4" s="1"/>
      <c r="M4" s="1"/>
      <c r="N4" s="7"/>
      <c r="O4">
        <f t="shared" si="4"/>
        <v>6.6866666666666658E-2</v>
      </c>
      <c r="P4" s="6">
        <f t="shared" si="5"/>
        <v>99.984621358116797</v>
      </c>
      <c r="Q4" s="6">
        <f t="shared" si="0"/>
        <v>1.7402120226174889</v>
      </c>
      <c r="R4" s="6">
        <f t="shared" si="1"/>
        <v>8.9688090182703131E-4</v>
      </c>
      <c r="S4" s="5">
        <f t="shared" si="2"/>
        <v>0</v>
      </c>
      <c r="T4" s="6">
        <f t="shared" si="3"/>
        <v>98.243512454597479</v>
      </c>
      <c r="U4" s="1">
        <f t="shared" si="3"/>
        <v>98.243512454597479</v>
      </c>
      <c r="V4" s="1">
        <f t="shared" si="3"/>
        <v>98.243512454597479</v>
      </c>
      <c r="X4" s="9" t="s">
        <v>27</v>
      </c>
      <c r="Y4" s="2">
        <v>7166</v>
      </c>
      <c r="Z4" s="2">
        <v>3994</v>
      </c>
      <c r="AA4" s="2">
        <v>202.9</v>
      </c>
      <c r="AB4" s="2">
        <v>0</v>
      </c>
      <c r="AC4" s="2">
        <v>2970</v>
      </c>
      <c r="AD4" s="1"/>
      <c r="AE4" s="1"/>
      <c r="AF4" t="s">
        <v>43</v>
      </c>
      <c r="AG4" t="s">
        <v>44</v>
      </c>
      <c r="AH4" s="1" t="s">
        <v>45</v>
      </c>
      <c r="AI4" s="1" t="s">
        <v>46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B5" s="7">
        <v>6.5720000000000001</v>
      </c>
      <c r="C5" s="8">
        <v>1.2469999999999999E-10</v>
      </c>
      <c r="D5" s="8">
        <v>1.2469999999999999E-10</v>
      </c>
      <c r="E5" s="8">
        <v>1.2469999999999999E-10</v>
      </c>
      <c r="F5" s="1">
        <v>2.4299999999999999E-12</v>
      </c>
      <c r="G5" s="1">
        <v>2.5818E-18</v>
      </c>
      <c r="H5" s="1">
        <v>1.9788000000000001E-13</v>
      </c>
      <c r="I5" s="1">
        <v>2.2854E-15</v>
      </c>
      <c r="J5" s="8"/>
      <c r="K5" s="1"/>
      <c r="L5" s="1"/>
      <c r="M5" s="1"/>
      <c r="N5" s="7"/>
      <c r="O5">
        <f t="shared" si="4"/>
        <v>0.10953333333333333</v>
      </c>
      <c r="P5" s="6">
        <f t="shared" si="5"/>
        <v>99.978923784894164</v>
      </c>
      <c r="Q5" s="6">
        <f t="shared" si="0"/>
        <v>2.0633964314992617</v>
      </c>
      <c r="R5" s="6">
        <f t="shared" si="1"/>
        <v>1.7965102978276242E-3</v>
      </c>
      <c r="S5" s="5">
        <f t="shared" si="2"/>
        <v>0</v>
      </c>
      <c r="T5" s="6">
        <f t="shared" si="3"/>
        <v>97.913730843097071</v>
      </c>
      <c r="U5" s="1">
        <f t="shared" si="3"/>
        <v>97.913730843097071</v>
      </c>
      <c r="V5" s="1">
        <f t="shared" si="3"/>
        <v>97.913730843097071</v>
      </c>
      <c r="X5" s="9" t="s">
        <v>28</v>
      </c>
      <c r="Y5" s="2">
        <v>7166</v>
      </c>
      <c r="Z5" s="2">
        <v>3994</v>
      </c>
      <c r="AA5" s="2">
        <v>202.9</v>
      </c>
      <c r="AB5" s="2">
        <v>0</v>
      </c>
      <c r="AC5" s="2">
        <v>2970</v>
      </c>
      <c r="AD5" s="1"/>
      <c r="AE5" s="1"/>
      <c r="AF5" s="41" t="s">
        <v>60</v>
      </c>
      <c r="AG5" s="41" t="s">
        <v>98</v>
      </c>
      <c r="AH5" s="41" t="s">
        <v>98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B6" s="7">
        <v>8.6199999999999992</v>
      </c>
      <c r="C6" s="8">
        <v>1.2444000000000001E-10</v>
      </c>
      <c r="D6" s="8">
        <v>1.2444000000000001E-10</v>
      </c>
      <c r="E6" s="8">
        <v>1.2444000000000001E-10</v>
      </c>
      <c r="F6" s="1">
        <v>2.5901E-12</v>
      </c>
      <c r="G6" s="1">
        <v>2.7384E-18</v>
      </c>
      <c r="H6" s="1">
        <v>2.9176999999999998E-13</v>
      </c>
      <c r="I6" s="1">
        <v>3.1417000000000001E-15</v>
      </c>
      <c r="J6" s="8"/>
      <c r="K6" s="1"/>
      <c r="L6" s="1"/>
      <c r="M6" s="1"/>
      <c r="N6" s="7"/>
      <c r="O6">
        <f t="shared" si="4"/>
        <v>0.14366666666666666</v>
      </c>
      <c r="P6" s="6">
        <f t="shared" si="5"/>
        <v>99.974877251924184</v>
      </c>
      <c r="Q6" s="6">
        <f t="shared" si="0"/>
        <v>2.2628279350825675</v>
      </c>
      <c r="R6" s="6">
        <f t="shared" si="1"/>
        <v>2.468995149561338E-3</v>
      </c>
      <c r="S6" s="5">
        <f t="shared" si="2"/>
        <v>0</v>
      </c>
      <c r="T6" s="6">
        <f t="shared" si="3"/>
        <v>97.709580321692073</v>
      </c>
      <c r="U6" s="1">
        <f t="shared" si="3"/>
        <v>97.709580321692073</v>
      </c>
      <c r="V6" s="1">
        <f t="shared" si="3"/>
        <v>97.709580321692073</v>
      </c>
      <c r="X6" s="9" t="s">
        <v>29</v>
      </c>
      <c r="Y6" s="2">
        <v>1</v>
      </c>
      <c r="Z6" s="2">
        <v>1</v>
      </c>
      <c r="AA6" s="2">
        <v>1</v>
      </c>
      <c r="AB6" s="2">
        <v>20</v>
      </c>
      <c r="AC6" s="2">
        <v>1</v>
      </c>
      <c r="AD6" s="1"/>
      <c r="AE6" s="1"/>
      <c r="AF6" s="42" t="s">
        <v>18</v>
      </c>
      <c r="AG6" s="42">
        <v>0.5</v>
      </c>
      <c r="AH6" s="41">
        <v>0.5</v>
      </c>
      <c r="AI6" s="1" t="s">
        <v>47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B7" s="7">
        <v>11.692</v>
      </c>
      <c r="C7" s="8">
        <v>1.2412999999999999E-10</v>
      </c>
      <c r="D7" s="8">
        <v>1.2412999999999999E-10</v>
      </c>
      <c r="E7" s="8">
        <v>1.2412999999999999E-10</v>
      </c>
      <c r="F7" s="1">
        <v>2.7472999999999998E-12</v>
      </c>
      <c r="G7" s="1">
        <v>2.8723000000000001E-18</v>
      </c>
      <c r="H7" s="1">
        <v>4.4246999999999998E-13</v>
      </c>
      <c r="I7" s="1">
        <v>4.5027999999999997E-15</v>
      </c>
      <c r="J7" s="8"/>
      <c r="K7" s="1"/>
      <c r="L7" s="1"/>
      <c r="M7" s="1"/>
      <c r="N7" s="7"/>
      <c r="O7">
        <f t="shared" si="4"/>
        <v>0.19486666666666666</v>
      </c>
      <c r="P7" s="6">
        <f t="shared" si="5"/>
        <v>99.974297176983754</v>
      </c>
      <c r="Q7" s="6">
        <f t="shared" si="0"/>
        <v>2.5045892640848897</v>
      </c>
      <c r="R7" s="6">
        <f t="shared" si="1"/>
        <v>3.5378282666351092E-3</v>
      </c>
      <c r="S7" s="5">
        <f t="shared" si="2"/>
        <v>0</v>
      </c>
      <c r="T7" s="6">
        <f t="shared" si="3"/>
        <v>97.466170084632225</v>
      </c>
      <c r="U7" s="1">
        <f t="shared" si="3"/>
        <v>97.466170084632225</v>
      </c>
      <c r="V7" s="1">
        <f t="shared" si="3"/>
        <v>97.466170084632225</v>
      </c>
      <c r="X7" s="9"/>
      <c r="Y7" s="2"/>
      <c r="Z7" s="2"/>
      <c r="AA7" s="2"/>
      <c r="AB7" s="2"/>
      <c r="AC7" s="2"/>
      <c r="AD7" s="1"/>
      <c r="AE7" s="40"/>
      <c r="AF7" s="36" t="s">
        <v>48</v>
      </c>
      <c r="AG7" s="40">
        <v>9.9999999999999994E-12</v>
      </c>
      <c r="AH7" s="40">
        <v>9.9999999999999994E-12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B8" s="7">
        <v>13.74</v>
      </c>
      <c r="C8" s="8">
        <v>1.2395E-10</v>
      </c>
      <c r="D8" s="8">
        <v>1.2395E-10</v>
      </c>
      <c r="E8" s="8">
        <v>1.2395E-10</v>
      </c>
      <c r="F8" s="1">
        <v>2.8163E-12</v>
      </c>
      <c r="G8" s="1">
        <v>3.0648000000000001E-18</v>
      </c>
      <c r="H8" s="1">
        <v>5.4762999999999996E-13</v>
      </c>
      <c r="I8" s="1">
        <v>5.4814000000000003E-15</v>
      </c>
      <c r="J8" s="8"/>
      <c r="K8" s="1"/>
      <c r="L8" s="1"/>
      <c r="M8" s="1"/>
      <c r="N8" s="7"/>
      <c r="O8">
        <f t="shared" si="4"/>
        <v>0.22900000000000001</v>
      </c>
      <c r="P8" s="6">
        <f t="shared" si="5"/>
        <v>99.970480184499976</v>
      </c>
      <c r="Q8" s="6">
        <f t="shared" si="0"/>
        <v>2.641338705653725</v>
      </c>
      <c r="R8" s="6">
        <f t="shared" si="1"/>
        <v>4.3063705713363284E-3</v>
      </c>
      <c r="S8" s="5">
        <f t="shared" si="2"/>
        <v>0</v>
      </c>
      <c r="T8" s="6">
        <f t="shared" si="3"/>
        <v>97.324835108274925</v>
      </c>
      <c r="U8" s="1">
        <f t="shared" si="3"/>
        <v>97.324835108274925</v>
      </c>
      <c r="V8" s="1">
        <f t="shared" si="3"/>
        <v>97.324835108274925</v>
      </c>
      <c r="X8" s="9"/>
      <c r="Y8" s="2">
        <f>Y4/$Y$4*100</f>
        <v>100</v>
      </c>
      <c r="Z8" s="10">
        <f>Z4/$Y$4*100</f>
        <v>55.735417248116107</v>
      </c>
      <c r="AA8" s="10">
        <f>AA4/$Y$4*100</f>
        <v>2.8314261791794584</v>
      </c>
      <c r="AB8" s="10">
        <f>AB4/$Y$4*100</f>
        <v>0</v>
      </c>
      <c r="AC8" s="10">
        <f>AC4/$Y$4*100</f>
        <v>41.445715880547027</v>
      </c>
      <c r="AD8" s="1"/>
      <c r="AE8" s="1"/>
      <c r="AF8" s="1" t="s">
        <v>20</v>
      </c>
      <c r="AG8" s="1">
        <v>0</v>
      </c>
      <c r="AH8" s="1">
        <v>0</v>
      </c>
      <c r="AI8" s="1" t="s">
        <v>49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>
      <c r="B9" s="7">
        <v>17.835999999999999</v>
      </c>
      <c r="C9" s="8">
        <v>1.2364E-10</v>
      </c>
      <c r="D9" s="8">
        <v>1.2364E-10</v>
      </c>
      <c r="E9" s="8">
        <v>1.2364E-10</v>
      </c>
      <c r="F9" s="1">
        <v>2.9062999999999998E-12</v>
      </c>
      <c r="G9" s="1">
        <v>3.4477999999999999E-18</v>
      </c>
      <c r="H9" s="1">
        <v>7.6478E-13</v>
      </c>
      <c r="I9" s="1">
        <v>7.6307999999999993E-15</v>
      </c>
      <c r="J9" s="8"/>
      <c r="K9" s="1"/>
      <c r="L9" s="1"/>
      <c r="M9" s="1"/>
      <c r="N9" s="7"/>
      <c r="O9">
        <f t="shared" si="4"/>
        <v>0.29726666666666662</v>
      </c>
      <c r="P9" s="6">
        <f t="shared" si="5"/>
        <v>99.969930378093636</v>
      </c>
      <c r="Q9" s="6">
        <f t="shared" si="0"/>
        <v>2.8825111389212257</v>
      </c>
      <c r="R9" s="6">
        <f t="shared" si="1"/>
        <v>5.9943679573272318E-3</v>
      </c>
      <c r="S9" s="5">
        <f t="shared" si="2"/>
        <v>0</v>
      </c>
      <c r="T9" s="6">
        <f t="shared" si="3"/>
        <v>97.081424871215091</v>
      </c>
      <c r="U9" s="1">
        <f t="shared" si="3"/>
        <v>97.081424871215091</v>
      </c>
      <c r="V9" s="1">
        <f t="shared" si="3"/>
        <v>97.081424871215091</v>
      </c>
      <c r="X9" s="9"/>
      <c r="Y9" s="2"/>
      <c r="Z9" s="2"/>
      <c r="AA9" s="2"/>
      <c r="AB9" s="2"/>
      <c r="AC9" s="2"/>
      <c r="AD9" s="1"/>
      <c r="AE9" s="1"/>
      <c r="AF9" s="1" t="s">
        <v>22</v>
      </c>
      <c r="AG9" s="1">
        <v>0</v>
      </c>
      <c r="AH9" s="1">
        <v>0</v>
      </c>
      <c r="AI9" s="1" t="s">
        <v>50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8" thickBot="1">
      <c r="B10" s="7">
        <v>21.931999999999999</v>
      </c>
      <c r="C10" s="8">
        <v>1.2336E-10</v>
      </c>
      <c r="D10" s="8">
        <v>1.2336E-10</v>
      </c>
      <c r="E10" s="8">
        <v>1.2336E-10</v>
      </c>
      <c r="F10" s="1">
        <v>2.9520999999999999E-12</v>
      </c>
      <c r="G10" s="1">
        <v>3.8674999999999996E-18</v>
      </c>
      <c r="H10" s="1">
        <v>9.8805000000000002E-13</v>
      </c>
      <c r="I10" s="1">
        <v>1.005E-14</v>
      </c>
      <c r="J10" s="8"/>
      <c r="K10" s="1"/>
      <c r="L10" s="1"/>
      <c r="M10" s="1"/>
      <c r="N10" s="7"/>
      <c r="O10">
        <f t="shared" si="4"/>
        <v>0.36553333333333332</v>
      </c>
      <c r="P10" s="6">
        <f t="shared" si="5"/>
        <v>99.96324807587979</v>
      </c>
      <c r="Q10" s="6">
        <f t="shared" si="0"/>
        <v>3.0937833727460218</v>
      </c>
      <c r="R10" s="6">
        <f t="shared" si="1"/>
        <v>7.8942395856227855E-3</v>
      </c>
      <c r="S10" s="5">
        <f t="shared" si="2"/>
        <v>0</v>
      </c>
      <c r="T10" s="6">
        <f t="shared" si="3"/>
        <v>96.861570463548148</v>
      </c>
      <c r="U10" s="1">
        <f t="shared" si="3"/>
        <v>96.861570463548148</v>
      </c>
      <c r="V10" s="1">
        <f t="shared" si="3"/>
        <v>96.861570463548148</v>
      </c>
      <c r="X10" s="9"/>
      <c r="Y10" s="2"/>
      <c r="Z10" s="2"/>
      <c r="AA10" s="2"/>
      <c r="AB10" s="2"/>
      <c r="AC10" s="2"/>
      <c r="AD10" s="1"/>
      <c r="AE10" s="1"/>
      <c r="AF10" s="1" t="s">
        <v>24</v>
      </c>
      <c r="AG10" s="1">
        <v>0</v>
      </c>
      <c r="AH10" s="1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>
      <c r="B11" s="7">
        <v>26.027999999999999</v>
      </c>
      <c r="C11" s="8">
        <v>1.2311E-10</v>
      </c>
      <c r="D11" s="8">
        <v>1.2311E-10</v>
      </c>
      <c r="E11" s="8">
        <v>1.2311E-10</v>
      </c>
      <c r="F11" s="1">
        <v>2.9734999999999998E-12</v>
      </c>
      <c r="G11" s="1">
        <v>4.3389999999999998E-18</v>
      </c>
      <c r="H11" s="1">
        <v>1.2147000000000001E-12</v>
      </c>
      <c r="I11" s="1">
        <v>1.2769000000000001E-14</v>
      </c>
      <c r="J11" s="8"/>
      <c r="K11" s="1"/>
      <c r="L11" s="1"/>
      <c r="M11" s="1"/>
      <c r="N11" s="7"/>
      <c r="O11">
        <f t="shared" si="4"/>
        <v>0.43379999999999996</v>
      </c>
      <c r="P11" s="6">
        <f t="shared" si="5"/>
        <v>99.963852260525684</v>
      </c>
      <c r="Q11" s="6">
        <f t="shared" si="0"/>
        <v>3.2885508221095363</v>
      </c>
      <c r="R11" s="6">
        <f t="shared" si="1"/>
        <v>1.0029553142049999E-2</v>
      </c>
      <c r="S11" s="5">
        <f t="shared" si="2"/>
        <v>0</v>
      </c>
      <c r="T11" s="6">
        <f t="shared" si="3"/>
        <v>96.665271885274109</v>
      </c>
      <c r="U11" s="1">
        <f t="shared" si="3"/>
        <v>96.665271885274109</v>
      </c>
      <c r="V11" s="1">
        <f t="shared" si="3"/>
        <v>96.665271885274109</v>
      </c>
      <c r="X11" s="9"/>
      <c r="Y11" s="2"/>
      <c r="Z11" s="2"/>
      <c r="AA11" s="16"/>
      <c r="AB11" s="11" t="s">
        <v>33</v>
      </c>
      <c r="AC11" s="2"/>
      <c r="AD11" s="1"/>
      <c r="AE11" s="1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B12" s="7">
        <v>30.123999999999999</v>
      </c>
      <c r="C12" s="8">
        <v>1.2287000000000001E-10</v>
      </c>
      <c r="D12" s="8">
        <v>1.2287000000000001E-10</v>
      </c>
      <c r="E12" s="8">
        <v>1.2287000000000001E-10</v>
      </c>
      <c r="F12" s="1">
        <v>2.9821E-12</v>
      </c>
      <c r="G12" s="1">
        <v>4.8206000000000004E-18</v>
      </c>
      <c r="H12" s="1">
        <v>1.4431E-12</v>
      </c>
      <c r="I12" s="1">
        <v>1.5809000000000001E-14</v>
      </c>
      <c r="J12" s="8"/>
      <c r="K12" s="1"/>
      <c r="L12" s="1"/>
      <c r="M12" s="1"/>
      <c r="N12" s="7"/>
      <c r="O12">
        <f t="shared" si="4"/>
        <v>0.50206666666666666</v>
      </c>
      <c r="P12" s="6">
        <f t="shared" si="5"/>
        <v>99.963884046447802</v>
      </c>
      <c r="Q12" s="6">
        <f t="shared" si="0"/>
        <v>3.4746418743133374</v>
      </c>
      <c r="R12" s="6">
        <f t="shared" si="1"/>
        <v>1.2416922003443655E-2</v>
      </c>
      <c r="S12" s="5">
        <f t="shared" si="2"/>
        <v>0</v>
      </c>
      <c r="T12" s="6">
        <f t="shared" si="3"/>
        <v>96.476825250131029</v>
      </c>
      <c r="U12" s="1">
        <f t="shared" si="3"/>
        <v>96.476825250131029</v>
      </c>
      <c r="V12" s="1">
        <f t="shared" si="3"/>
        <v>96.476825250131029</v>
      </c>
      <c r="X12" s="9"/>
      <c r="Y12" s="2"/>
      <c r="Z12" s="2"/>
      <c r="AA12" s="12" t="s">
        <v>32</v>
      </c>
      <c r="AB12" s="17">
        <f>AC8</f>
        <v>41.445715880547027</v>
      </c>
      <c r="AC12" s="2"/>
      <c r="AD12" s="1"/>
      <c r="AE12" s="1"/>
      <c r="AF12" s="1" t="s">
        <v>51</v>
      </c>
      <c r="AG12" s="1" t="s">
        <v>52</v>
      </c>
      <c r="AH12" s="1" t="s">
        <v>53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>
      <c r="B13" s="7">
        <v>34.22</v>
      </c>
      <c r="C13" s="8">
        <v>1.2262999999999999E-10</v>
      </c>
      <c r="D13" s="8">
        <v>1.2262999999999999E-10</v>
      </c>
      <c r="E13" s="8">
        <v>1.2262999999999999E-10</v>
      </c>
      <c r="F13" s="1">
        <v>2.9839999999999998E-12</v>
      </c>
      <c r="G13" s="1">
        <v>5.3190999999999997E-18</v>
      </c>
      <c r="H13" s="1">
        <v>1.6724E-12</v>
      </c>
      <c r="I13" s="1">
        <v>1.9200999999999999E-14</v>
      </c>
      <c r="J13" s="8"/>
      <c r="K13" s="1"/>
      <c r="L13" s="1"/>
      <c r="M13" s="1"/>
      <c r="N13" s="7"/>
      <c r="O13">
        <f t="shared" si="4"/>
        <v>0.57033333333333336</v>
      </c>
      <c r="P13" s="6">
        <f t="shared" si="5"/>
        <v>99.959638107021931</v>
      </c>
      <c r="Q13" s="6">
        <f t="shared" si="0"/>
        <v>3.6561787995011801</v>
      </c>
      <c r="R13" s="6">
        <f t="shared" si="1"/>
        <v>1.5080692532831069E-2</v>
      </c>
      <c r="S13" s="5">
        <f t="shared" si="2"/>
        <v>0</v>
      </c>
      <c r="T13" s="6">
        <f t="shared" si="3"/>
        <v>96.28837861498792</v>
      </c>
      <c r="U13" s="1">
        <f t="shared" si="3"/>
        <v>96.28837861498792</v>
      </c>
      <c r="V13" s="1">
        <f t="shared" si="3"/>
        <v>96.28837861498792</v>
      </c>
      <c r="X13" s="9"/>
      <c r="Y13" s="2"/>
      <c r="Z13" s="2"/>
      <c r="AA13" s="13" t="s">
        <v>31</v>
      </c>
      <c r="AB13" s="18">
        <f>AA8</f>
        <v>2.8314261791794584</v>
      </c>
      <c r="AC13" s="2"/>
      <c r="AD13" s="1"/>
      <c r="AE13" s="1"/>
      <c r="AF13" s="1" t="s">
        <v>54</v>
      </c>
      <c r="AG13" s="1" t="s">
        <v>55</v>
      </c>
      <c r="AH13" s="1" t="s">
        <v>56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>
      <c r="B14" s="7">
        <v>42.411999999999999</v>
      </c>
      <c r="C14" s="8">
        <v>1.2215999999999999E-10</v>
      </c>
      <c r="D14" s="8">
        <v>1.2215999999999999E-10</v>
      </c>
      <c r="E14" s="8">
        <v>1.2215999999999999E-10</v>
      </c>
      <c r="F14" s="1">
        <v>2.9803000000000001E-12</v>
      </c>
      <c r="G14" s="1">
        <v>6.3190999999999998E-18</v>
      </c>
      <c r="H14" s="1">
        <v>2.1319999999999998E-12</v>
      </c>
      <c r="I14" s="1">
        <v>2.7162000000000001E-14</v>
      </c>
      <c r="J14" s="8"/>
      <c r="K14" s="1"/>
      <c r="L14" s="1"/>
      <c r="M14" s="1"/>
      <c r="N14" s="7"/>
      <c r="O14">
        <f t="shared" si="4"/>
        <v>0.70686666666666664</v>
      </c>
      <c r="P14" s="6">
        <f t="shared" si="5"/>
        <v>99.954818584328137</v>
      </c>
      <c r="Q14" s="6">
        <f t="shared" si="0"/>
        <v>4.0141488868417419</v>
      </c>
      <c r="R14" s="6">
        <f t="shared" si="1"/>
        <v>2.1332409653703078E-2</v>
      </c>
      <c r="S14" s="5">
        <f t="shared" si="2"/>
        <v>0</v>
      </c>
      <c r="T14" s="6">
        <f t="shared" si="3"/>
        <v>95.919337287832704</v>
      </c>
      <c r="U14" s="1">
        <f t="shared" si="3"/>
        <v>95.919337287832704</v>
      </c>
      <c r="V14" s="1">
        <f t="shared" si="3"/>
        <v>95.919337287832704</v>
      </c>
      <c r="X14" s="9"/>
      <c r="Y14" s="2"/>
      <c r="Z14" s="2"/>
      <c r="AA14" s="14" t="s">
        <v>30</v>
      </c>
      <c r="AB14" s="19">
        <f>Z8</f>
        <v>55.735417248116107</v>
      </c>
      <c r="AC14" s="2"/>
      <c r="AD14" s="1"/>
      <c r="AE14" s="1"/>
      <c r="AF14" s="1" t="s">
        <v>57</v>
      </c>
      <c r="AG14" s="1" t="s">
        <v>58</v>
      </c>
      <c r="AH14" s="1" t="s">
        <v>59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8" thickBot="1">
      <c r="B15" s="7">
        <v>50.603999999999999</v>
      </c>
      <c r="C15" s="8">
        <v>1.2169E-10</v>
      </c>
      <c r="D15" s="8">
        <v>1.2169E-10</v>
      </c>
      <c r="E15" s="8">
        <v>1.2169E-10</v>
      </c>
      <c r="F15" s="1">
        <v>2.9707999999999998E-12</v>
      </c>
      <c r="G15" s="1">
        <v>7.4886999999999993E-18</v>
      </c>
      <c r="H15" s="1">
        <v>2.5915E-12</v>
      </c>
      <c r="I15" s="1">
        <v>3.6775E-14</v>
      </c>
      <c r="J15" s="8"/>
      <c r="K15" s="1"/>
      <c r="L15" s="1"/>
      <c r="M15" s="1"/>
      <c r="N15" s="7"/>
      <c r="O15">
        <f t="shared" si="4"/>
        <v>0.84340000000000004</v>
      </c>
      <c r="P15" s="6">
        <f t="shared" si="5"/>
        <v>99.946663689361287</v>
      </c>
      <c r="Q15" s="6">
        <f t="shared" si="0"/>
        <v>4.3674863277350342</v>
      </c>
      <c r="R15" s="6">
        <f t="shared" si="1"/>
        <v>2.8881400948765516E-2</v>
      </c>
      <c r="S15" s="5">
        <f t="shared" si="2"/>
        <v>0</v>
      </c>
      <c r="T15" s="6">
        <f t="shared" si="3"/>
        <v>95.550295960677488</v>
      </c>
      <c r="U15" s="1">
        <f t="shared" si="3"/>
        <v>95.550295960677488</v>
      </c>
      <c r="V15" s="1">
        <f t="shared" si="3"/>
        <v>95.550295960677488</v>
      </c>
      <c r="X15" s="1"/>
      <c r="Y15" s="5"/>
      <c r="Z15" s="1"/>
      <c r="AA15" s="15" t="s">
        <v>11</v>
      </c>
      <c r="AB15" s="20">
        <f>AB8</f>
        <v>0</v>
      </c>
      <c r="AC15" s="1"/>
      <c r="AD15" s="1"/>
      <c r="AE15" s="1"/>
      <c r="AF15" s="1" t="s">
        <v>19</v>
      </c>
      <c r="AG15" s="1">
        <v>0.1</v>
      </c>
      <c r="AH15" s="1">
        <v>0.1</v>
      </c>
      <c r="AI15" s="1" t="s">
        <v>47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>
      <c r="B16" s="7">
        <v>58.795999999999999</v>
      </c>
      <c r="C16" s="8">
        <v>1.2123E-10</v>
      </c>
      <c r="D16" s="8">
        <v>1.2123E-10</v>
      </c>
      <c r="E16" s="8">
        <v>1.2123E-10</v>
      </c>
      <c r="F16" s="1">
        <v>2.9592000000000002E-12</v>
      </c>
      <c r="G16" s="1">
        <v>8.7077000000000003E-18</v>
      </c>
      <c r="H16" s="1">
        <v>3.0502000000000001E-12</v>
      </c>
      <c r="I16" s="1">
        <v>4.8061999999999999E-14</v>
      </c>
      <c r="J16" s="8"/>
      <c r="K16" s="1"/>
      <c r="L16" s="1"/>
      <c r="M16" s="1"/>
      <c r="N16" s="7"/>
      <c r="O16">
        <f t="shared" si="4"/>
        <v>0.97993333333333332</v>
      </c>
      <c r="P16" s="6">
        <f t="shared" si="5"/>
        <v>99.945398128086154</v>
      </c>
      <c r="Q16" s="6">
        <f t="shared" si="0"/>
        <v>4.7185467051203496</v>
      </c>
      <c r="R16" s="6">
        <f t="shared" si="1"/>
        <v>3.7744846312550075E-2</v>
      </c>
      <c r="S16" s="5">
        <f t="shared" si="2"/>
        <v>0</v>
      </c>
      <c r="T16" s="6">
        <f t="shared" si="3"/>
        <v>95.189106576653231</v>
      </c>
      <c r="U16" s="1">
        <f t="shared" si="3"/>
        <v>95.189106576653231</v>
      </c>
      <c r="V16" s="1">
        <f t="shared" si="3"/>
        <v>95.189106576653231</v>
      </c>
      <c r="X16" s="1"/>
      <c r="AD16" s="1"/>
      <c r="AE16" s="1"/>
      <c r="AF16" s="1" t="s">
        <v>63</v>
      </c>
      <c r="AG16" s="1" t="s">
        <v>64</v>
      </c>
      <c r="AH16" s="1" t="s">
        <v>65</v>
      </c>
      <c r="AI16" s="1" t="s">
        <v>66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>
      <c r="B17" s="7">
        <v>66.988</v>
      </c>
      <c r="C17" s="8">
        <v>1.2076E-10</v>
      </c>
      <c r="D17" s="8">
        <v>1.2076E-10</v>
      </c>
      <c r="E17" s="8">
        <v>1.2076E-10</v>
      </c>
      <c r="F17" s="1">
        <v>2.9471999999999998E-12</v>
      </c>
      <c r="G17" s="1">
        <v>9.7514999999999993E-18</v>
      </c>
      <c r="H17" s="1">
        <v>3.5075000000000002E-12</v>
      </c>
      <c r="I17" s="1">
        <v>6.0943000000000006E-14</v>
      </c>
      <c r="J17" s="8"/>
      <c r="K17" s="1"/>
      <c r="L17" s="1"/>
      <c r="M17" s="1"/>
      <c r="N17" s="7"/>
      <c r="O17">
        <f t="shared" si="4"/>
        <v>1.1164666666666667</v>
      </c>
      <c r="P17" s="6">
        <f t="shared" si="5"/>
        <v>99.936118736085461</v>
      </c>
      <c r="Q17" s="6">
        <f t="shared" si="0"/>
        <v>5.068193732742091</v>
      </c>
      <c r="R17" s="6">
        <f t="shared" si="1"/>
        <v>4.7859753845366337E-2</v>
      </c>
      <c r="S17" s="5">
        <f t="shared" si="2"/>
        <v>0</v>
      </c>
      <c r="T17" s="6">
        <f t="shared" si="3"/>
        <v>94.820065249498015</v>
      </c>
      <c r="U17" s="1">
        <f t="shared" si="3"/>
        <v>94.820065249498015</v>
      </c>
      <c r="V17" s="1">
        <f t="shared" si="3"/>
        <v>94.820065249498015</v>
      </c>
      <c r="X17" s="5"/>
      <c r="Y17" s="5"/>
      <c r="Z17" s="5"/>
      <c r="AA17" s="5"/>
      <c r="AB17" s="5"/>
      <c r="AC17" s="1"/>
      <c r="AD17" s="5"/>
      <c r="AE17" s="5"/>
      <c r="AF17" s="1" t="s">
        <v>67</v>
      </c>
      <c r="AG17" s="1">
        <v>0.7</v>
      </c>
      <c r="AH17" s="1">
        <v>0.7</v>
      </c>
      <c r="AI17" s="1" t="s">
        <v>68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>
      <c r="B18" s="7">
        <v>83.372</v>
      </c>
      <c r="C18" s="8">
        <v>1.1982999999999999E-10</v>
      </c>
      <c r="D18" s="8">
        <v>1.1982999999999999E-10</v>
      </c>
      <c r="E18" s="8">
        <v>1.1982999999999999E-10</v>
      </c>
      <c r="F18" s="1">
        <v>2.9234999999999998E-12</v>
      </c>
      <c r="G18" s="1">
        <v>1.1248000000000001E-17</v>
      </c>
      <c r="H18" s="1">
        <v>4.4179000000000004E-12</v>
      </c>
      <c r="I18" s="1">
        <v>9.0815000000000002E-14</v>
      </c>
      <c r="J18" s="8"/>
      <c r="K18" s="1"/>
      <c r="L18" s="1"/>
      <c r="M18" s="1"/>
      <c r="N18" s="7"/>
      <c r="O18">
        <f t="shared" si="4"/>
        <v>1.3895333333333333</v>
      </c>
      <c r="P18" s="6">
        <f t="shared" si="5"/>
        <v>99.925576321892493</v>
      </c>
      <c r="Q18" s="6">
        <f t="shared" si="0"/>
        <v>5.7644255301644982</v>
      </c>
      <c r="R18" s="6">
        <f t="shared" si="1"/>
        <v>7.1316253409465791E-2</v>
      </c>
      <c r="S18" s="5">
        <f t="shared" si="2"/>
        <v>0</v>
      </c>
      <c r="T18" s="6">
        <f t="shared" ref="T18:V81" si="6">C18/$A$1*100</f>
        <v>94.089834538318541</v>
      </c>
      <c r="U18" s="1">
        <f t="shared" si="6"/>
        <v>94.089834538318541</v>
      </c>
      <c r="V18" s="1">
        <f t="shared" si="6"/>
        <v>94.089834538318541</v>
      </c>
      <c r="X18" s="5"/>
      <c r="Y18" s="5"/>
      <c r="Z18" s="5"/>
      <c r="AA18" s="5"/>
      <c r="AB18" s="5"/>
      <c r="AC18" s="1"/>
      <c r="AD18" s="5"/>
      <c r="AE18" s="5"/>
      <c r="AF18" t="s">
        <v>69</v>
      </c>
      <c r="AG18" s="1" t="s">
        <v>70</v>
      </c>
      <c r="AH18" s="1" t="s">
        <v>71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>
      <c r="B19" s="7">
        <v>99.756</v>
      </c>
      <c r="C19" s="8">
        <v>1.189E-10</v>
      </c>
      <c r="D19" s="8">
        <v>1.189E-10</v>
      </c>
      <c r="E19" s="8">
        <v>1.189E-10</v>
      </c>
      <c r="F19" s="1">
        <v>2.9001000000000001E-12</v>
      </c>
      <c r="G19" s="1">
        <v>1.25E-17</v>
      </c>
      <c r="H19" s="1">
        <v>5.3222999999999996E-12</v>
      </c>
      <c r="I19" s="1">
        <v>1.2525999999999999E-13</v>
      </c>
      <c r="J19" s="8"/>
      <c r="K19" s="1"/>
      <c r="L19" s="1"/>
      <c r="M19" s="1"/>
      <c r="N19" s="7"/>
      <c r="O19">
        <f t="shared" si="4"/>
        <v>1.6626000000000001</v>
      </c>
      <c r="P19" s="6">
        <f t="shared" si="5"/>
        <v>99.914148801728672</v>
      </c>
      <c r="Q19" s="6">
        <f t="shared" si="0"/>
        <v>6.456181720002256</v>
      </c>
      <c r="R19" s="6">
        <f t="shared" si="1"/>
        <v>9.8363254587344642E-2</v>
      </c>
      <c r="S19" s="5">
        <f t="shared" si="2"/>
        <v>0</v>
      </c>
      <c r="T19" s="6">
        <f t="shared" si="6"/>
        <v>93.359603827139068</v>
      </c>
      <c r="U19" s="1">
        <f t="shared" si="6"/>
        <v>93.359603827139068</v>
      </c>
      <c r="V19" s="1">
        <f t="shared" si="6"/>
        <v>93.359603827139068</v>
      </c>
      <c r="X19" s="5"/>
      <c r="Y19" s="5"/>
      <c r="Z19" s="5"/>
      <c r="AA19" s="5"/>
      <c r="AB19" s="5"/>
      <c r="AC19" s="1"/>
      <c r="AD19" s="5"/>
      <c r="AE19" s="5"/>
      <c r="AF19" t="s">
        <v>72</v>
      </c>
      <c r="AG19" s="1" t="s">
        <v>73</v>
      </c>
      <c r="AH19" s="1" t="s">
        <v>74</v>
      </c>
      <c r="AI19" s="1" t="s">
        <v>75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>
      <c r="B20" s="7">
        <v>116.14</v>
      </c>
      <c r="C20" s="8">
        <v>1.1797999999999999E-10</v>
      </c>
      <c r="D20" s="8">
        <v>1.1797999999999999E-10</v>
      </c>
      <c r="E20" s="8">
        <v>1.1797999999999999E-10</v>
      </c>
      <c r="F20" s="1">
        <v>2.877E-12</v>
      </c>
      <c r="G20" s="1">
        <v>1.3627E-17</v>
      </c>
      <c r="H20" s="1">
        <v>6.2203999999999996E-12</v>
      </c>
      <c r="I20" s="1">
        <v>1.6316000000000001E-13</v>
      </c>
      <c r="J20" s="8"/>
      <c r="K20" s="1"/>
      <c r="L20" s="1"/>
      <c r="M20" s="1"/>
      <c r="N20" s="7"/>
      <c r="O20">
        <f t="shared" si="4"/>
        <v>1.9356666666666666</v>
      </c>
      <c r="P20" s="6">
        <f t="shared" si="5"/>
        <v>99.908574807019662</v>
      </c>
      <c r="Q20" s="6">
        <f t="shared" si="0"/>
        <v>7.1432267439614376</v>
      </c>
      <c r="R20" s="6">
        <f t="shared" si="1"/>
        <v>0.12812300396768178</v>
      </c>
      <c r="S20" s="5">
        <f t="shared" si="2"/>
        <v>0</v>
      </c>
      <c r="T20" s="6">
        <f t="shared" si="6"/>
        <v>92.637225059090554</v>
      </c>
      <c r="U20" s="1">
        <f t="shared" si="6"/>
        <v>92.637225059090554</v>
      </c>
      <c r="V20" s="1">
        <f t="shared" si="6"/>
        <v>92.637225059090554</v>
      </c>
      <c r="X20" s="5"/>
      <c r="Y20" s="5"/>
      <c r="Z20" s="5"/>
      <c r="AA20" s="5"/>
      <c r="AB20" s="5"/>
      <c r="AC20" s="1"/>
      <c r="AD20" s="5"/>
      <c r="AE20" s="5"/>
      <c r="AF20" t="s">
        <v>76</v>
      </c>
      <c r="AG20" s="1" t="s">
        <v>77</v>
      </c>
      <c r="AH20" s="1" t="s">
        <v>78</v>
      </c>
      <c r="AI20" s="1" t="s">
        <v>79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>
      <c r="B21" s="7">
        <v>132.52000000000001</v>
      </c>
      <c r="C21" s="8">
        <v>1.1705E-10</v>
      </c>
      <c r="D21" s="8">
        <v>1.1705E-10</v>
      </c>
      <c r="E21" s="8">
        <v>1.1705E-10</v>
      </c>
      <c r="F21" s="1">
        <v>2.8541000000000001E-12</v>
      </c>
      <c r="G21" s="1">
        <v>1.4337E-17</v>
      </c>
      <c r="H21" s="1">
        <v>7.1122000000000003E-12</v>
      </c>
      <c r="I21" s="1">
        <v>2.0358E-13</v>
      </c>
      <c r="J21" s="8"/>
      <c r="K21" s="1"/>
      <c r="L21" s="1"/>
      <c r="M21" s="1"/>
      <c r="N21" s="7"/>
      <c r="O21">
        <f t="shared" si="4"/>
        <v>2.2086666666666668</v>
      </c>
      <c r="P21" s="6">
        <f t="shared" si="5"/>
        <v>99.892337546112813</v>
      </c>
      <c r="Q21" s="6">
        <f t="shared" si="0"/>
        <v>7.8254820826107325</v>
      </c>
      <c r="R21" s="6">
        <f t="shared" si="1"/>
        <v>0.15986111559099281</v>
      </c>
      <c r="S21" s="5">
        <f t="shared" si="2"/>
        <v>0</v>
      </c>
      <c r="T21" s="6">
        <f t="shared" si="6"/>
        <v>91.90699434791108</v>
      </c>
      <c r="U21" s="1">
        <f t="shared" si="6"/>
        <v>91.90699434791108</v>
      </c>
      <c r="V21" s="1">
        <f t="shared" si="6"/>
        <v>91.90699434791108</v>
      </c>
      <c r="X21" s="5"/>
      <c r="Y21" s="5"/>
      <c r="Z21" s="5"/>
      <c r="AA21" s="5"/>
      <c r="AB21" s="5"/>
      <c r="AC21" s="1"/>
      <c r="AD21" s="5"/>
      <c r="AE21" s="5"/>
      <c r="AF21" t="s">
        <v>80</v>
      </c>
      <c r="AG21" s="1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49"/>
      <c r="AW21" s="49"/>
      <c r="AX21" s="49"/>
      <c r="AY21" s="49"/>
      <c r="AZ21" s="49"/>
      <c r="BA21" s="49"/>
      <c r="BB21" s="49"/>
      <c r="BC21" s="49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>
      <c r="B22" s="7">
        <v>148.91</v>
      </c>
      <c r="C22" s="8">
        <v>1.1614E-10</v>
      </c>
      <c r="D22" s="8">
        <v>1.1614E-10</v>
      </c>
      <c r="E22" s="8">
        <v>1.1614E-10</v>
      </c>
      <c r="F22" s="1">
        <v>2.8313999999999998E-12</v>
      </c>
      <c r="G22" s="1">
        <v>1.4752E-17</v>
      </c>
      <c r="H22" s="1">
        <v>7.9973999999999998E-12</v>
      </c>
      <c r="I22" s="1">
        <v>2.4576E-13</v>
      </c>
      <c r="J22" s="8"/>
      <c r="K22" s="1"/>
      <c r="L22" s="1"/>
      <c r="M22" s="1"/>
      <c r="N22" s="7"/>
      <c r="O22">
        <f t="shared" si="4"/>
        <v>2.4818333333333333</v>
      </c>
      <c r="P22" s="6">
        <f t="shared" si="5"/>
        <v>99.888160638222786</v>
      </c>
      <c r="Q22" s="6">
        <f t="shared" si="0"/>
        <v>8.5027121776562122</v>
      </c>
      <c r="R22" s="6">
        <f t="shared" si="1"/>
        <v>0.19298093757303078</v>
      </c>
      <c r="S22" s="5">
        <f t="shared" si="2"/>
        <v>0</v>
      </c>
      <c r="T22" s="6">
        <f t="shared" si="6"/>
        <v>91.192467522993539</v>
      </c>
      <c r="U22" s="1">
        <f t="shared" si="6"/>
        <v>91.192467522993539</v>
      </c>
      <c r="V22" s="1">
        <f t="shared" si="6"/>
        <v>91.192467522993539</v>
      </c>
      <c r="X22" s="5"/>
      <c r="Y22" s="5"/>
      <c r="Z22" s="5"/>
      <c r="AA22" s="5"/>
      <c r="AB22" s="5"/>
      <c r="AC22" s="1"/>
      <c r="AD22" s="5"/>
      <c r="AE22" s="5"/>
      <c r="AF22" s="1" t="s">
        <v>144</v>
      </c>
      <c r="AG22" s="1" t="s">
        <v>145</v>
      </c>
      <c r="AH22" s="1" t="s">
        <v>146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>
      <c r="B23" s="7">
        <v>181.68</v>
      </c>
      <c r="C23" s="8">
        <v>1.1432E-10</v>
      </c>
      <c r="D23" s="8">
        <v>1.1432E-10</v>
      </c>
      <c r="E23" s="8">
        <v>1.1432E-10</v>
      </c>
      <c r="F23" s="1">
        <v>2.7866999999999998E-12</v>
      </c>
      <c r="G23" s="1">
        <v>1.4862E-17</v>
      </c>
      <c r="H23" s="1">
        <v>9.7482E-12</v>
      </c>
      <c r="I23" s="1">
        <v>3.3322000000000002E-13</v>
      </c>
      <c r="J23" s="8"/>
      <c r="K23" s="1"/>
      <c r="L23" s="1"/>
      <c r="M23" s="1"/>
      <c r="N23" s="7"/>
      <c r="O23">
        <f t="shared" si="4"/>
        <v>3.028</v>
      </c>
      <c r="P23" s="6">
        <f t="shared" si="5"/>
        <v>99.867400186955891</v>
      </c>
      <c r="Q23" s="6">
        <f t="shared" si="0"/>
        <v>9.8423321952296501</v>
      </c>
      <c r="R23" s="6">
        <f t="shared" si="1"/>
        <v>0.26165411856779952</v>
      </c>
      <c r="S23" s="5">
        <f t="shared" si="2"/>
        <v>0</v>
      </c>
      <c r="T23" s="6">
        <f t="shared" si="6"/>
        <v>89.763413873158441</v>
      </c>
      <c r="U23" s="1">
        <f t="shared" si="6"/>
        <v>89.763413873158441</v>
      </c>
      <c r="V23" s="1">
        <f t="shared" si="6"/>
        <v>89.763413873158441</v>
      </c>
      <c r="X23" s="5"/>
      <c r="Y23" s="5"/>
      <c r="Z23" s="5"/>
      <c r="AA23" s="5"/>
      <c r="AB23" s="5"/>
      <c r="AC23" s="1"/>
      <c r="AD23" s="5"/>
      <c r="AE23" s="5"/>
      <c r="AF23" s="1" t="s">
        <v>147</v>
      </c>
      <c r="AG23" s="1" t="s">
        <v>152</v>
      </c>
      <c r="AH23" s="1" t="s">
        <v>153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>
      <c r="B24" s="7">
        <v>214.44</v>
      </c>
      <c r="C24" s="8">
        <v>1.1252E-10</v>
      </c>
      <c r="D24" s="8">
        <v>1.1252E-10</v>
      </c>
      <c r="E24" s="8">
        <v>1.1252E-10</v>
      </c>
      <c r="F24" s="1">
        <v>2.7427E-12</v>
      </c>
      <c r="G24" s="1">
        <v>1.4950000000000001E-17</v>
      </c>
      <c r="H24" s="1">
        <v>1.1473E-11</v>
      </c>
      <c r="I24" s="1">
        <v>4.2296E-13</v>
      </c>
      <c r="J24" s="8"/>
      <c r="K24" s="1"/>
      <c r="L24" s="1"/>
      <c r="M24" s="1"/>
      <c r="N24" s="7"/>
      <c r="O24">
        <f t="shared" si="4"/>
        <v>3.5739999999999998</v>
      </c>
      <c r="P24" s="6">
        <f t="shared" si="5"/>
        <v>99.844268431589171</v>
      </c>
      <c r="Q24" s="6">
        <f t="shared" si="0"/>
        <v>11.162086796681757</v>
      </c>
      <c r="R24" s="6">
        <f t="shared" si="1"/>
        <v>0.33211752532215272</v>
      </c>
      <c r="S24" s="5">
        <f t="shared" si="2"/>
        <v>0</v>
      </c>
      <c r="T24" s="6">
        <f t="shared" si="6"/>
        <v>88.350064109585276</v>
      </c>
      <c r="U24" s="1">
        <f t="shared" si="6"/>
        <v>88.350064109585276</v>
      </c>
      <c r="V24" s="1">
        <f t="shared" si="6"/>
        <v>88.350064109585276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>
      <c r="B25" s="7">
        <v>247.21</v>
      </c>
      <c r="C25" s="8">
        <v>1.1076E-10</v>
      </c>
      <c r="D25" s="8">
        <v>1.1076E-10</v>
      </c>
      <c r="E25" s="8">
        <v>1.1076E-10</v>
      </c>
      <c r="F25" s="1">
        <v>2.6995E-12</v>
      </c>
      <c r="G25" s="1">
        <v>1.5190999999999999E-17</v>
      </c>
      <c r="H25" s="1">
        <v>1.3171E-11</v>
      </c>
      <c r="I25" s="1">
        <v>5.1331999999999998E-13</v>
      </c>
      <c r="J25" s="8"/>
      <c r="K25" s="1"/>
      <c r="L25" s="1"/>
      <c r="M25" s="1"/>
      <c r="N25" s="7"/>
      <c r="O25">
        <f t="shared" si="4"/>
        <v>4.120166666666667</v>
      </c>
      <c r="P25" s="6">
        <f t="shared" si="5"/>
        <v>99.83261633721466</v>
      </c>
      <c r="Q25" s="6">
        <f t="shared" si="0"/>
        <v>12.461426345993361</v>
      </c>
      <c r="R25" s="6">
        <f t="shared" si="1"/>
        <v>0.40306787268535543</v>
      </c>
      <c r="S25" s="5">
        <f t="shared" si="2"/>
        <v>0</v>
      </c>
      <c r="T25" s="6">
        <f t="shared" si="6"/>
        <v>86.968122118535945</v>
      </c>
      <c r="U25" s="1">
        <f t="shared" si="6"/>
        <v>86.968122118535945</v>
      </c>
      <c r="V25" s="1">
        <f t="shared" si="6"/>
        <v>86.968122118535945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>
      <c r="B26" s="7">
        <v>279.98</v>
      </c>
      <c r="C26" s="8">
        <v>1.0900999999999999E-10</v>
      </c>
      <c r="D26" s="8">
        <v>1.0900999999999999E-10</v>
      </c>
      <c r="E26" s="8">
        <v>1.0900999999999999E-10</v>
      </c>
      <c r="F26" s="1">
        <v>2.6569000000000001E-12</v>
      </c>
      <c r="G26" s="1">
        <v>1.5101E-17</v>
      </c>
      <c r="H26" s="1">
        <v>1.4843E-11</v>
      </c>
      <c r="I26" s="1">
        <v>6.0336999999999998E-13</v>
      </c>
      <c r="J26" s="8"/>
      <c r="K26" s="1"/>
      <c r="L26" s="1"/>
      <c r="M26" s="1"/>
      <c r="N26" s="7"/>
      <c r="O26">
        <f t="shared" si="4"/>
        <v>4.6663333333333332</v>
      </c>
      <c r="P26" s="6">
        <f t="shared" si="5"/>
        <v>99.808628580282061</v>
      </c>
      <c r="Q26" s="6">
        <f t="shared" si="0"/>
        <v>13.740821959752322</v>
      </c>
      <c r="R26" s="6">
        <f t="shared" si="1"/>
        <v>0.47377454991218082</v>
      </c>
      <c r="S26" s="5">
        <f t="shared" si="2"/>
        <v>0</v>
      </c>
      <c r="T26" s="6">
        <f t="shared" si="6"/>
        <v>85.594032070617573</v>
      </c>
      <c r="U26" s="1">
        <f t="shared" si="6"/>
        <v>85.594032070617573</v>
      </c>
      <c r="V26" s="1">
        <f t="shared" si="6"/>
        <v>85.594032070617573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>
      <c r="B27" s="7">
        <v>312.75</v>
      </c>
      <c r="C27" s="8">
        <v>1.0729999999999999E-10</v>
      </c>
      <c r="D27" s="8">
        <v>1.0729999999999999E-10</v>
      </c>
      <c r="E27" s="8">
        <v>1.0729999999999999E-10</v>
      </c>
      <c r="F27" s="1">
        <v>2.6150000000000001E-12</v>
      </c>
      <c r="G27" s="1">
        <v>1.4885000000000001E-17</v>
      </c>
      <c r="H27" s="1">
        <v>1.6487999999999998E-11</v>
      </c>
      <c r="I27" s="1">
        <v>6.926E-13</v>
      </c>
      <c r="J27" s="8"/>
      <c r="K27" s="1"/>
      <c r="L27" s="1"/>
      <c r="M27" s="1"/>
      <c r="N27" s="7"/>
      <c r="O27">
        <f t="shared" si="4"/>
        <v>5.2125000000000004</v>
      </c>
      <c r="P27" s="6">
        <f t="shared" si="5"/>
        <v>99.794754027167684</v>
      </c>
      <c r="Q27" s="6">
        <f t="shared" si="0"/>
        <v>14.999566963076848</v>
      </c>
      <c r="R27" s="6">
        <f t="shared" si="1"/>
        <v>0.54383726886778372</v>
      </c>
      <c r="S27" s="5">
        <f t="shared" si="2"/>
        <v>0</v>
      </c>
      <c r="T27" s="6">
        <f t="shared" si="6"/>
        <v>84.251349795223064</v>
      </c>
      <c r="U27" s="1">
        <f t="shared" si="6"/>
        <v>84.251349795223064</v>
      </c>
      <c r="V27" s="1">
        <f t="shared" si="6"/>
        <v>84.251349795223064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>
      <c r="B28" s="7">
        <v>378.28</v>
      </c>
      <c r="C28" s="8">
        <v>1.0395E-10</v>
      </c>
      <c r="D28" s="8">
        <v>1.0395E-10</v>
      </c>
      <c r="E28" s="8">
        <v>1.0395E-10</v>
      </c>
      <c r="F28" s="1">
        <v>2.5332000000000002E-12</v>
      </c>
      <c r="G28" s="1">
        <v>1.4086999999999999E-17</v>
      </c>
      <c r="H28" s="1">
        <v>1.9703E-11</v>
      </c>
      <c r="I28" s="1">
        <v>8.6757000000000001E-13</v>
      </c>
      <c r="J28" s="8"/>
      <c r="K28" s="1"/>
      <c r="L28" s="1"/>
      <c r="M28" s="1"/>
      <c r="N28" s="7"/>
      <c r="O28">
        <f t="shared" si="4"/>
        <v>6.304666666666666</v>
      </c>
      <c r="P28" s="6">
        <f t="shared" si="5"/>
        <v>99.761908722465819</v>
      </c>
      <c r="Q28" s="6">
        <f t="shared" si="0"/>
        <v>17.459737784869887</v>
      </c>
      <c r="R28" s="6">
        <f t="shared" si="1"/>
        <v>0.68122209124516531</v>
      </c>
      <c r="S28" s="5">
        <f t="shared" si="2"/>
        <v>0</v>
      </c>
      <c r="T28" s="6">
        <f t="shared" si="6"/>
        <v>81.620948846350771</v>
      </c>
      <c r="U28" s="1">
        <f t="shared" si="6"/>
        <v>81.620948846350771</v>
      </c>
      <c r="V28" s="1">
        <f t="shared" si="6"/>
        <v>81.620948846350771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>
      <c r="B29" s="7">
        <v>509.36</v>
      </c>
      <c r="C29" s="8">
        <v>9.7737000000000003E-11</v>
      </c>
      <c r="D29" s="8">
        <v>9.7737000000000003E-11</v>
      </c>
      <c r="E29" s="8">
        <v>9.7737000000000003E-11</v>
      </c>
      <c r="F29" s="1">
        <v>2.3817999999999998E-12</v>
      </c>
      <c r="G29" s="1">
        <v>1.3285E-17</v>
      </c>
      <c r="H29" s="1">
        <v>2.5840000000000001E-11</v>
      </c>
      <c r="I29" s="1">
        <v>1.2025999999999999E-12</v>
      </c>
      <c r="J29" s="8"/>
      <c r="K29" s="1"/>
      <c r="L29" s="1"/>
      <c r="M29" s="1"/>
      <c r="N29" s="7"/>
      <c r="O29">
        <f t="shared" si="4"/>
        <v>8.4893333333333327</v>
      </c>
      <c r="P29" s="6">
        <f t="shared" si="5"/>
        <v>99.84641855665852</v>
      </c>
      <c r="Q29" s="6">
        <f t="shared" si="0"/>
        <v>22.159596865338553</v>
      </c>
      <c r="R29" s="6">
        <f t="shared" si="1"/>
        <v>0.94428511223594858</v>
      </c>
      <c r="S29" s="5">
        <f t="shared" si="2"/>
        <v>0</v>
      </c>
      <c r="T29" s="6">
        <f t="shared" si="6"/>
        <v>76.742536579084032</v>
      </c>
      <c r="U29" s="1">
        <f t="shared" si="6"/>
        <v>76.742536579084032</v>
      </c>
      <c r="V29" s="1">
        <f t="shared" si="6"/>
        <v>76.742536579084032</v>
      </c>
      <c r="X29" s="5"/>
      <c r="Y29" s="5"/>
      <c r="Z29" s="5"/>
      <c r="AA29" s="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>
      <c r="B30" s="7">
        <v>640.42999999999995</v>
      </c>
      <c r="C30" s="8">
        <v>9.1900999999999996E-11</v>
      </c>
      <c r="D30" s="8">
        <v>9.1900999999999996E-11</v>
      </c>
      <c r="E30" s="8">
        <v>9.1900999999999996E-11</v>
      </c>
      <c r="F30" s="1">
        <v>2.2394999999999999E-12</v>
      </c>
      <c r="G30" s="1">
        <v>1.2905E-17</v>
      </c>
      <c r="H30" s="1">
        <v>3.1610000000000001E-11</v>
      </c>
      <c r="I30" s="1">
        <v>1.5182999999999999E-12</v>
      </c>
      <c r="J30" s="8"/>
      <c r="K30" s="1"/>
      <c r="L30" s="1"/>
      <c r="M30" s="1"/>
      <c r="N30" s="7"/>
      <c r="O30">
        <f t="shared" si="4"/>
        <v>10.673833333333333</v>
      </c>
      <c r="P30" s="6">
        <f t="shared" si="5"/>
        <v>99.930748127511208</v>
      </c>
      <c r="Q30" s="6">
        <f t="shared" si="0"/>
        <v>26.578434901150079</v>
      </c>
      <c r="R30" s="6">
        <f t="shared" si="1"/>
        <v>1.1921706585065823</v>
      </c>
      <c r="S30" s="5">
        <f t="shared" si="2"/>
        <v>0</v>
      </c>
      <c r="T30" s="6">
        <f t="shared" si="6"/>
        <v>72.160142567854564</v>
      </c>
      <c r="U30" s="1">
        <f t="shared" si="6"/>
        <v>72.160142567854564</v>
      </c>
      <c r="V30" s="1">
        <f t="shared" si="6"/>
        <v>72.160142567854564</v>
      </c>
      <c r="X30" s="5"/>
      <c r="Y30" s="5"/>
      <c r="Z30" s="5"/>
      <c r="AA30" s="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>
      <c r="B31" s="7">
        <v>771.5</v>
      </c>
      <c r="C31" s="8">
        <v>8.6413999999999998E-11</v>
      </c>
      <c r="D31" s="8">
        <v>8.6413999999999998E-11</v>
      </c>
      <c r="E31" s="8">
        <v>8.6413999999999998E-11</v>
      </c>
      <c r="F31" s="1">
        <v>2.1056999999999998E-12</v>
      </c>
      <c r="G31" s="1">
        <v>1.2129000000000001E-17</v>
      </c>
      <c r="H31" s="1">
        <v>3.7034000000000002E-11</v>
      </c>
      <c r="I31" s="1">
        <v>1.8156000000000001E-12</v>
      </c>
      <c r="J31" s="8"/>
      <c r="K31" s="1"/>
      <c r="L31" s="1"/>
      <c r="M31" s="1"/>
      <c r="N31" s="7"/>
      <c r="O31">
        <f t="shared" si="4"/>
        <v>12.858333333333333</v>
      </c>
      <c r="P31" s="6">
        <f t="shared" si="5"/>
        <v>100.00965954666661</v>
      </c>
      <c r="Q31" s="6">
        <f t="shared" si="0"/>
        <v>30.732269856291634</v>
      </c>
      <c r="R31" s="6">
        <f t="shared" si="1"/>
        <v>1.4256083184792978</v>
      </c>
      <c r="S31" s="5">
        <f t="shared" si="2"/>
        <v>0</v>
      </c>
      <c r="T31" s="6">
        <f t="shared" si="6"/>
        <v>67.851781371895669</v>
      </c>
      <c r="U31" s="1">
        <f t="shared" si="6"/>
        <v>67.851781371895669</v>
      </c>
      <c r="V31" s="1">
        <f t="shared" si="6"/>
        <v>67.851781371895669</v>
      </c>
      <c r="X31" s="5"/>
      <c r="Y31" s="5"/>
      <c r="Z31" s="5"/>
      <c r="AA31" s="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>
      <c r="B32" s="7">
        <v>1033.5999999999999</v>
      </c>
      <c r="C32" s="8">
        <v>7.6197000000000006E-11</v>
      </c>
      <c r="D32" s="8">
        <v>7.6197000000000006E-11</v>
      </c>
      <c r="E32" s="8">
        <v>7.6197000000000006E-11</v>
      </c>
      <c r="F32" s="1">
        <v>1.8567E-12</v>
      </c>
      <c r="G32" s="1">
        <v>1.0237E-17</v>
      </c>
      <c r="H32" s="1">
        <v>4.6925999999999998E-11</v>
      </c>
      <c r="I32" s="1">
        <v>2.3577999999999999E-12</v>
      </c>
      <c r="J32" s="8"/>
      <c r="K32" s="1"/>
      <c r="L32" s="1"/>
      <c r="M32" s="1"/>
      <c r="N32" s="7"/>
      <c r="O32">
        <f t="shared" si="4"/>
        <v>17.226666666666667</v>
      </c>
      <c r="P32" s="6">
        <f t="shared" si="5"/>
        <v>99.984688881922509</v>
      </c>
      <c r="Q32" s="6">
        <f t="shared" si="0"/>
        <v>38.30389861747836</v>
      </c>
      <c r="R32" s="6">
        <f t="shared" si="1"/>
        <v>1.8513391894524209</v>
      </c>
      <c r="S32" s="5">
        <f t="shared" si="2"/>
        <v>0</v>
      </c>
      <c r="T32" s="6">
        <f t="shared" si="6"/>
        <v>59.829451074991724</v>
      </c>
      <c r="U32" s="1">
        <f t="shared" si="6"/>
        <v>59.829451074991724</v>
      </c>
      <c r="V32" s="1">
        <f t="shared" si="6"/>
        <v>59.829451074991724</v>
      </c>
      <c r="X32" s="5"/>
      <c r="Y32" s="5"/>
      <c r="Z32" s="5"/>
      <c r="AA32" s="5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>
      <c r="B33" s="7">
        <v>1295.8</v>
      </c>
      <c r="C33" s="8">
        <v>6.7112000000000006E-11</v>
      </c>
      <c r="D33" s="8">
        <v>6.7112000000000006E-11</v>
      </c>
      <c r="E33" s="8">
        <v>6.7112000000000006E-11</v>
      </c>
      <c r="F33" s="1">
        <v>1.6352999999999999E-12</v>
      </c>
      <c r="G33" s="1">
        <v>8.9518999999999993E-18</v>
      </c>
      <c r="H33" s="1">
        <v>5.5641999999999999E-11</v>
      </c>
      <c r="I33" s="1">
        <v>2.8355000000000002E-12</v>
      </c>
      <c r="J33" s="8"/>
      <c r="K33" s="1"/>
      <c r="L33" s="1"/>
      <c r="M33" s="1"/>
      <c r="N33" s="7"/>
      <c r="O33">
        <f t="shared" si="4"/>
        <v>21.596666666666668</v>
      </c>
      <c r="P33" s="6">
        <f t="shared" si="5"/>
        <v>99.896196473783348</v>
      </c>
      <c r="Q33" s="6">
        <f t="shared" si="0"/>
        <v>44.973810229505403</v>
      </c>
      <c r="R33" s="6">
        <f t="shared" si="1"/>
        <v>2.2264255037652676</v>
      </c>
      <c r="S33" s="5">
        <f t="shared" si="2"/>
        <v>0</v>
      </c>
      <c r="T33" s="6">
        <f t="shared" si="6"/>
        <v>52.695960740512682</v>
      </c>
      <c r="U33" s="1">
        <f t="shared" si="6"/>
        <v>52.695960740512682</v>
      </c>
      <c r="V33" s="1">
        <f t="shared" si="6"/>
        <v>52.695960740512682</v>
      </c>
      <c r="X33" s="5"/>
      <c r="Y33" s="5"/>
      <c r="Z33" s="5"/>
      <c r="AA33" s="5"/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>
      <c r="B34" s="7">
        <v>1557.9</v>
      </c>
      <c r="C34" s="8">
        <v>5.9087E-11</v>
      </c>
      <c r="D34" s="8">
        <v>5.9087E-11</v>
      </c>
      <c r="E34" s="8">
        <v>5.9087E-11</v>
      </c>
      <c r="F34" s="1">
        <v>1.4398E-12</v>
      </c>
      <c r="G34" s="1">
        <v>8.1738999999999993E-18</v>
      </c>
      <c r="H34" s="1">
        <v>6.3316999999999994E-11</v>
      </c>
      <c r="I34" s="1">
        <v>3.2566000000000001E-12</v>
      </c>
      <c r="J34" s="8"/>
      <c r="K34" s="1"/>
      <c r="L34" s="1"/>
      <c r="M34" s="1"/>
      <c r="N34" s="7"/>
      <c r="O34">
        <f t="shared" si="4"/>
        <v>25.965</v>
      </c>
      <c r="P34" s="6">
        <f t="shared" si="5"/>
        <v>99.798517690353009</v>
      </c>
      <c r="Q34" s="6">
        <f t="shared" si="0"/>
        <v>50.846671094308483</v>
      </c>
      <c r="R34" s="6">
        <f t="shared" si="1"/>
        <v>2.5570702181289051</v>
      </c>
      <c r="S34" s="5">
        <f t="shared" si="2"/>
        <v>0</v>
      </c>
      <c r="T34" s="6">
        <f t="shared" si="6"/>
        <v>46.394776377915612</v>
      </c>
      <c r="U34" s="1">
        <f t="shared" si="6"/>
        <v>46.394776377915612</v>
      </c>
      <c r="V34" s="1">
        <f t="shared" si="6"/>
        <v>46.394776377915612</v>
      </c>
      <c r="X34" s="5"/>
      <c r="Y34" s="5"/>
      <c r="Z34" s="5"/>
      <c r="AA34" s="5"/>
      <c r="AB34" s="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>
      <c r="B35" s="7">
        <v>1989.9</v>
      </c>
      <c r="C35" s="8">
        <v>4.7826999999999998E-11</v>
      </c>
      <c r="D35" s="8">
        <v>4.7826999999999998E-11</v>
      </c>
      <c r="E35" s="8">
        <v>4.7826999999999998E-11</v>
      </c>
      <c r="F35" s="1">
        <v>1.1654000000000001E-12</v>
      </c>
      <c r="G35" s="1">
        <v>6.6119999999999999E-18</v>
      </c>
      <c r="H35" s="1">
        <v>7.4030999999999997E-11</v>
      </c>
      <c r="I35" s="1">
        <v>3.8449999999999999E-12</v>
      </c>
      <c r="J35" s="8"/>
      <c r="K35" s="1"/>
      <c r="L35" s="1"/>
      <c r="M35" s="1"/>
      <c r="N35" s="7"/>
      <c r="O35">
        <f t="shared" si="4"/>
        <v>33.164999999999999</v>
      </c>
      <c r="P35" s="6">
        <f t="shared" si="5"/>
        <v>99.616351383319682</v>
      </c>
      <c r="Q35" s="6">
        <f t="shared" si="0"/>
        <v>59.043785645307658</v>
      </c>
      <c r="R35" s="6">
        <f t="shared" si="1"/>
        <v>3.0190773255597163</v>
      </c>
      <c r="S35" s="5">
        <f t="shared" si="2"/>
        <v>0</v>
      </c>
      <c r="T35" s="6">
        <f t="shared" si="6"/>
        <v>37.55348841245231</v>
      </c>
      <c r="U35" s="1">
        <f t="shared" si="6"/>
        <v>37.55348841245231</v>
      </c>
      <c r="V35" s="1">
        <f t="shared" si="6"/>
        <v>37.55348841245231</v>
      </c>
      <c r="X35" s="5"/>
      <c r="Y35" s="5"/>
      <c r="Z35" s="5"/>
      <c r="AA35" s="5"/>
      <c r="AB35" s="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>
      <c r="B36" s="7">
        <v>2421.9</v>
      </c>
      <c r="C36" s="8">
        <v>3.8685E-11</v>
      </c>
      <c r="D36" s="8">
        <v>3.8685E-11</v>
      </c>
      <c r="E36" s="8">
        <v>3.8685E-11</v>
      </c>
      <c r="F36" s="1">
        <v>9.4262999999999999E-13</v>
      </c>
      <c r="G36" s="1">
        <v>5.1643000000000003E-18</v>
      </c>
      <c r="H36" s="1">
        <v>8.2701000000000005E-11</v>
      </c>
      <c r="I36" s="1">
        <v>4.3209000000000003E-12</v>
      </c>
      <c r="J36" s="8"/>
      <c r="K36" s="1"/>
      <c r="L36" s="1"/>
      <c r="M36" s="1"/>
      <c r="N36" s="7"/>
      <c r="O36">
        <f t="shared" si="4"/>
        <v>40.365000000000002</v>
      </c>
      <c r="P36" s="6">
        <f t="shared" si="5"/>
        <v>99.444494767286514</v>
      </c>
      <c r="Q36" s="6">
        <f t="shared" si="0"/>
        <v>65.676502602723346</v>
      </c>
      <c r="R36" s="6">
        <f t="shared" si="1"/>
        <v>3.392750162436394</v>
      </c>
      <c r="S36" s="5">
        <f t="shared" si="2"/>
        <v>0</v>
      </c>
      <c r="T36" s="6">
        <f t="shared" si="6"/>
        <v>30.375242002126786</v>
      </c>
      <c r="U36" s="1">
        <f t="shared" si="6"/>
        <v>30.375242002126786</v>
      </c>
      <c r="V36" s="1">
        <f t="shared" si="6"/>
        <v>30.375242002126786</v>
      </c>
      <c r="X36" s="5"/>
      <c r="Y36" s="5"/>
      <c r="Z36" s="5"/>
      <c r="AA36" s="5"/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>
      <c r="B37" s="7">
        <v>2853.9</v>
      </c>
      <c r="C37" s="8">
        <v>3.1281999999999999E-11</v>
      </c>
      <c r="D37" s="8">
        <v>3.1281999999999999E-11</v>
      </c>
      <c r="E37" s="8">
        <v>3.1281999999999999E-11</v>
      </c>
      <c r="F37" s="1">
        <v>7.6222999999999997E-13</v>
      </c>
      <c r="G37" s="1">
        <v>4.1913999999999999E-18</v>
      </c>
      <c r="H37" s="1">
        <v>8.9713000000000006E-11</v>
      </c>
      <c r="I37" s="1">
        <v>4.7057E-12</v>
      </c>
      <c r="J37" s="8"/>
      <c r="K37" s="1"/>
      <c r="L37" s="1"/>
      <c r="M37" s="1"/>
      <c r="N37" s="7"/>
      <c r="O37">
        <f t="shared" si="4"/>
        <v>47.565000000000005</v>
      </c>
      <c r="P37" s="6">
        <f t="shared" si="5"/>
        <v>99.297976744547228</v>
      </c>
      <c r="Q37" s="6">
        <f t="shared" si="0"/>
        <v>71.040636072071393</v>
      </c>
      <c r="R37" s="6">
        <f t="shared" si="1"/>
        <v>3.6948921702002679</v>
      </c>
      <c r="S37" s="5">
        <f t="shared" si="2"/>
        <v>0</v>
      </c>
      <c r="T37" s="6">
        <f t="shared" si="6"/>
        <v>24.562448502275561</v>
      </c>
      <c r="U37" s="1">
        <f t="shared" si="6"/>
        <v>24.562448502275561</v>
      </c>
      <c r="V37" s="1">
        <f t="shared" si="6"/>
        <v>24.562448502275561</v>
      </c>
      <c r="X37" s="5"/>
      <c r="Y37" s="5"/>
      <c r="Z37" s="5"/>
      <c r="AA37" s="5"/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>
      <c r="B38" s="7">
        <v>3285.9</v>
      </c>
      <c r="C38" s="8">
        <v>2.5291999999999998E-11</v>
      </c>
      <c r="D38" s="8">
        <v>2.5291999999999998E-11</v>
      </c>
      <c r="E38" s="8">
        <v>2.5291999999999998E-11</v>
      </c>
      <c r="F38" s="1">
        <v>6.1627999999999998E-13</v>
      </c>
      <c r="G38" s="1">
        <v>3.4905E-18</v>
      </c>
      <c r="H38" s="1">
        <v>9.5382999999999998E-11</v>
      </c>
      <c r="I38" s="1">
        <v>5.0170000000000001E-12</v>
      </c>
      <c r="J38" s="8"/>
      <c r="K38" s="1"/>
      <c r="L38" s="1"/>
      <c r="M38" s="1"/>
      <c r="N38" s="7"/>
      <c r="O38">
        <f t="shared" si="4"/>
        <v>54.765000000000001</v>
      </c>
      <c r="P38" s="6">
        <f t="shared" si="5"/>
        <v>99.176545893684178</v>
      </c>
      <c r="Q38" s="6">
        <f t="shared" si="0"/>
        <v>75.378088717330499</v>
      </c>
      <c r="R38" s="6">
        <f t="shared" si="1"/>
        <v>3.9393226095244227</v>
      </c>
      <c r="S38" s="5">
        <f t="shared" si="2"/>
        <v>0</v>
      </c>
      <c r="T38" s="6">
        <f t="shared" si="6"/>
        <v>19.85913456682928</v>
      </c>
      <c r="U38" s="1">
        <f t="shared" si="6"/>
        <v>19.85913456682928</v>
      </c>
      <c r="V38" s="1">
        <f t="shared" si="6"/>
        <v>19.85913456682928</v>
      </c>
      <c r="X38" s="5"/>
      <c r="Y38" s="5"/>
      <c r="Z38" s="5"/>
      <c r="AA38" s="5"/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>
      <c r="B39" s="7">
        <v>3717.9</v>
      </c>
      <c r="C39" s="8">
        <v>2.0448E-11</v>
      </c>
      <c r="D39" s="8">
        <v>2.0448E-11</v>
      </c>
      <c r="E39" s="8">
        <v>2.0448E-11</v>
      </c>
      <c r="F39" s="1">
        <v>4.9825000000000002E-13</v>
      </c>
      <c r="G39" s="1">
        <v>2.8097999999999999E-18</v>
      </c>
      <c r="H39" s="1">
        <v>9.9967000000000005E-11</v>
      </c>
      <c r="I39" s="1">
        <v>5.2687E-12</v>
      </c>
      <c r="J39" s="8"/>
      <c r="K39" s="1"/>
      <c r="L39" s="1"/>
      <c r="M39" s="1"/>
      <c r="N39" s="7"/>
      <c r="O39">
        <f t="shared" si="4"/>
        <v>61.965000000000003</v>
      </c>
      <c r="P39" s="6">
        <f t="shared" si="5"/>
        <v>99.077351761628989</v>
      </c>
      <c r="Q39" s="6">
        <f t="shared" si="0"/>
        <v>78.884742963788753</v>
      </c>
      <c r="R39" s="6">
        <f t="shared" si="1"/>
        <v>4.1369554836489693</v>
      </c>
      <c r="S39" s="5">
        <f t="shared" si="2"/>
        <v>0</v>
      </c>
      <c r="T39" s="6">
        <f t="shared" si="6"/>
        <v>16.05565331419125</v>
      </c>
      <c r="U39" s="1">
        <f t="shared" si="6"/>
        <v>16.05565331419125</v>
      </c>
      <c r="V39" s="1">
        <f t="shared" si="6"/>
        <v>16.05565331419125</v>
      </c>
      <c r="X39" s="5"/>
      <c r="Y39" s="5"/>
      <c r="Z39" s="5"/>
      <c r="AA39" s="5"/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>
      <c r="B40" s="7">
        <v>4149.8999999999996</v>
      </c>
      <c r="C40" s="8">
        <v>1.6532000000000001E-11</v>
      </c>
      <c r="D40" s="8">
        <v>1.6532000000000001E-11</v>
      </c>
      <c r="E40" s="8">
        <v>1.6532000000000001E-11</v>
      </c>
      <c r="F40" s="1">
        <v>4.0281999999999999E-13</v>
      </c>
      <c r="G40" s="1">
        <v>2.2483999999999999E-18</v>
      </c>
      <c r="H40" s="1">
        <v>1.0367E-10</v>
      </c>
      <c r="I40" s="1">
        <v>5.4722E-12</v>
      </c>
      <c r="J40" s="8"/>
      <c r="K40" s="1"/>
      <c r="L40" s="1"/>
      <c r="M40" s="1"/>
      <c r="N40" s="7"/>
      <c r="O40">
        <f t="shared" si="4"/>
        <v>69.164999999999992</v>
      </c>
      <c r="P40" s="6">
        <f t="shared" si="5"/>
        <v>98.994960881547712</v>
      </c>
      <c r="Q40" s="6">
        <f t="shared" si="0"/>
        <v>81.717386411885258</v>
      </c>
      <c r="R40" s="6">
        <f t="shared" si="1"/>
        <v>4.2967420855559606</v>
      </c>
      <c r="S40" s="5">
        <f t="shared" si="2"/>
        <v>0</v>
      </c>
      <c r="T40" s="6">
        <f t="shared" si="6"/>
        <v>12.980832384106503</v>
      </c>
      <c r="U40" s="1">
        <f t="shared" si="6"/>
        <v>12.980832384106503</v>
      </c>
      <c r="V40" s="1">
        <f t="shared" si="6"/>
        <v>12.980832384106503</v>
      </c>
      <c r="X40" s="5"/>
      <c r="Y40" s="5"/>
      <c r="Z40" s="5"/>
      <c r="AA40" s="5"/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>
      <c r="B41" s="7">
        <v>4320</v>
      </c>
      <c r="C41" s="8">
        <v>1.5194999999999999E-11</v>
      </c>
      <c r="D41" s="8">
        <v>1.5194999999999999E-11</v>
      </c>
      <c r="E41" s="8">
        <v>1.5194999999999999E-11</v>
      </c>
      <c r="F41" s="1">
        <v>3.7025999999999998E-13</v>
      </c>
      <c r="G41" s="1">
        <v>2.0644E-18</v>
      </c>
      <c r="H41" s="1">
        <v>1.0493000000000001E-10</v>
      </c>
      <c r="I41" s="1">
        <v>5.5409000000000004E-12</v>
      </c>
      <c r="J41" s="8"/>
      <c r="K41" s="1"/>
      <c r="L41" s="1"/>
      <c r="M41" s="1"/>
      <c r="N41" s="7"/>
      <c r="O41">
        <f t="shared" si="4"/>
        <v>72</v>
      </c>
      <c r="P41" s="6">
        <f t="shared" si="5"/>
        <v>98.962877697438842</v>
      </c>
      <c r="Q41" s="6">
        <f t="shared" si="0"/>
        <v>82.681165319552065</v>
      </c>
      <c r="R41" s="6">
        <f t="shared" si="1"/>
        <v>4.3506847903899164</v>
      </c>
      <c r="S41" s="5">
        <f t="shared" si="2"/>
        <v>0</v>
      </c>
      <c r="T41" s="6">
        <f t="shared" si="6"/>
        <v>11.931027587496871</v>
      </c>
      <c r="U41" s="1">
        <f t="shared" si="6"/>
        <v>11.931027587496871</v>
      </c>
      <c r="V41" s="1">
        <f t="shared" si="6"/>
        <v>11.931027587496871</v>
      </c>
      <c r="X41" s="5"/>
      <c r="Y41" s="5"/>
      <c r="Z41" s="5"/>
      <c r="AA41" s="5"/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>
      <c r="B42" s="7">
        <v>2766</v>
      </c>
      <c r="C42" s="8">
        <v>3.074E-12</v>
      </c>
      <c r="D42" s="8">
        <v>3.074E-12</v>
      </c>
      <c r="E42" s="8">
        <v>3.074E-12</v>
      </c>
      <c r="J42" s="8"/>
      <c r="K42" s="1"/>
      <c r="L42" s="1"/>
      <c r="N42" s="7"/>
      <c r="O42">
        <f t="shared" si="4"/>
        <v>46.1</v>
      </c>
      <c r="P42" s="6">
        <f t="shared" si="5"/>
        <v>2.4136873184577419</v>
      </c>
      <c r="Q42" s="6">
        <f t="shared" si="0"/>
        <v>0</v>
      </c>
      <c r="R42" s="6">
        <f t="shared" si="1"/>
        <v>0</v>
      </c>
      <c r="S42" s="5">
        <f t="shared" si="2"/>
        <v>0</v>
      </c>
      <c r="T42" s="6">
        <f t="shared" si="6"/>
        <v>2.4136873184577419</v>
      </c>
      <c r="U42" s="1">
        <f t="shared" si="6"/>
        <v>2.4136873184577419</v>
      </c>
      <c r="V42" s="1">
        <f t="shared" si="6"/>
        <v>2.4136873184577419</v>
      </c>
      <c r="X42" s="5"/>
      <c r="Y42" s="5"/>
      <c r="Z42" s="5"/>
      <c r="AA42" s="5"/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>
      <c r="B43" s="7">
        <v>2896.9</v>
      </c>
      <c r="C43" s="8">
        <v>2.5755000000000001E-12</v>
      </c>
      <c r="D43" s="8">
        <v>2.5755000000000001E-12</v>
      </c>
      <c r="E43" s="8">
        <v>2.5755000000000001E-12</v>
      </c>
      <c r="J43" s="8"/>
      <c r="K43" s="1"/>
      <c r="L43" s="1"/>
      <c r="N43" s="7"/>
      <c r="O43">
        <f t="shared" si="4"/>
        <v>48.281666666666666</v>
      </c>
      <c r="P43" s="6">
        <f t="shared" si="5"/>
        <v>2.0222679533792824</v>
      </c>
      <c r="Q43" s="6">
        <f t="shared" si="0"/>
        <v>0</v>
      </c>
      <c r="R43" s="6">
        <f t="shared" si="1"/>
        <v>0</v>
      </c>
      <c r="S43" s="5">
        <f t="shared" si="2"/>
        <v>0</v>
      </c>
      <c r="T43" s="6">
        <f t="shared" si="6"/>
        <v>2.0222679533792824</v>
      </c>
      <c r="U43" s="1">
        <f t="shared" si="6"/>
        <v>2.0222679533792824</v>
      </c>
      <c r="V43" s="1">
        <f t="shared" si="6"/>
        <v>2.0222679533792824</v>
      </c>
      <c r="X43" s="5"/>
      <c r="Y43" s="5"/>
      <c r="Z43" s="5"/>
      <c r="AA43" s="5"/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>
      <c r="B44" s="7">
        <v>3027.8</v>
      </c>
      <c r="C44" s="8">
        <v>2.1578999999999999E-12</v>
      </c>
      <c r="D44" s="8">
        <v>2.1578999999999999E-12</v>
      </c>
      <c r="E44" s="8">
        <v>2.1578999999999999E-12</v>
      </c>
      <c r="J44" s="8"/>
      <c r="K44" s="1"/>
      <c r="L44" s="1"/>
      <c r="N44" s="7"/>
      <c r="O44">
        <f t="shared" si="4"/>
        <v>50.463333333333338</v>
      </c>
      <c r="P44" s="6">
        <f t="shared" si="5"/>
        <v>1.6943708082303062</v>
      </c>
      <c r="Q44" s="6">
        <f t="shared" si="0"/>
        <v>0</v>
      </c>
      <c r="R44" s="6">
        <f t="shared" si="1"/>
        <v>0</v>
      </c>
      <c r="S44" s="5">
        <f t="shared" si="2"/>
        <v>0</v>
      </c>
      <c r="T44" s="6">
        <f t="shared" si="6"/>
        <v>1.6943708082303062</v>
      </c>
      <c r="U44" s="1">
        <f t="shared" si="6"/>
        <v>1.6943708082303062</v>
      </c>
      <c r="V44" s="1">
        <f t="shared" si="6"/>
        <v>1.6943708082303062</v>
      </c>
      <c r="X44" s="5"/>
      <c r="Y44" s="5"/>
      <c r="Z44" s="5"/>
      <c r="AA44" s="5"/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>
      <c r="B45" s="7">
        <v>3158.7</v>
      </c>
      <c r="C45" s="8">
        <v>1.8079E-12</v>
      </c>
      <c r="D45" s="8">
        <v>1.8079E-12</v>
      </c>
      <c r="E45" s="8">
        <v>1.8079E-12</v>
      </c>
      <c r="J45" s="8"/>
      <c r="K45" s="1"/>
      <c r="L45" s="1"/>
      <c r="N45" s="7"/>
      <c r="O45">
        <f t="shared" si="4"/>
        <v>52.644999999999996</v>
      </c>
      <c r="P45" s="6">
        <f t="shared" si="5"/>
        <v>1.4195527986466334</v>
      </c>
      <c r="Q45" s="6">
        <f t="shared" si="0"/>
        <v>0</v>
      </c>
      <c r="R45" s="6">
        <f t="shared" si="1"/>
        <v>0</v>
      </c>
      <c r="S45" s="5">
        <f t="shared" si="2"/>
        <v>0</v>
      </c>
      <c r="T45" s="6">
        <f t="shared" si="6"/>
        <v>1.4195527986466334</v>
      </c>
      <c r="U45" s="1">
        <f t="shared" si="6"/>
        <v>1.4195527986466334</v>
      </c>
      <c r="V45" s="1">
        <f t="shared" si="6"/>
        <v>1.4195527986466334</v>
      </c>
      <c r="X45" s="5"/>
      <c r="Y45" s="5"/>
      <c r="Z45" s="5"/>
      <c r="AA45" s="5"/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>
      <c r="B46" s="7">
        <v>3289.6</v>
      </c>
      <c r="C46" s="8">
        <v>1.5147E-12</v>
      </c>
      <c r="D46" s="8">
        <v>1.5147E-12</v>
      </c>
      <c r="E46" s="8">
        <v>1.5147E-12</v>
      </c>
      <c r="J46" s="8"/>
      <c r="K46" s="1"/>
      <c r="L46" s="1"/>
      <c r="N46" s="7"/>
      <c r="O46">
        <f t="shared" si="4"/>
        <v>54.826666666666668</v>
      </c>
      <c r="P46" s="6">
        <f t="shared" si="5"/>
        <v>1.1893338260468254</v>
      </c>
      <c r="Q46" s="6">
        <f t="shared" si="0"/>
        <v>0</v>
      </c>
      <c r="R46" s="6">
        <f t="shared" si="1"/>
        <v>0</v>
      </c>
      <c r="S46" s="5">
        <f t="shared" si="2"/>
        <v>0</v>
      </c>
      <c r="T46" s="6">
        <f t="shared" si="6"/>
        <v>1.1893338260468254</v>
      </c>
      <c r="U46" s="1">
        <f t="shared" si="6"/>
        <v>1.1893338260468254</v>
      </c>
      <c r="V46" s="1">
        <f t="shared" si="6"/>
        <v>1.1893338260468254</v>
      </c>
      <c r="X46" s="5"/>
      <c r="Y46" s="5"/>
      <c r="Z46" s="5"/>
      <c r="AA46" s="5"/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>
      <c r="B47" s="7">
        <v>3420.6</v>
      </c>
      <c r="C47" s="8">
        <v>1.2690999999999999E-12</v>
      </c>
      <c r="D47" s="8">
        <v>1.2690999999999999E-12</v>
      </c>
      <c r="E47" s="8">
        <v>1.2690999999999999E-12</v>
      </c>
      <c r="J47" s="8"/>
      <c r="K47" s="1"/>
      <c r="L47" s="1"/>
      <c r="N47" s="7"/>
      <c r="O47">
        <f t="shared" si="4"/>
        <v>57.01</v>
      </c>
      <c r="P47" s="6">
        <f t="shared" si="5"/>
        <v>0.99649010275039673</v>
      </c>
      <c r="Q47" s="6">
        <f t="shared" si="0"/>
        <v>0</v>
      </c>
      <c r="R47" s="6">
        <f t="shared" si="1"/>
        <v>0</v>
      </c>
      <c r="S47" s="5">
        <f t="shared" si="2"/>
        <v>0</v>
      </c>
      <c r="T47" s="6">
        <f t="shared" si="6"/>
        <v>0.99649010275039673</v>
      </c>
      <c r="U47" s="1">
        <f t="shared" si="6"/>
        <v>0.99649010275039673</v>
      </c>
      <c r="V47" s="1">
        <f t="shared" si="6"/>
        <v>0.99649010275039673</v>
      </c>
      <c r="X47" s="5"/>
      <c r="Y47" s="5"/>
      <c r="Z47" s="5"/>
      <c r="AA47" s="5"/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>
      <c r="B48" s="7">
        <v>3551.5</v>
      </c>
      <c r="C48" s="8">
        <v>1.0632999999999999E-12</v>
      </c>
      <c r="D48" s="8">
        <v>1.0632999999999999E-12</v>
      </c>
      <c r="E48" s="8">
        <v>1.0632999999999999E-12</v>
      </c>
      <c r="J48" s="8"/>
      <c r="K48" s="1"/>
      <c r="L48" s="1"/>
      <c r="N48" s="7"/>
      <c r="O48">
        <f t="shared" si="4"/>
        <v>59.19166666666667</v>
      </c>
      <c r="P48" s="6">
        <f t="shared" si="5"/>
        <v>0.83489711311519732</v>
      </c>
      <c r="Q48" s="6">
        <f t="shared" si="0"/>
        <v>0</v>
      </c>
      <c r="R48" s="6">
        <f t="shared" si="1"/>
        <v>0</v>
      </c>
      <c r="S48" s="5">
        <f t="shared" si="2"/>
        <v>0</v>
      </c>
      <c r="T48" s="6">
        <f t="shared" si="6"/>
        <v>0.83489711311519732</v>
      </c>
      <c r="U48" s="1">
        <f t="shared" si="6"/>
        <v>0.83489711311519732</v>
      </c>
      <c r="V48" s="1">
        <f t="shared" si="6"/>
        <v>0.83489711311519732</v>
      </c>
      <c r="X48" s="5"/>
      <c r="Y48" s="5"/>
      <c r="Z48" s="5"/>
      <c r="AA48" s="5"/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>
      <c r="B49" s="7">
        <v>3682.4</v>
      </c>
      <c r="C49" s="8">
        <v>8.9087000000000002E-13</v>
      </c>
      <c r="D49" s="8">
        <v>8.9087000000000002E-13</v>
      </c>
      <c r="E49" s="8">
        <v>8.9087000000000002E-13</v>
      </c>
      <c r="J49" s="8"/>
      <c r="K49" s="1"/>
      <c r="L49" s="1"/>
      <c r="N49" s="7"/>
      <c r="O49">
        <f t="shared" si="4"/>
        <v>61.373333333333335</v>
      </c>
      <c r="P49" s="6">
        <f t="shared" si="5"/>
        <v>0.69950605770801844</v>
      </c>
      <c r="Q49" s="6">
        <f t="shared" si="0"/>
        <v>0</v>
      </c>
      <c r="R49" s="6">
        <f t="shared" si="1"/>
        <v>0</v>
      </c>
      <c r="S49" s="5">
        <f t="shared" si="2"/>
        <v>0</v>
      </c>
      <c r="T49" s="6">
        <f t="shared" si="6"/>
        <v>0.69950605770801844</v>
      </c>
      <c r="U49" s="1">
        <f t="shared" si="6"/>
        <v>0.69950605770801844</v>
      </c>
      <c r="V49" s="1">
        <f t="shared" si="6"/>
        <v>0.69950605770801844</v>
      </c>
      <c r="X49" s="5"/>
      <c r="Y49" s="5"/>
      <c r="Z49" s="5"/>
      <c r="AA49" s="5"/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>
      <c r="B50" s="7">
        <v>3813.3</v>
      </c>
      <c r="C50" s="8">
        <v>7.4640000000000003E-13</v>
      </c>
      <c r="D50" s="8">
        <v>7.4640000000000003E-13</v>
      </c>
      <c r="E50" s="8">
        <v>7.4640000000000003E-13</v>
      </c>
      <c r="J50" s="8"/>
      <c r="K50" s="1"/>
      <c r="L50" s="1"/>
      <c r="N50" s="7"/>
      <c r="O50">
        <f t="shared" si="4"/>
        <v>63.555</v>
      </c>
      <c r="P50" s="6">
        <f t="shared" si="5"/>
        <v>0.58606903529500931</v>
      </c>
      <c r="Q50" s="6">
        <f t="shared" si="0"/>
        <v>0</v>
      </c>
      <c r="R50" s="6">
        <f t="shared" si="1"/>
        <v>0</v>
      </c>
      <c r="S50" s="5">
        <f t="shared" si="2"/>
        <v>0</v>
      </c>
      <c r="T50" s="6">
        <f t="shared" si="6"/>
        <v>0.58606903529500931</v>
      </c>
      <c r="U50" s="1">
        <f t="shared" si="6"/>
        <v>0.58606903529500931</v>
      </c>
      <c r="V50" s="1">
        <f t="shared" si="6"/>
        <v>0.58606903529500931</v>
      </c>
      <c r="X50" s="5"/>
      <c r="Y50" s="5"/>
      <c r="Z50" s="5"/>
      <c r="AA50" s="5"/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>
      <c r="B51" s="7">
        <v>3944.2</v>
      </c>
      <c r="C51" s="8">
        <v>6.2535999999999997E-13</v>
      </c>
      <c r="D51" s="8">
        <v>6.2535999999999997E-13</v>
      </c>
      <c r="E51" s="8">
        <v>6.2535999999999997E-13</v>
      </c>
      <c r="J51" s="8"/>
      <c r="K51" s="1"/>
      <c r="L51" s="1"/>
      <c r="N51" s="7"/>
      <c r="O51">
        <f t="shared" si="4"/>
        <v>65.736666666666665</v>
      </c>
      <c r="P51" s="6">
        <f t="shared" si="5"/>
        <v>0.49102911563784429</v>
      </c>
      <c r="Q51" s="6">
        <f t="shared" si="0"/>
        <v>0</v>
      </c>
      <c r="R51" s="6">
        <f t="shared" si="1"/>
        <v>0</v>
      </c>
      <c r="S51" s="5">
        <f t="shared" si="2"/>
        <v>0</v>
      </c>
      <c r="T51" s="6">
        <f t="shared" si="6"/>
        <v>0.49102911563784429</v>
      </c>
      <c r="U51" s="1">
        <f t="shared" si="6"/>
        <v>0.49102911563784429</v>
      </c>
      <c r="V51" s="1">
        <f t="shared" si="6"/>
        <v>0.49102911563784429</v>
      </c>
      <c r="X51" s="5"/>
      <c r="Y51" s="5"/>
      <c r="Z51" s="5"/>
      <c r="AA51" s="5"/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>
      <c r="B52" s="7">
        <v>4075.1</v>
      </c>
      <c r="C52" s="8">
        <v>5.2395E-13</v>
      </c>
      <c r="D52" s="8">
        <v>5.2395E-13</v>
      </c>
      <c r="E52" s="8">
        <v>5.2395E-13</v>
      </c>
      <c r="J52" s="8"/>
      <c r="K52" s="1"/>
      <c r="L52" s="1"/>
      <c r="N52" s="7"/>
      <c r="O52">
        <f t="shared" si="4"/>
        <v>67.918333333333337</v>
      </c>
      <c r="P52" s="6">
        <f t="shared" si="5"/>
        <v>0.41140256034675793</v>
      </c>
      <c r="Q52" s="6">
        <f t="shared" si="0"/>
        <v>0</v>
      </c>
      <c r="R52" s="6">
        <f t="shared" si="1"/>
        <v>0</v>
      </c>
      <c r="S52" s="5">
        <f t="shared" si="2"/>
        <v>0</v>
      </c>
      <c r="T52" s="6">
        <f t="shared" si="6"/>
        <v>0.41140256034675793</v>
      </c>
      <c r="U52" s="1">
        <f t="shared" si="6"/>
        <v>0.41140256034675793</v>
      </c>
      <c r="V52" s="1">
        <f t="shared" si="6"/>
        <v>0.41140256034675793</v>
      </c>
      <c r="X52" s="5"/>
      <c r="Y52" s="5"/>
      <c r="Z52" s="5"/>
      <c r="AA52" s="5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>
      <c r="B53" s="7">
        <v>4206</v>
      </c>
      <c r="C53" s="8">
        <v>4.3898000000000001E-13</v>
      </c>
      <c r="D53" s="8">
        <v>4.3898000000000001E-13</v>
      </c>
      <c r="E53" s="8">
        <v>4.3898000000000001E-13</v>
      </c>
      <c r="J53" s="8"/>
      <c r="K53" s="1"/>
      <c r="L53" s="1"/>
      <c r="N53" s="7"/>
      <c r="O53">
        <f t="shared" si="4"/>
        <v>70.099999999999994</v>
      </c>
      <c r="P53" s="6">
        <f t="shared" si="5"/>
        <v>0.3446845995629732</v>
      </c>
      <c r="Q53" s="6">
        <f t="shared" si="0"/>
        <v>0</v>
      </c>
      <c r="R53" s="6">
        <f t="shared" si="1"/>
        <v>0</v>
      </c>
      <c r="S53" s="5">
        <f t="shared" si="2"/>
        <v>0</v>
      </c>
      <c r="T53" s="6">
        <f t="shared" si="6"/>
        <v>0.3446845995629732</v>
      </c>
      <c r="U53" s="1">
        <f t="shared" si="6"/>
        <v>0.3446845995629732</v>
      </c>
      <c r="V53" s="1">
        <f t="shared" si="6"/>
        <v>0.3446845995629732</v>
      </c>
      <c r="X53" s="5"/>
      <c r="Y53" s="5"/>
      <c r="Z53" s="5"/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>
      <c r="B54" s="7">
        <v>4320</v>
      </c>
      <c r="C54" s="8">
        <v>3.7621999999999999E-13</v>
      </c>
      <c r="D54" s="8">
        <v>3.7621999999999999E-13</v>
      </c>
      <c r="E54" s="8">
        <v>3.7621999999999999E-13</v>
      </c>
      <c r="J54" s="8"/>
      <c r="K54" s="1"/>
      <c r="L54" s="1"/>
      <c r="N54" s="7"/>
      <c r="O54">
        <f t="shared" si="4"/>
        <v>72</v>
      </c>
      <c r="P54" s="6">
        <f t="shared" si="5"/>
        <v>0.29540580447305514</v>
      </c>
      <c r="Q54" s="6">
        <f t="shared" si="0"/>
        <v>0</v>
      </c>
      <c r="R54" s="6">
        <f t="shared" si="1"/>
        <v>0</v>
      </c>
      <c r="S54" s="5">
        <f t="shared" si="2"/>
        <v>0</v>
      </c>
      <c r="T54" s="6">
        <f t="shared" si="6"/>
        <v>0.29540580447305514</v>
      </c>
      <c r="U54" s="1">
        <f t="shared" si="6"/>
        <v>0.29540580447305514</v>
      </c>
      <c r="V54" s="1">
        <f t="shared" si="6"/>
        <v>0.29540580447305514</v>
      </c>
      <c r="X54" s="5"/>
      <c r="Y54" s="5"/>
      <c r="Z54" s="5"/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>
      <c r="B55" s="7">
        <v>175</v>
      </c>
      <c r="C55" s="8">
        <v>1.142E-10</v>
      </c>
      <c r="D55" s="8">
        <v>1.142E-10</v>
      </c>
      <c r="E55" s="8">
        <v>1.142E-10</v>
      </c>
      <c r="J55" s="8"/>
      <c r="K55" s="1"/>
      <c r="L55" s="1"/>
      <c r="N55" s="7"/>
      <c r="P55" s="6"/>
      <c r="Q55" s="6"/>
      <c r="R55" s="6"/>
      <c r="S55" s="5"/>
      <c r="T55" s="6"/>
      <c r="U55" s="1"/>
      <c r="V55" s="1"/>
      <c r="X55" s="5"/>
      <c r="Y55" s="5"/>
      <c r="Z55" s="5"/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>
      <c r="B56" s="7">
        <v>180</v>
      </c>
      <c r="C56" s="8">
        <v>1.139E-10</v>
      </c>
      <c r="D56" s="8">
        <v>1.139E-10</v>
      </c>
      <c r="E56" s="8">
        <v>1.139E-10</v>
      </c>
      <c r="J56" s="8"/>
      <c r="K56" s="1"/>
      <c r="L56" s="1"/>
      <c r="N56" s="7"/>
      <c r="P56" s="6"/>
      <c r="Q56" s="6"/>
      <c r="R56" s="6"/>
      <c r="S56" s="5"/>
      <c r="T56" s="6"/>
      <c r="U56" s="1"/>
      <c r="V56" s="1"/>
      <c r="X56" s="5"/>
      <c r="Y56" s="5"/>
      <c r="Z56" s="5"/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>
      <c r="B57" s="7">
        <v>185</v>
      </c>
      <c r="C57" s="8">
        <v>1.136E-10</v>
      </c>
      <c r="D57" s="8">
        <v>1.136E-10</v>
      </c>
      <c r="E57" s="8">
        <v>1.136E-10</v>
      </c>
      <c r="J57" s="8"/>
      <c r="K57" s="1"/>
      <c r="L57" s="1"/>
      <c r="N57" s="7"/>
      <c r="P57" s="6"/>
      <c r="Q57" s="6"/>
      <c r="R57" s="6"/>
      <c r="S57" s="5"/>
      <c r="T57" s="6"/>
      <c r="U57" s="1"/>
      <c r="V57" s="1"/>
      <c r="X57" s="5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>
      <c r="B58" s="7">
        <v>190</v>
      </c>
      <c r="C58" s="8">
        <v>1.133E-10</v>
      </c>
      <c r="D58" s="8">
        <v>1.133E-10</v>
      </c>
      <c r="E58" s="8">
        <v>1.133E-10</v>
      </c>
      <c r="J58" s="8"/>
      <c r="K58" s="1"/>
      <c r="L58" s="1"/>
      <c r="N58" s="7"/>
      <c r="P58" s="6"/>
      <c r="Q58" s="6"/>
      <c r="R58" s="6"/>
      <c r="S58" s="5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>
      <c r="B59" s="7">
        <v>195</v>
      </c>
      <c r="C59" s="8">
        <v>1.13E-10</v>
      </c>
      <c r="D59" s="8">
        <v>1.13E-10</v>
      </c>
      <c r="E59" s="8">
        <v>1.13E-10</v>
      </c>
      <c r="J59" s="8"/>
      <c r="K59" s="1"/>
      <c r="L59" s="1"/>
      <c r="N59" s="7"/>
      <c r="P59" s="6"/>
      <c r="Q59" s="6"/>
      <c r="R59" s="6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>
      <c r="B60" s="7">
        <v>200</v>
      </c>
      <c r="C60" s="8">
        <v>1.127E-10</v>
      </c>
      <c r="D60" s="8">
        <v>1.127E-10</v>
      </c>
      <c r="E60" s="8">
        <v>1.127E-10</v>
      </c>
      <c r="J60" s="8"/>
      <c r="K60" s="1"/>
      <c r="L60" s="1"/>
      <c r="N60" s="7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>
      <c r="B61" s="7">
        <v>205</v>
      </c>
      <c r="C61" s="8">
        <v>1.1241E-10</v>
      </c>
      <c r="D61" s="8">
        <v>1.1241E-10</v>
      </c>
      <c r="E61" s="8">
        <v>1.1241E-10</v>
      </c>
      <c r="J61" s="8"/>
      <c r="K61" s="1"/>
      <c r="L61" s="1"/>
      <c r="N61" s="7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>
      <c r="B62" s="7">
        <v>210</v>
      </c>
      <c r="C62" s="8">
        <v>1.1211E-10</v>
      </c>
      <c r="D62" s="8">
        <v>1.1211E-10</v>
      </c>
      <c r="E62" s="8">
        <v>1.1211E-10</v>
      </c>
      <c r="J62" s="8"/>
      <c r="K62" s="1"/>
      <c r="L62" s="1"/>
      <c r="N62" s="7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>
      <c r="B63" s="7">
        <v>215</v>
      </c>
      <c r="C63" s="8">
        <v>1.1181E-10</v>
      </c>
      <c r="D63" s="8">
        <v>1.1181E-10</v>
      </c>
      <c r="E63" s="8">
        <v>1.1181E-10</v>
      </c>
      <c r="J63" s="8"/>
      <c r="K63" s="1"/>
      <c r="L63" s="1"/>
      <c r="N63" s="7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>
      <c r="B64" s="7">
        <v>220</v>
      </c>
      <c r="C64" s="8">
        <v>1.1152000000000001E-10</v>
      </c>
      <c r="D64" s="8">
        <v>1.1152000000000001E-10</v>
      </c>
      <c r="E64" s="8">
        <v>1.1152000000000001E-10</v>
      </c>
      <c r="J64" s="8"/>
      <c r="K64" s="1"/>
      <c r="L64" s="1"/>
      <c r="N64" s="7"/>
      <c r="P64" s="6"/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2:65">
      <c r="B65" s="7">
        <v>225</v>
      </c>
      <c r="C65" s="8">
        <v>1.1122E-10</v>
      </c>
      <c r="D65" s="8">
        <v>1.1122E-10</v>
      </c>
      <c r="E65" s="8">
        <v>1.1122E-10</v>
      </c>
      <c r="J65" s="8"/>
      <c r="K65" s="1"/>
      <c r="L65" s="1"/>
      <c r="N65" s="7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2:65">
      <c r="B66" s="7">
        <v>230</v>
      </c>
      <c r="C66" s="8">
        <v>1.1093E-10</v>
      </c>
      <c r="D66" s="8">
        <v>1.1093E-10</v>
      </c>
      <c r="E66" s="8">
        <v>1.1093E-10</v>
      </c>
      <c r="J66" s="8"/>
      <c r="K66" s="1"/>
      <c r="L66" s="1"/>
      <c r="N66" s="7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2:65">
      <c r="B67" s="7">
        <v>235</v>
      </c>
      <c r="C67" s="8">
        <v>1.1063E-10</v>
      </c>
      <c r="D67" s="8">
        <v>1.1063E-10</v>
      </c>
      <c r="E67" s="8">
        <v>1.1063E-10</v>
      </c>
      <c r="J67" s="8"/>
      <c r="K67" s="1"/>
      <c r="L67" s="1"/>
      <c r="N67" s="7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2:65">
      <c r="B68" s="7">
        <v>240</v>
      </c>
      <c r="C68" s="8">
        <v>1.1034E-10</v>
      </c>
      <c r="D68" s="8">
        <v>1.1034E-10</v>
      </c>
      <c r="E68" s="8">
        <v>1.1034E-10</v>
      </c>
      <c r="J68" s="8"/>
      <c r="K68" s="1"/>
      <c r="L68" s="1"/>
      <c r="N68" s="7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2:65">
      <c r="B69" s="7">
        <v>245</v>
      </c>
      <c r="C69" s="8">
        <v>1.1005E-10</v>
      </c>
      <c r="D69" s="8">
        <v>1.1005E-10</v>
      </c>
      <c r="E69" s="8">
        <v>1.1005E-10</v>
      </c>
      <c r="J69" s="8"/>
      <c r="K69" s="1"/>
      <c r="L69" s="1"/>
      <c r="N69" s="7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2:65">
      <c r="B70" s="7">
        <v>250</v>
      </c>
      <c r="C70" s="8">
        <v>1.0976E-10</v>
      </c>
      <c r="D70" s="8">
        <v>1.0976E-10</v>
      </c>
      <c r="E70" s="8">
        <v>1.0976E-10</v>
      </c>
      <c r="J70" s="8"/>
      <c r="K70" s="1"/>
      <c r="L70" s="1"/>
      <c r="N70" s="7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2:65">
      <c r="B71" s="7">
        <v>255</v>
      </c>
      <c r="C71" s="8">
        <v>1.0947E-10</v>
      </c>
      <c r="D71" s="8">
        <v>1.0947E-10</v>
      </c>
      <c r="E71" s="8">
        <v>1.0947E-10</v>
      </c>
      <c r="J71" s="8"/>
      <c r="K71" s="1"/>
      <c r="L71" s="1"/>
      <c r="N71" s="7"/>
      <c r="P71" s="6"/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2:65">
      <c r="B72" s="7">
        <v>260</v>
      </c>
      <c r="C72" s="8">
        <v>1.0918E-10</v>
      </c>
      <c r="D72" s="8">
        <v>1.0918E-10</v>
      </c>
      <c r="E72" s="8">
        <v>1.0918E-10</v>
      </c>
      <c r="J72" s="8"/>
      <c r="K72" s="1"/>
      <c r="L72" s="1"/>
      <c r="N72" s="7"/>
      <c r="P72" s="6"/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2:65">
      <c r="B73" s="7">
        <v>265</v>
      </c>
      <c r="C73" s="8">
        <v>1.0889E-10</v>
      </c>
      <c r="D73" s="8">
        <v>1.0889E-10</v>
      </c>
      <c r="E73" s="8">
        <v>1.0889E-10</v>
      </c>
      <c r="J73" s="8"/>
      <c r="K73" s="1"/>
      <c r="L73" s="1"/>
      <c r="N73" s="7"/>
      <c r="P73" s="6"/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2:65">
      <c r="B74" s="7">
        <v>270</v>
      </c>
      <c r="C74" s="8">
        <v>1.086E-10</v>
      </c>
      <c r="D74" s="8">
        <v>1.086E-10</v>
      </c>
      <c r="E74" s="8">
        <v>1.086E-10</v>
      </c>
      <c r="J74" s="8"/>
      <c r="K74" s="1"/>
      <c r="L74" s="1"/>
      <c r="N74" s="7"/>
      <c r="P74" s="6"/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2:65">
      <c r="B75" s="7">
        <v>275</v>
      </c>
      <c r="C75" s="8">
        <v>1.0831E-10</v>
      </c>
      <c r="D75" s="8">
        <v>1.0831E-10</v>
      </c>
      <c r="E75" s="8">
        <v>1.0831E-10</v>
      </c>
      <c r="J75" s="8"/>
      <c r="K75" s="1"/>
      <c r="L75" s="1"/>
      <c r="N75" s="7"/>
      <c r="P75" s="6"/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2:65">
      <c r="B76" s="7">
        <v>280</v>
      </c>
      <c r="C76" s="8">
        <v>1.0802000000000001E-10</v>
      </c>
      <c r="D76" s="8">
        <v>1.0802000000000001E-10</v>
      </c>
      <c r="E76" s="8">
        <v>1.0802000000000001E-10</v>
      </c>
      <c r="J76" s="8"/>
      <c r="K76" s="1"/>
      <c r="L76" s="1"/>
      <c r="N76" s="7"/>
      <c r="P76" s="6"/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2:65">
      <c r="B77" s="7">
        <v>285</v>
      </c>
      <c r="C77" s="8">
        <v>1.0773E-10</v>
      </c>
      <c r="D77" s="8">
        <v>1.0773E-10</v>
      </c>
      <c r="E77" s="8">
        <v>1.0773E-10</v>
      </c>
      <c r="J77" s="8"/>
      <c r="K77" s="1"/>
      <c r="L77" s="1"/>
      <c r="N77" s="7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2:65">
      <c r="B78" s="7">
        <v>290</v>
      </c>
      <c r="C78" s="8">
        <v>1.0745E-10</v>
      </c>
      <c r="D78" s="8">
        <v>1.0745E-10</v>
      </c>
      <c r="E78" s="8">
        <v>1.0745E-10</v>
      </c>
      <c r="J78" s="8"/>
      <c r="K78" s="1"/>
      <c r="L78" s="1"/>
      <c r="N78" s="7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2:65">
      <c r="B79" s="7">
        <v>295</v>
      </c>
      <c r="C79" s="8">
        <v>1.0715999999999999E-10</v>
      </c>
      <c r="D79" s="8">
        <v>1.0715999999999999E-10</v>
      </c>
      <c r="E79" s="8">
        <v>1.0715999999999999E-10</v>
      </c>
      <c r="J79" s="8"/>
      <c r="K79" s="1"/>
      <c r="L79" s="1"/>
      <c r="N79" s="7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2:65">
      <c r="B80" s="7">
        <v>300</v>
      </c>
      <c r="C80" s="8">
        <v>1.0688E-10</v>
      </c>
      <c r="D80" s="8">
        <v>1.0688E-10</v>
      </c>
      <c r="E80" s="8">
        <v>1.0688E-10</v>
      </c>
      <c r="J80" s="8"/>
      <c r="K80" s="1"/>
      <c r="L80" s="1"/>
      <c r="N80" s="7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2:65">
      <c r="B81" s="7">
        <v>310</v>
      </c>
      <c r="C81" s="8">
        <v>1.0631000000000001E-10</v>
      </c>
      <c r="D81" s="8">
        <v>1.0631000000000001E-10</v>
      </c>
      <c r="E81" s="8">
        <v>1.0631000000000001E-10</v>
      </c>
      <c r="J81" s="8"/>
      <c r="K81" s="1"/>
      <c r="L81" s="1"/>
      <c r="N81" s="7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2:65">
      <c r="B82" s="7">
        <v>320</v>
      </c>
      <c r="C82" s="8">
        <v>1.0575E-10</v>
      </c>
      <c r="D82" s="8">
        <v>1.0575E-10</v>
      </c>
      <c r="E82" s="8">
        <v>1.0575E-10</v>
      </c>
      <c r="J82" s="8"/>
      <c r="K82" s="1"/>
      <c r="L82" s="1"/>
      <c r="N82" s="7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2:65">
      <c r="B83" s="7">
        <v>330</v>
      </c>
      <c r="C83" s="8">
        <v>1.0518000000000001E-10</v>
      </c>
      <c r="D83" s="8">
        <v>1.0518000000000001E-10</v>
      </c>
      <c r="E83" s="8">
        <v>1.0518000000000001E-10</v>
      </c>
      <c r="J83" s="8"/>
      <c r="K83" s="1"/>
      <c r="L83" s="1"/>
      <c r="N83" s="7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2:65">
      <c r="B84" s="7">
        <v>340</v>
      </c>
      <c r="C84" s="8">
        <v>1.0463E-10</v>
      </c>
      <c r="D84" s="8">
        <v>1.0463E-10</v>
      </c>
      <c r="E84" s="8">
        <v>1.0463E-10</v>
      </c>
      <c r="J84" s="8"/>
      <c r="K84" s="1"/>
      <c r="L84" s="1"/>
      <c r="N84" s="7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2:65">
      <c r="B85" s="7">
        <v>350</v>
      </c>
      <c r="C85" s="8">
        <v>1.0407E-10</v>
      </c>
      <c r="D85" s="8">
        <v>1.0407E-10</v>
      </c>
      <c r="E85" s="8">
        <v>1.0407E-10</v>
      </c>
      <c r="J85" s="8"/>
      <c r="K85" s="1"/>
      <c r="L85" s="1"/>
      <c r="N85" s="7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2:65">
      <c r="B86" s="7">
        <v>360</v>
      </c>
      <c r="C86" s="8">
        <v>1.0352E-10</v>
      </c>
      <c r="D86" s="8">
        <v>1.0352E-10</v>
      </c>
      <c r="E86" s="8">
        <v>1.0352E-10</v>
      </c>
      <c r="J86" s="8"/>
      <c r="K86" s="1"/>
      <c r="L86" s="1"/>
      <c r="N86" s="7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2:65">
      <c r="B87" s="7">
        <v>370</v>
      </c>
      <c r="C87" s="8">
        <v>1.0296999999999999E-10</v>
      </c>
      <c r="D87" s="8">
        <v>1.0296999999999999E-10</v>
      </c>
      <c r="E87" s="8">
        <v>1.0296999999999999E-10</v>
      </c>
      <c r="J87" s="8"/>
      <c r="K87" s="1"/>
      <c r="L87" s="1"/>
      <c r="N87" s="7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2:65">
      <c r="B88" s="7">
        <v>380</v>
      </c>
      <c r="C88" s="8">
        <v>1.0241999999999999E-10</v>
      </c>
      <c r="D88" s="8">
        <v>1.0241999999999999E-10</v>
      </c>
      <c r="E88" s="8">
        <v>1.0241999999999999E-10</v>
      </c>
      <c r="J88" s="8"/>
      <c r="K88" s="1"/>
      <c r="L88" s="1"/>
      <c r="N88" s="7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2:65">
      <c r="B89" s="7">
        <v>390</v>
      </c>
      <c r="C89" s="8">
        <v>1.0188E-10</v>
      </c>
      <c r="D89" s="8">
        <v>1.0188E-10</v>
      </c>
      <c r="E89" s="8">
        <v>1.0188E-10</v>
      </c>
      <c r="J89" s="8"/>
      <c r="K89" s="1"/>
      <c r="L89" s="1"/>
      <c r="N89" s="7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2:65">
      <c r="B90" s="7">
        <v>400</v>
      </c>
      <c r="C90" s="8">
        <v>1.0133E-10</v>
      </c>
      <c r="D90" s="8">
        <v>1.0133E-10</v>
      </c>
      <c r="E90" s="8">
        <v>1.0133E-10</v>
      </c>
      <c r="J90" s="8"/>
      <c r="K90" s="1"/>
      <c r="L90" s="1"/>
      <c r="N90" s="7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2:65">
      <c r="B91" s="7">
        <v>410</v>
      </c>
      <c r="C91" s="8">
        <v>1.008E-10</v>
      </c>
      <c r="D91" s="8">
        <v>1.008E-10</v>
      </c>
      <c r="E91" s="8">
        <v>1.008E-10</v>
      </c>
      <c r="J91" s="8"/>
      <c r="K91" s="1"/>
      <c r="L91" s="1"/>
      <c r="N91" s="7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2:65">
      <c r="B92" s="7">
        <v>420</v>
      </c>
      <c r="C92" s="8">
        <v>1.0026E-10</v>
      </c>
      <c r="D92" s="8">
        <v>1.0026E-10</v>
      </c>
      <c r="E92" s="8">
        <v>1.0026E-10</v>
      </c>
      <c r="J92" s="8"/>
      <c r="K92" s="1"/>
      <c r="L92" s="1"/>
      <c r="N92" s="7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2:65">
      <c r="B93" s="7">
        <v>430</v>
      </c>
      <c r="C93" s="8">
        <v>9.9727999999999997E-11</v>
      </c>
      <c r="D93" s="8">
        <v>9.9727999999999997E-11</v>
      </c>
      <c r="E93" s="8">
        <v>9.9727999999999997E-11</v>
      </c>
      <c r="J93" s="8"/>
      <c r="K93" s="1"/>
      <c r="L93" s="1"/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2:65">
      <c r="B94" s="7">
        <v>440</v>
      </c>
      <c r="C94" s="8">
        <v>9.9198E-11</v>
      </c>
      <c r="D94" s="8">
        <v>9.9198E-11</v>
      </c>
      <c r="E94" s="8">
        <v>9.9198E-11</v>
      </c>
      <c r="J94" s="8"/>
      <c r="K94" s="1"/>
      <c r="L94" s="1"/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2:65">
      <c r="B95" s="7">
        <v>450</v>
      </c>
      <c r="C95" s="8">
        <v>9.8671000000000002E-11</v>
      </c>
      <c r="D95" s="8">
        <v>9.8671000000000002E-11</v>
      </c>
      <c r="E95" s="8">
        <v>9.8671000000000002E-11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2:65">
      <c r="B96" s="7">
        <v>460</v>
      </c>
      <c r="C96" s="8">
        <v>9.8147000000000005E-11</v>
      </c>
      <c r="D96" s="8">
        <v>9.8147000000000005E-11</v>
      </c>
      <c r="E96" s="8">
        <v>9.8147000000000005E-11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>
      <c r="B97" s="7">
        <v>470</v>
      </c>
      <c r="C97" s="8">
        <v>9.7625999999999995E-11</v>
      </c>
      <c r="D97" s="8">
        <v>9.7625999999999995E-11</v>
      </c>
      <c r="E97" s="8">
        <v>9.7625999999999995E-11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>
      <c r="B98" s="7">
        <v>480</v>
      </c>
      <c r="C98" s="8">
        <v>9.7107000000000001E-11</v>
      </c>
      <c r="D98" s="8">
        <v>9.7107000000000001E-11</v>
      </c>
      <c r="E98" s="8">
        <v>9.7107000000000001E-11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>
      <c r="B99" s="7">
        <v>490</v>
      </c>
      <c r="C99" s="8">
        <v>9.6590999999999995E-11</v>
      </c>
      <c r="D99" s="8">
        <v>9.6590999999999995E-11</v>
      </c>
      <c r="E99" s="8">
        <v>9.6590999999999995E-11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>
      <c r="B100" s="7">
        <v>500</v>
      </c>
      <c r="C100" s="8">
        <v>9.6078000000000002E-11</v>
      </c>
      <c r="D100" s="8">
        <v>9.6078000000000002E-11</v>
      </c>
      <c r="E100" s="8">
        <v>9.6078000000000002E-11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>
      <c r="B101" s="7">
        <v>510</v>
      </c>
      <c r="C101" s="8">
        <v>9.5567999999999995E-11</v>
      </c>
      <c r="D101" s="8">
        <v>9.5567999999999995E-11</v>
      </c>
      <c r="E101" s="8">
        <v>9.5567999999999995E-11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>
      <c r="B102" s="7">
        <v>520</v>
      </c>
      <c r="C102" s="8">
        <v>9.5060000000000006E-11</v>
      </c>
      <c r="D102" s="8">
        <v>9.5060000000000006E-11</v>
      </c>
      <c r="E102" s="8">
        <v>9.5060000000000006E-11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>
      <c r="B103" s="7">
        <v>530</v>
      </c>
      <c r="C103" s="8">
        <v>9.4555999999999999E-11</v>
      </c>
      <c r="D103" s="8">
        <v>9.4555999999999999E-11</v>
      </c>
      <c r="E103" s="8">
        <v>9.4555999999999999E-11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>
      <c r="B104" s="7">
        <v>540</v>
      </c>
      <c r="C104" s="8">
        <v>9.4053000000000001E-11</v>
      </c>
      <c r="D104" s="8">
        <v>9.4053000000000001E-11</v>
      </c>
      <c r="E104" s="8">
        <v>9.4053000000000001E-11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>
      <c r="B105" s="7">
        <v>550</v>
      </c>
      <c r="C105" s="8">
        <v>9.3553999999999998E-11</v>
      </c>
      <c r="D105" s="8">
        <v>9.3553999999999998E-11</v>
      </c>
      <c r="E105" s="8">
        <v>9.3553999999999998E-11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>
      <c r="B106" s="7">
        <v>560</v>
      </c>
      <c r="C106" s="8">
        <v>9.3057E-11</v>
      </c>
      <c r="D106" s="8">
        <v>9.3057E-11</v>
      </c>
      <c r="E106" s="8">
        <v>9.3057E-11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>
      <c r="B107" s="7">
        <v>570</v>
      </c>
      <c r="C107" s="8">
        <v>9.2563000000000001E-11</v>
      </c>
      <c r="D107" s="8">
        <v>9.2563000000000001E-11</v>
      </c>
      <c r="E107" s="8">
        <v>9.2563000000000001E-11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>
      <c r="B108" s="7">
        <v>580</v>
      </c>
      <c r="C108" s="8">
        <v>9.2072000000000003E-11</v>
      </c>
      <c r="D108" s="8">
        <v>9.2072000000000003E-11</v>
      </c>
      <c r="E108" s="8">
        <v>9.2072000000000003E-11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>
      <c r="B109" s="7">
        <v>590</v>
      </c>
      <c r="C109" s="8">
        <v>9.1582999999999995E-11</v>
      </c>
      <c r="D109" s="8">
        <v>9.1582999999999995E-11</v>
      </c>
      <c r="E109" s="8">
        <v>9.1582999999999995E-11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>
      <c r="B110" s="7">
        <v>600</v>
      </c>
      <c r="C110" s="8">
        <v>9.1097000000000001E-11</v>
      </c>
      <c r="D110" s="8">
        <v>9.1097000000000001E-11</v>
      </c>
      <c r="E110" s="8">
        <v>9.1097000000000001E-11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>
      <c r="B111" s="7">
        <v>610</v>
      </c>
      <c r="C111" s="8">
        <v>9.0612999999999998E-11</v>
      </c>
      <c r="D111" s="8">
        <v>9.0612999999999998E-11</v>
      </c>
      <c r="E111" s="8">
        <v>9.0612999999999998E-11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>
      <c r="B112" s="7">
        <v>620</v>
      </c>
      <c r="C112" s="8">
        <v>9.0131999999999994E-11</v>
      </c>
      <c r="D112" s="8">
        <v>9.0131999999999994E-11</v>
      </c>
      <c r="E112" s="8">
        <v>9.0131999999999994E-11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>
      <c r="B113" s="7">
        <v>630</v>
      </c>
      <c r="C113" s="8">
        <v>8.9654000000000004E-11</v>
      </c>
      <c r="D113" s="8">
        <v>8.9654000000000004E-11</v>
      </c>
      <c r="E113" s="8">
        <v>8.9654000000000004E-11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>
      <c r="B114" s="7">
        <v>640</v>
      </c>
      <c r="C114" s="8">
        <v>8.9178000000000005E-11</v>
      </c>
      <c r="D114" s="8">
        <v>8.9178000000000005E-11</v>
      </c>
      <c r="E114" s="8">
        <v>8.9178000000000005E-11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>
      <c r="B115" s="7">
        <v>650</v>
      </c>
      <c r="C115" s="8">
        <v>8.8705000000000005E-11</v>
      </c>
      <c r="D115" s="8">
        <v>8.8705000000000005E-11</v>
      </c>
      <c r="E115" s="8">
        <v>8.8705000000000005E-11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>
      <c r="B116" s="7">
        <v>660</v>
      </c>
      <c r="C116" s="8">
        <v>8.8233999999999997E-11</v>
      </c>
      <c r="D116" s="8">
        <v>8.8233999999999997E-11</v>
      </c>
      <c r="E116" s="8">
        <v>8.8233999999999997E-11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>
      <c r="B117" s="7">
        <v>670</v>
      </c>
      <c r="C117" s="8">
        <v>8.7766000000000002E-11</v>
      </c>
      <c r="D117" s="8">
        <v>8.7766000000000002E-11</v>
      </c>
      <c r="E117" s="8">
        <v>8.7766000000000002E-11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>
      <c r="B118" s="7">
        <v>680</v>
      </c>
      <c r="C118" s="8">
        <v>8.7299999999999998E-11</v>
      </c>
      <c r="D118" s="8">
        <v>8.7299999999999998E-11</v>
      </c>
      <c r="E118" s="8">
        <v>8.7299999999999998E-11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>
      <c r="B119" s="7">
        <v>690</v>
      </c>
      <c r="C119" s="8">
        <v>8.6836999999999994E-11</v>
      </c>
      <c r="D119" s="8">
        <v>8.6836999999999994E-11</v>
      </c>
      <c r="E119" s="8">
        <v>8.6836999999999994E-11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>
      <c r="B120" s="7">
        <v>700</v>
      </c>
      <c r="C120" s="8">
        <v>8.6375999999999995E-11</v>
      </c>
      <c r="D120" s="8">
        <v>8.6375999999999995E-11</v>
      </c>
      <c r="E120" s="8">
        <v>8.6375999999999995E-11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>
      <c r="B121" s="7">
        <v>720</v>
      </c>
      <c r="C121" s="8">
        <v>8.5461000000000003E-11</v>
      </c>
      <c r="D121" s="8">
        <v>8.5461000000000003E-11</v>
      </c>
      <c r="E121" s="8">
        <v>8.5461000000000003E-11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>
      <c r="B122" s="7">
        <v>740</v>
      </c>
      <c r="C122" s="8">
        <v>8.4561999999999995E-11</v>
      </c>
      <c r="D122" s="8">
        <v>8.4561999999999995E-11</v>
      </c>
      <c r="E122" s="8">
        <v>8.4561999999999995E-11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>
      <c r="B123" s="7">
        <v>760</v>
      </c>
      <c r="C123" s="8">
        <v>8.3671000000000002E-11</v>
      </c>
      <c r="D123" s="8">
        <v>8.3671000000000002E-11</v>
      </c>
      <c r="E123" s="8">
        <v>8.3671000000000002E-11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>
      <c r="B124" s="7">
        <v>780</v>
      </c>
      <c r="C124" s="8">
        <v>8.2791000000000001E-11</v>
      </c>
      <c r="D124" s="8">
        <v>8.2791000000000001E-11</v>
      </c>
      <c r="E124" s="8">
        <v>8.2791000000000001E-11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>
      <c r="B125" s="7">
        <v>800</v>
      </c>
      <c r="C125" s="8">
        <v>8.1916000000000004E-11</v>
      </c>
      <c r="D125" s="8">
        <v>8.1916000000000004E-11</v>
      </c>
      <c r="E125" s="8">
        <v>8.1916000000000004E-11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>
      <c r="B126" s="7">
        <v>820</v>
      </c>
      <c r="C126" s="8">
        <v>8.1049999999999994E-11</v>
      </c>
      <c r="D126" s="8">
        <v>8.1049999999999994E-11</v>
      </c>
      <c r="E126" s="8">
        <v>8.1049999999999994E-11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>
      <c r="B127" s="7">
        <v>840</v>
      </c>
      <c r="C127" s="8">
        <v>8.0192000000000001E-11</v>
      </c>
      <c r="D127" s="8">
        <v>8.0192000000000001E-11</v>
      </c>
      <c r="E127" s="8">
        <v>8.0192000000000001E-11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>
      <c r="B128" s="7">
        <v>860</v>
      </c>
      <c r="C128" s="8">
        <v>7.9344000000000003E-11</v>
      </c>
      <c r="D128" s="8">
        <v>7.9344000000000003E-11</v>
      </c>
      <c r="E128" s="8">
        <v>7.9344000000000003E-11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>
      <c r="B129" s="7">
        <v>880</v>
      </c>
      <c r="C129" s="8">
        <v>7.8503999999999996E-11</v>
      </c>
      <c r="D129" s="8">
        <v>7.8503999999999996E-11</v>
      </c>
      <c r="E129" s="8">
        <v>7.8503999999999996E-11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>
      <c r="B130" s="7">
        <v>900</v>
      </c>
      <c r="C130" s="8">
        <v>7.7673999999999997E-11</v>
      </c>
      <c r="D130" s="8">
        <v>7.7673999999999997E-11</v>
      </c>
      <c r="E130" s="8">
        <v>7.7673999999999997E-11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>
      <c r="B131" s="7">
        <v>920</v>
      </c>
      <c r="C131" s="8">
        <v>7.6852000000000003E-11</v>
      </c>
      <c r="D131" s="8">
        <v>7.6852000000000003E-11</v>
      </c>
      <c r="E131" s="8">
        <v>7.6852000000000003E-11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>
      <c r="B132" s="7">
        <v>940</v>
      </c>
      <c r="C132" s="8">
        <v>7.6038999999999995E-11</v>
      </c>
      <c r="D132" s="8">
        <v>7.6038999999999995E-11</v>
      </c>
      <c r="E132" s="8">
        <v>7.6038999999999995E-11</v>
      </c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>
      <c r="B133" s="7">
        <v>960</v>
      </c>
      <c r="C133" s="8">
        <v>7.5234999999999999E-11</v>
      </c>
      <c r="D133" s="8">
        <v>7.5234999999999999E-11</v>
      </c>
      <c r="E133" s="8">
        <v>7.5234999999999999E-11</v>
      </c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>
      <c r="B134" s="7">
        <v>980</v>
      </c>
      <c r="C134" s="8">
        <v>7.4438999999999995E-11</v>
      </c>
      <c r="D134" s="8">
        <v>7.4438999999999995E-11</v>
      </c>
      <c r="E134" s="8">
        <v>7.4438999999999995E-11</v>
      </c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>
      <c r="B135" s="7">
        <v>1000</v>
      </c>
      <c r="C135" s="8">
        <v>7.3650999999999995E-11</v>
      </c>
      <c r="D135" s="8">
        <v>7.3650999999999995E-11</v>
      </c>
      <c r="E135" s="8">
        <v>7.3650999999999995E-11</v>
      </c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>
      <c r="B136" s="7">
        <v>1020</v>
      </c>
      <c r="C136" s="8">
        <v>7.2871999999999994E-11</v>
      </c>
      <c r="D136" s="8">
        <v>7.2871999999999994E-11</v>
      </c>
      <c r="E136" s="8">
        <v>7.2871999999999994E-11</v>
      </c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>
      <c r="B137" s="7">
        <v>1040</v>
      </c>
      <c r="C137" s="8">
        <v>7.2102000000000006E-11</v>
      </c>
      <c r="D137" s="8">
        <v>7.2102000000000006E-11</v>
      </c>
      <c r="E137" s="8">
        <v>7.2102000000000006E-11</v>
      </c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>
      <c r="B138" s="7">
        <v>1060</v>
      </c>
      <c r="C138" s="8">
        <v>7.1339E-11</v>
      </c>
      <c r="D138" s="8">
        <v>7.1339E-11</v>
      </c>
      <c r="E138" s="8">
        <v>7.1339E-11</v>
      </c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>
      <c r="B139" s="7">
        <v>1080</v>
      </c>
      <c r="C139" s="8">
        <v>7.0583999999999999E-11</v>
      </c>
      <c r="D139" s="8">
        <v>7.0583999999999999E-11</v>
      </c>
      <c r="E139" s="8">
        <v>7.0583999999999999E-11</v>
      </c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>
      <c r="B140" s="7">
        <v>1100</v>
      </c>
      <c r="C140" s="8">
        <v>6.9837999999999997E-11</v>
      </c>
      <c r="D140" s="8">
        <v>6.9837999999999997E-11</v>
      </c>
      <c r="E140" s="8">
        <v>6.9837999999999997E-11</v>
      </c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>
      <c r="B141" s="7">
        <v>1120</v>
      </c>
      <c r="C141" s="8">
        <v>6.9099000000000004E-11</v>
      </c>
      <c r="D141" s="8">
        <v>6.9099000000000004E-11</v>
      </c>
      <c r="E141" s="8">
        <v>6.9099000000000004E-11</v>
      </c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>
      <c r="B142" s="7">
        <v>1140</v>
      </c>
      <c r="C142" s="8">
        <v>6.8368000000000001E-11</v>
      </c>
      <c r="D142" s="8">
        <v>6.8368000000000001E-11</v>
      </c>
      <c r="E142" s="8">
        <v>6.8368000000000001E-11</v>
      </c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>
      <c r="B143" s="7">
        <v>1160</v>
      </c>
      <c r="C143" s="8">
        <v>6.7645000000000003E-11</v>
      </c>
      <c r="D143" s="8">
        <v>6.7645000000000003E-11</v>
      </c>
      <c r="E143" s="8">
        <v>6.7645000000000003E-11</v>
      </c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>
      <c r="B144" s="7">
        <v>1180</v>
      </c>
      <c r="C144" s="8">
        <v>6.6929999999999995E-11</v>
      </c>
      <c r="D144" s="8">
        <v>6.6929999999999995E-11</v>
      </c>
      <c r="E144" s="8">
        <v>6.6929999999999995E-11</v>
      </c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>
      <c r="B145" s="7">
        <v>1200</v>
      </c>
      <c r="C145" s="8">
        <v>6.6221999999999996E-11</v>
      </c>
      <c r="D145" s="8">
        <v>6.6221999999999996E-11</v>
      </c>
      <c r="E145" s="8">
        <v>6.6221999999999996E-11</v>
      </c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>
      <c r="B146" s="7">
        <v>1220</v>
      </c>
      <c r="C146" s="8">
        <v>6.5522000000000001E-11</v>
      </c>
      <c r="D146" s="8">
        <v>6.5522000000000001E-11</v>
      </c>
      <c r="E146" s="8">
        <v>6.5522000000000001E-11</v>
      </c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>
      <c r="B147" s="7">
        <v>1240</v>
      </c>
      <c r="C147" s="8">
        <v>6.4829000000000002E-11</v>
      </c>
      <c r="D147" s="8">
        <v>6.4829000000000002E-11</v>
      </c>
      <c r="E147" s="8">
        <v>6.4829000000000002E-11</v>
      </c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>
      <c r="B148" s="7">
        <v>1260</v>
      </c>
      <c r="C148" s="8">
        <v>6.4142999999999998E-11</v>
      </c>
      <c r="D148" s="8">
        <v>6.4142999999999998E-11</v>
      </c>
      <c r="E148" s="8">
        <v>6.4142999999999998E-11</v>
      </c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>
      <c r="B149" s="7">
        <v>1280</v>
      </c>
      <c r="C149" s="8">
        <v>6.3464999999999997E-11</v>
      </c>
      <c r="D149" s="8">
        <v>6.3464999999999997E-11</v>
      </c>
      <c r="E149" s="8">
        <v>6.3464999999999997E-11</v>
      </c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>
      <c r="B150" s="7">
        <v>1300</v>
      </c>
      <c r="C150" s="8">
        <v>6.2794000000000006E-11</v>
      </c>
      <c r="D150" s="8">
        <v>6.2794000000000006E-11</v>
      </c>
      <c r="E150" s="8">
        <v>6.2794000000000006E-11</v>
      </c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>
      <c r="B151" s="7">
        <v>1320</v>
      </c>
      <c r="C151" s="8">
        <v>6.2129999999999996E-11</v>
      </c>
      <c r="D151" s="8">
        <v>6.2129999999999996E-11</v>
      </c>
      <c r="E151" s="8">
        <v>6.2129999999999996E-11</v>
      </c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>
      <c r="B152" s="7">
        <v>1340</v>
      </c>
      <c r="C152" s="8">
        <v>6.1472E-11</v>
      </c>
      <c r="D152" s="8">
        <v>6.1472E-11</v>
      </c>
      <c r="E152" s="8">
        <v>6.1472E-11</v>
      </c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>
      <c r="B153" s="7">
        <v>1360</v>
      </c>
      <c r="C153" s="8">
        <v>6.0821999999999994E-11</v>
      </c>
      <c r="D153" s="8">
        <v>6.0821999999999994E-11</v>
      </c>
      <c r="E153" s="8">
        <v>6.0821999999999994E-11</v>
      </c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>
      <c r="B154" s="7">
        <v>1380</v>
      </c>
      <c r="C154" s="8">
        <v>6.0178999999999997E-11</v>
      </c>
      <c r="D154" s="8">
        <v>6.0178999999999997E-11</v>
      </c>
      <c r="E154" s="8">
        <v>6.0178999999999997E-11</v>
      </c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>
      <c r="B155" s="7">
        <v>1400</v>
      </c>
      <c r="C155" s="8">
        <v>5.9542999999999995E-11</v>
      </c>
      <c r="D155" s="8">
        <v>5.9542999999999995E-11</v>
      </c>
      <c r="E155" s="8">
        <v>5.9542999999999995E-11</v>
      </c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>
      <c r="B156" s="7">
        <v>1420</v>
      </c>
      <c r="C156" s="8">
        <v>5.8913000000000006E-11</v>
      </c>
      <c r="D156" s="8">
        <v>5.8913000000000006E-11</v>
      </c>
      <c r="E156" s="8">
        <v>5.8913000000000006E-11</v>
      </c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>
      <c r="B157" s="7">
        <v>1440</v>
      </c>
      <c r="C157" s="8">
        <v>5.829E-11</v>
      </c>
      <c r="D157" s="8">
        <v>5.829E-11</v>
      </c>
      <c r="E157" s="8">
        <v>5.829E-11</v>
      </c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>
      <c r="B158" s="7">
        <v>1460</v>
      </c>
      <c r="C158" s="8">
        <v>5.7674000000000002E-11</v>
      </c>
      <c r="D158" s="8">
        <v>5.7674000000000002E-11</v>
      </c>
      <c r="E158" s="8">
        <v>5.7674000000000002E-11</v>
      </c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>
      <c r="B159" s="7">
        <v>1480</v>
      </c>
      <c r="C159" s="8">
        <v>5.7064000000000003E-11</v>
      </c>
      <c r="D159" s="8">
        <v>5.7064000000000003E-11</v>
      </c>
      <c r="E159" s="8">
        <v>5.7064000000000003E-11</v>
      </c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>
      <c r="B160" s="7">
        <v>1500</v>
      </c>
      <c r="C160" s="8">
        <v>5.6459999999999998E-11</v>
      </c>
      <c r="D160" s="8">
        <v>5.6459999999999998E-11</v>
      </c>
      <c r="E160" s="8">
        <v>5.6459999999999998E-11</v>
      </c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>
      <c r="B161" s="7">
        <v>1520</v>
      </c>
      <c r="C161" s="8">
        <v>5.5863000000000001E-11</v>
      </c>
      <c r="D161" s="8">
        <v>5.5863000000000001E-11</v>
      </c>
      <c r="E161" s="8">
        <v>5.5863000000000001E-11</v>
      </c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>
      <c r="B162" s="7">
        <v>1560</v>
      </c>
      <c r="C162" s="8">
        <v>5.4688000000000003E-11</v>
      </c>
      <c r="D162" s="8">
        <v>5.4688000000000003E-11</v>
      </c>
      <c r="E162" s="8">
        <v>5.4688000000000003E-11</v>
      </c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>
      <c r="B163" s="7">
        <v>1600</v>
      </c>
      <c r="C163" s="8">
        <v>5.3536999999999997E-11</v>
      </c>
      <c r="D163" s="8">
        <v>5.3536999999999997E-11</v>
      </c>
      <c r="E163" s="8">
        <v>5.3536999999999997E-11</v>
      </c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>
      <c r="B164" s="7">
        <v>1640</v>
      </c>
      <c r="C164" s="8">
        <v>5.2410999999999999E-11</v>
      </c>
      <c r="D164" s="8">
        <v>5.2410999999999999E-11</v>
      </c>
      <c r="E164" s="8">
        <v>5.2410999999999999E-11</v>
      </c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>
      <c r="B165" s="7">
        <v>1680</v>
      </c>
      <c r="C165" s="8">
        <v>5.1307999999999997E-11</v>
      </c>
      <c r="D165" s="8">
        <v>5.1307999999999997E-11</v>
      </c>
      <c r="E165" s="8">
        <v>5.1307999999999997E-11</v>
      </c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>
      <c r="B166" s="7">
        <v>1720</v>
      </c>
      <c r="C166" s="8">
        <v>5.0229000000000002E-11</v>
      </c>
      <c r="D166" s="8">
        <v>5.0229000000000002E-11</v>
      </c>
      <c r="E166" s="8">
        <v>5.0229000000000002E-11</v>
      </c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>
      <c r="B167" s="7">
        <v>1760</v>
      </c>
      <c r="C167" s="8">
        <v>4.9172000000000001E-11</v>
      </c>
      <c r="D167" s="8">
        <v>4.9172000000000001E-11</v>
      </c>
      <c r="E167" s="8">
        <v>4.9172000000000001E-11</v>
      </c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>
      <c r="B168" s="7">
        <v>1800</v>
      </c>
      <c r="C168" s="8">
        <v>4.8137999999999997E-11</v>
      </c>
      <c r="D168" s="8">
        <v>4.8137999999999997E-11</v>
      </c>
      <c r="E168" s="8">
        <v>4.8137999999999997E-11</v>
      </c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>
      <c r="B169" s="7">
        <v>1840</v>
      </c>
      <c r="C169" s="8">
        <v>4.7124999999999999E-11</v>
      </c>
      <c r="D169" s="8">
        <v>4.7124999999999999E-11</v>
      </c>
      <c r="E169" s="8">
        <v>4.7124999999999999E-11</v>
      </c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>
      <c r="B170" s="7">
        <v>1880</v>
      </c>
      <c r="C170" s="8">
        <v>4.6133E-11</v>
      </c>
      <c r="D170" s="8">
        <v>4.6133E-11</v>
      </c>
      <c r="E170" s="8">
        <v>4.6133E-11</v>
      </c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>
      <c r="B171" s="7">
        <v>1920</v>
      </c>
      <c r="C171" s="8">
        <v>4.5163000000000002E-11</v>
      </c>
      <c r="D171" s="8">
        <v>4.5163000000000002E-11</v>
      </c>
      <c r="E171" s="8">
        <v>4.5163000000000002E-11</v>
      </c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>
      <c r="B172" s="7">
        <v>1960</v>
      </c>
      <c r="C172" s="8">
        <v>4.4213000000000002E-11</v>
      </c>
      <c r="D172" s="8">
        <v>4.4213000000000002E-11</v>
      </c>
      <c r="E172" s="8">
        <v>4.4213000000000002E-11</v>
      </c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>
      <c r="B173" s="7">
        <v>2000</v>
      </c>
      <c r="C173" s="8">
        <v>4.3282000000000002E-11</v>
      </c>
      <c r="D173" s="8">
        <v>4.3282000000000002E-11</v>
      </c>
      <c r="E173" s="8">
        <v>4.3282000000000002E-11</v>
      </c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>
      <c r="B174" s="7">
        <v>2040</v>
      </c>
      <c r="C174" s="8">
        <v>4.2372000000000002E-11</v>
      </c>
      <c r="D174" s="8">
        <v>4.2372000000000002E-11</v>
      </c>
      <c r="E174" s="8">
        <v>4.2372000000000002E-11</v>
      </c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>
      <c r="B175" s="7">
        <v>2080</v>
      </c>
      <c r="C175" s="8">
        <v>4.1480000000000002E-11</v>
      </c>
      <c r="D175" s="8">
        <v>4.1480000000000002E-11</v>
      </c>
      <c r="E175" s="8">
        <v>4.1480000000000002E-11</v>
      </c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>
      <c r="B176" s="7">
        <v>2120</v>
      </c>
      <c r="C176" s="8">
        <v>4.0607999999999998E-11</v>
      </c>
      <c r="D176" s="8">
        <v>4.0607999999999998E-11</v>
      </c>
      <c r="E176" s="8">
        <v>4.0607999999999998E-11</v>
      </c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>
      <c r="B177" s="7">
        <v>2160</v>
      </c>
      <c r="C177" s="8">
        <v>3.9752999999999998E-11</v>
      </c>
      <c r="D177" s="8">
        <v>3.9752999999999998E-11</v>
      </c>
      <c r="E177" s="8">
        <v>3.9752999999999998E-11</v>
      </c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>
      <c r="B178" s="7">
        <v>2200</v>
      </c>
      <c r="C178" s="8">
        <v>3.8917E-11</v>
      </c>
      <c r="D178" s="8">
        <v>3.8917E-11</v>
      </c>
      <c r="E178" s="8">
        <v>3.8917E-11</v>
      </c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>
      <c r="B179" s="7">
        <v>2240</v>
      </c>
      <c r="C179" s="8">
        <v>3.8097999999999999E-11</v>
      </c>
      <c r="D179" s="8">
        <v>3.8097999999999999E-11</v>
      </c>
      <c r="E179" s="8">
        <v>3.8097999999999999E-11</v>
      </c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>
      <c r="B180" s="7">
        <v>2280</v>
      </c>
      <c r="C180" s="8">
        <v>3.7297000000000003E-11</v>
      </c>
      <c r="D180" s="8">
        <v>3.7297000000000003E-11</v>
      </c>
      <c r="E180" s="8">
        <v>3.7297000000000003E-11</v>
      </c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>
      <c r="B181" s="7">
        <v>2320</v>
      </c>
      <c r="C181" s="8">
        <v>3.6512000000000003E-11</v>
      </c>
      <c r="D181" s="8">
        <v>3.6512000000000003E-11</v>
      </c>
      <c r="E181" s="8">
        <v>3.6512000000000003E-11</v>
      </c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>
      <c r="B182" s="7">
        <v>2360</v>
      </c>
      <c r="C182" s="8">
        <v>3.5744E-11</v>
      </c>
      <c r="D182" s="8">
        <v>3.5744E-11</v>
      </c>
      <c r="E182" s="8">
        <v>3.5744E-11</v>
      </c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>
      <c r="B183" s="7">
        <v>2400</v>
      </c>
      <c r="C183" s="8">
        <v>3.4991999999999998E-11</v>
      </c>
      <c r="D183" s="8">
        <v>3.4991999999999998E-11</v>
      </c>
      <c r="E183" s="8">
        <v>3.4991999999999998E-11</v>
      </c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>
      <c r="B184" s="7">
        <v>2440</v>
      </c>
      <c r="C184" s="8">
        <v>3.4255999999999998E-11</v>
      </c>
      <c r="D184" s="8">
        <v>3.4255999999999998E-11</v>
      </c>
      <c r="E184" s="8">
        <v>3.4255999999999998E-11</v>
      </c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>
      <c r="B185" s="7">
        <v>2480</v>
      </c>
      <c r="C185" s="8">
        <v>3.3534999999999997E-11</v>
      </c>
      <c r="D185" s="8">
        <v>3.3534999999999997E-11</v>
      </c>
      <c r="E185" s="8">
        <v>3.3534999999999997E-11</v>
      </c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>
      <c r="B186" s="7">
        <v>2520</v>
      </c>
      <c r="C186" s="8">
        <v>3.2829999999999998E-11</v>
      </c>
      <c r="D186" s="8">
        <v>3.2829999999999998E-11</v>
      </c>
      <c r="E186" s="8">
        <v>3.2829999999999998E-11</v>
      </c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>
      <c r="B187" s="7">
        <v>2560</v>
      </c>
      <c r="C187" s="8">
        <v>3.2139000000000003E-11</v>
      </c>
      <c r="D187" s="8">
        <v>3.2139000000000003E-11</v>
      </c>
      <c r="E187" s="8">
        <v>3.2139000000000003E-11</v>
      </c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>
      <c r="B188" s="7">
        <v>2600</v>
      </c>
      <c r="C188" s="8">
        <v>3.1463E-11</v>
      </c>
      <c r="D188" s="8">
        <v>3.1463E-11</v>
      </c>
      <c r="E188" s="8">
        <v>3.1463E-11</v>
      </c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>
      <c r="B189" s="7">
        <v>2640</v>
      </c>
      <c r="C189" s="8">
        <v>3.0801000000000002E-11</v>
      </c>
      <c r="D189" s="8">
        <v>3.0801000000000002E-11</v>
      </c>
      <c r="E189" s="8">
        <v>3.0801000000000002E-11</v>
      </c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>
      <c r="B190" s="7">
        <v>2680</v>
      </c>
      <c r="C190" s="8">
        <v>3.0153E-11</v>
      </c>
      <c r="D190" s="8">
        <v>3.0153E-11</v>
      </c>
      <c r="E190" s="8">
        <v>3.0153E-11</v>
      </c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>
      <c r="B191" s="7">
        <v>2720</v>
      </c>
      <c r="C191" s="8">
        <v>2.9518000000000001E-11</v>
      </c>
      <c r="D191" s="8">
        <v>2.9518000000000001E-11</v>
      </c>
      <c r="E191" s="8">
        <v>2.9518000000000001E-11</v>
      </c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>
      <c r="B192" s="7">
        <v>2760</v>
      </c>
      <c r="C192" s="8">
        <v>2.8896999999999999E-11</v>
      </c>
      <c r="D192" s="8">
        <v>2.8896999999999999E-11</v>
      </c>
      <c r="E192" s="8">
        <v>2.8896999999999999E-11</v>
      </c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>
      <c r="B193" s="7">
        <v>2800</v>
      </c>
      <c r="C193" s="8">
        <v>2.8289000000000001E-11</v>
      </c>
      <c r="D193" s="8">
        <v>2.8289000000000001E-11</v>
      </c>
      <c r="E193" s="8">
        <v>2.8289000000000001E-11</v>
      </c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>
      <c r="B194" s="7">
        <v>2840</v>
      </c>
      <c r="C194" s="8">
        <v>2.7693999999999999E-11</v>
      </c>
      <c r="D194" s="8">
        <v>2.7693999999999999E-11</v>
      </c>
      <c r="E194" s="8">
        <v>2.7693999999999999E-11</v>
      </c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>
      <c r="B195" s="7">
        <v>2880</v>
      </c>
      <c r="C195" s="8">
        <v>2.7112000000000002E-11</v>
      </c>
      <c r="D195" s="8">
        <v>2.7112000000000002E-11</v>
      </c>
      <c r="E195" s="8">
        <v>2.7112000000000002E-11</v>
      </c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>
      <c r="B196" s="7">
        <v>2920</v>
      </c>
      <c r="C196" s="8">
        <v>2.6540999999999998E-11</v>
      </c>
      <c r="D196" s="8">
        <v>2.6540999999999998E-11</v>
      </c>
      <c r="E196" s="8">
        <v>2.6540999999999998E-11</v>
      </c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>
      <c r="B197" s="7">
        <v>2960</v>
      </c>
      <c r="C197" s="8">
        <v>2.5983E-11</v>
      </c>
      <c r="D197" s="8">
        <v>2.5983E-11</v>
      </c>
      <c r="E197" s="8">
        <v>2.5983E-11</v>
      </c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>
      <c r="B198" s="7">
        <v>3000</v>
      </c>
      <c r="C198" s="8">
        <v>2.5435999999999999E-11</v>
      </c>
      <c r="D198" s="8">
        <v>2.5435999999999999E-11</v>
      </c>
      <c r="E198" s="8">
        <v>2.5435999999999999E-11</v>
      </c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>
      <c r="B199" s="7">
        <v>3040</v>
      </c>
      <c r="C199" s="8">
        <v>2.4901000000000001E-11</v>
      </c>
      <c r="D199" s="8">
        <v>2.4901000000000001E-11</v>
      </c>
      <c r="E199" s="8">
        <v>2.4901000000000001E-11</v>
      </c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>
      <c r="B200" s="7">
        <v>3080</v>
      </c>
      <c r="C200" s="8">
        <v>2.4377000000000001E-11</v>
      </c>
      <c r="D200" s="8">
        <v>2.4377000000000001E-11</v>
      </c>
      <c r="E200" s="8">
        <v>2.4377000000000001E-11</v>
      </c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>
      <c r="B201" s="7">
        <v>3120</v>
      </c>
      <c r="C201" s="8">
        <v>2.3864000000000001E-11</v>
      </c>
      <c r="D201" s="8">
        <v>2.3864000000000001E-11</v>
      </c>
      <c r="E201" s="8">
        <v>2.3864000000000001E-11</v>
      </c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>
      <c r="B202" s="7">
        <v>3160</v>
      </c>
      <c r="C202" s="8">
        <v>2.3361999999999998E-11</v>
      </c>
      <c r="D202" s="8">
        <v>2.3361999999999998E-11</v>
      </c>
      <c r="E202" s="8">
        <v>2.3361999999999998E-11</v>
      </c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>
      <c r="B203" s="7">
        <v>3200</v>
      </c>
      <c r="C203" s="8">
        <v>2.2871E-11</v>
      </c>
      <c r="D203" s="8">
        <v>2.2871E-11</v>
      </c>
      <c r="E203" s="8">
        <v>2.2871E-11</v>
      </c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>
      <c r="B204" s="7">
        <v>3240</v>
      </c>
      <c r="C204" s="8">
        <v>2.239E-11</v>
      </c>
      <c r="D204" s="8">
        <v>2.239E-11</v>
      </c>
      <c r="E204" s="8">
        <v>2.239E-11</v>
      </c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>
      <c r="B205" s="7">
        <v>3280</v>
      </c>
      <c r="C205" s="8">
        <v>2.1919000000000001E-11</v>
      </c>
      <c r="D205" s="8">
        <v>2.1919000000000001E-11</v>
      </c>
      <c r="E205" s="8">
        <v>2.1919000000000001E-11</v>
      </c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>
      <c r="B206" s="7">
        <v>3320</v>
      </c>
      <c r="C206" s="8">
        <v>2.1457E-11</v>
      </c>
      <c r="D206" s="8">
        <v>2.1457E-11</v>
      </c>
      <c r="E206" s="8">
        <v>2.1457E-11</v>
      </c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>
      <c r="B207" s="7">
        <v>3360</v>
      </c>
      <c r="C207" s="8">
        <v>2.1006000000000002E-11</v>
      </c>
      <c r="D207" s="8">
        <v>2.1006000000000002E-11</v>
      </c>
      <c r="E207" s="8">
        <v>2.1006000000000002E-11</v>
      </c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>
      <c r="B208" s="7">
        <v>3400</v>
      </c>
      <c r="C208" s="8">
        <v>2.0564E-11</v>
      </c>
      <c r="D208" s="8">
        <v>2.0564E-11</v>
      </c>
      <c r="E208" s="8">
        <v>2.0564E-11</v>
      </c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>
      <c r="B209" s="7">
        <v>3440</v>
      </c>
      <c r="C209" s="8">
        <v>2.0131000000000001E-11</v>
      </c>
      <c r="D209" s="8">
        <v>2.0131000000000001E-11</v>
      </c>
      <c r="E209" s="8">
        <v>2.0131000000000001E-11</v>
      </c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>
      <c r="B210" s="7">
        <v>3480</v>
      </c>
      <c r="C210" s="8">
        <v>1.9708000000000001E-11</v>
      </c>
      <c r="D210" s="8">
        <v>1.9708000000000001E-11</v>
      </c>
      <c r="E210" s="8">
        <v>1.9708000000000001E-11</v>
      </c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>
      <c r="B211" s="7">
        <v>3520</v>
      </c>
      <c r="C211" s="8">
        <v>1.9292999999999999E-11</v>
      </c>
      <c r="D211" s="8">
        <v>1.9292999999999999E-11</v>
      </c>
      <c r="E211" s="8">
        <v>1.9292999999999999E-11</v>
      </c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>
      <c r="B212" s="7">
        <v>3560</v>
      </c>
      <c r="C212" s="8">
        <v>1.8886999999999999E-11</v>
      </c>
      <c r="D212" s="8">
        <v>1.8886999999999999E-11</v>
      </c>
      <c r="E212" s="8">
        <v>1.8886999999999999E-11</v>
      </c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>
      <c r="B213" s="7">
        <v>3600</v>
      </c>
      <c r="C213" s="8">
        <v>1.8489999999999999E-11</v>
      </c>
      <c r="D213" s="8">
        <v>1.8489999999999999E-11</v>
      </c>
      <c r="E213" s="8">
        <v>1.8489999999999999E-11</v>
      </c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>
      <c r="B214" s="7">
        <v>3640</v>
      </c>
      <c r="C214" s="8">
        <v>1.8101E-11</v>
      </c>
      <c r="D214" s="8">
        <v>1.8101E-11</v>
      </c>
      <c r="E214" s="8">
        <v>1.8101E-11</v>
      </c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>
      <c r="B215" s="7">
        <v>3680</v>
      </c>
      <c r="C215" s="8">
        <v>1.7720000000000001E-11</v>
      </c>
      <c r="D215" s="8">
        <v>1.7720000000000001E-11</v>
      </c>
      <c r="E215" s="8">
        <v>1.7720000000000001E-11</v>
      </c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>
      <c r="B216" s="7">
        <v>3720</v>
      </c>
      <c r="C216" s="8">
        <v>1.7347E-11</v>
      </c>
      <c r="D216" s="8">
        <v>1.7347E-11</v>
      </c>
      <c r="E216" s="8">
        <v>1.7347E-11</v>
      </c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>
      <c r="B217" s="7">
        <v>3760</v>
      </c>
      <c r="C217" s="8">
        <v>1.6982E-11</v>
      </c>
      <c r="D217" s="8">
        <v>1.6982E-11</v>
      </c>
      <c r="E217" s="8">
        <v>1.6982E-11</v>
      </c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>
      <c r="B218" s="7">
        <v>3800</v>
      </c>
      <c r="C218" s="8">
        <v>1.6625000000000001E-11</v>
      </c>
      <c r="D218" s="8">
        <v>1.6625000000000001E-11</v>
      </c>
      <c r="E218" s="8">
        <v>1.6625000000000001E-11</v>
      </c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>
      <c r="B219" s="7">
        <v>3840</v>
      </c>
      <c r="C219" s="8">
        <v>1.6275E-11</v>
      </c>
      <c r="D219" s="8">
        <v>1.6275E-11</v>
      </c>
      <c r="E219" s="8">
        <v>1.6275E-11</v>
      </c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>
      <c r="B220" s="7">
        <v>3880</v>
      </c>
      <c r="C220" s="8">
        <v>1.5933E-11</v>
      </c>
      <c r="D220" s="8">
        <v>1.5933E-11</v>
      </c>
      <c r="E220" s="8">
        <v>1.5933E-11</v>
      </c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>
      <c r="B221" s="7">
        <v>3920</v>
      </c>
      <c r="C221" s="8">
        <v>1.5597999999999999E-11</v>
      </c>
      <c r="D221" s="8">
        <v>1.5597999999999999E-11</v>
      </c>
      <c r="E221" s="8">
        <v>1.5597999999999999E-11</v>
      </c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>
      <c r="B222" s="7">
        <v>3960</v>
      </c>
      <c r="C222" s="8">
        <v>1.5269999999999999E-11</v>
      </c>
      <c r="D222" s="8">
        <v>1.5269999999999999E-11</v>
      </c>
      <c r="E222" s="8">
        <v>1.5269999999999999E-11</v>
      </c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>
      <c r="B223" s="7">
        <v>4000</v>
      </c>
      <c r="C223" s="8">
        <v>1.4948E-11</v>
      </c>
      <c r="D223" s="8">
        <v>1.4948E-11</v>
      </c>
      <c r="E223" s="8">
        <v>1.4948E-11</v>
      </c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>
      <c r="B224" s="7">
        <v>4040</v>
      </c>
      <c r="C224" s="8">
        <v>1.4634000000000001E-11</v>
      </c>
      <c r="D224" s="8">
        <v>1.4634000000000001E-11</v>
      </c>
      <c r="E224" s="8">
        <v>1.4634000000000001E-11</v>
      </c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>
      <c r="B225" s="7">
        <v>4080</v>
      </c>
      <c r="C225" s="8">
        <v>1.4326E-11</v>
      </c>
      <c r="D225" s="8">
        <v>1.4326E-11</v>
      </c>
      <c r="E225" s="8">
        <v>1.4326E-11</v>
      </c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>
      <c r="B226" s="7">
        <v>4120</v>
      </c>
      <c r="C226" s="8">
        <v>1.4025E-11</v>
      </c>
      <c r="D226" s="8">
        <v>1.4025E-11</v>
      </c>
      <c r="E226" s="8">
        <v>1.4025E-11</v>
      </c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>
      <c r="B227" s="7">
        <v>4160</v>
      </c>
      <c r="C227" s="8">
        <v>1.3730000000000001E-11</v>
      </c>
      <c r="D227" s="8">
        <v>1.3730000000000001E-11</v>
      </c>
      <c r="E227" s="8">
        <v>1.3730000000000001E-11</v>
      </c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>
      <c r="B228" s="7">
        <v>4200</v>
      </c>
      <c r="C228" s="8">
        <v>1.3441E-11</v>
      </c>
      <c r="D228" s="8">
        <v>1.3441E-11</v>
      </c>
      <c r="E228" s="8">
        <v>1.3441E-11</v>
      </c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>
      <c r="B229" s="7">
        <v>4240</v>
      </c>
      <c r="C229" s="8">
        <v>1.3158E-11</v>
      </c>
      <c r="D229" s="8">
        <v>1.3158E-11</v>
      </c>
      <c r="E229" s="8">
        <v>1.3158E-11</v>
      </c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>
      <c r="B230" s="7">
        <v>4280</v>
      </c>
      <c r="C230" s="8">
        <v>1.2881000000000001E-11</v>
      </c>
      <c r="D230" s="8">
        <v>1.2881000000000001E-11</v>
      </c>
      <c r="E230" s="8">
        <v>1.2881000000000001E-11</v>
      </c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>
      <c r="B231" s="7">
        <v>4320</v>
      </c>
      <c r="C231" s="8">
        <v>1.2610000000000001E-11</v>
      </c>
      <c r="D231" s="8">
        <v>1.2610000000000001E-11</v>
      </c>
      <c r="E231" s="8">
        <v>1.2610000000000001E-11</v>
      </c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10.Document" shapeId="23555" r:id="rId4">
          <objectPr defaultSize="0" r:id="rId5">
            <anchor moveWithCells="1">
              <from>
                <xdr:col>23</xdr:col>
                <xdr:colOff>0</xdr:colOff>
                <xdr:row>17</xdr:row>
                <xdr:rowOff>0</xdr:rowOff>
              </from>
              <to>
                <xdr:col>28</xdr:col>
                <xdr:colOff>711200</xdr:colOff>
                <xdr:row>30</xdr:row>
                <xdr:rowOff>177800</xdr:rowOff>
              </to>
            </anchor>
          </objectPr>
        </oleObject>
      </mc:Choice>
      <mc:Fallback>
        <oleObject progId="Prism10.Document" shapeId="23555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3776-7D8D-4EDA-B2CF-99EE67989AE4}">
  <dimension ref="C4:H20"/>
  <sheetViews>
    <sheetView workbookViewId="0">
      <selection activeCell="E38" sqref="E38"/>
    </sheetView>
  </sheetViews>
  <sheetFormatPr baseColWidth="10" defaultColWidth="8.83203125" defaultRowHeight="17"/>
  <sheetData>
    <row r="4" spans="3:8">
      <c r="C4" s="3"/>
      <c r="D4" s="3" t="s">
        <v>37</v>
      </c>
      <c r="E4" s="3" t="s">
        <v>36</v>
      </c>
      <c r="F4" s="3" t="s">
        <v>13</v>
      </c>
      <c r="G4" s="3"/>
      <c r="H4" s="3" t="s">
        <v>141</v>
      </c>
    </row>
    <row r="5" spans="3:8">
      <c r="C5" s="47" t="s">
        <v>142</v>
      </c>
      <c r="D5" s="2">
        <v>2.83</v>
      </c>
      <c r="E5" s="2">
        <v>55.74</v>
      </c>
      <c r="F5" s="2">
        <v>41.45</v>
      </c>
      <c r="G5" s="2"/>
      <c r="H5" s="48">
        <f>D5+E5</f>
        <v>58.57</v>
      </c>
    </row>
    <row r="6" spans="3:8">
      <c r="C6" s="47" t="s">
        <v>143</v>
      </c>
      <c r="D6" s="2">
        <v>52.19</v>
      </c>
      <c r="E6" s="2">
        <v>29.78</v>
      </c>
      <c r="F6" s="2">
        <v>18.03</v>
      </c>
      <c r="G6" s="2"/>
      <c r="H6" s="48">
        <f t="shared" ref="H6:H20" si="0">D6+E6</f>
        <v>81.97</v>
      </c>
    </row>
    <row r="7" spans="3:8">
      <c r="C7" s="9"/>
      <c r="D7" s="2"/>
      <c r="E7" s="2"/>
      <c r="F7" s="2"/>
      <c r="G7" s="2"/>
      <c r="H7" s="48"/>
    </row>
    <row r="8" spans="3:8">
      <c r="C8" s="47" t="s">
        <v>139</v>
      </c>
      <c r="D8" s="2">
        <v>13.48</v>
      </c>
      <c r="E8" s="2">
        <v>50.55</v>
      </c>
      <c r="F8" s="2">
        <v>35.979999999999997</v>
      </c>
      <c r="G8" s="2"/>
      <c r="H8" s="48">
        <f t="shared" si="0"/>
        <v>64.03</v>
      </c>
    </row>
    <row r="9" spans="3:8">
      <c r="C9" s="47" t="s">
        <v>140</v>
      </c>
      <c r="D9" s="2">
        <v>24.44</v>
      </c>
      <c r="E9" s="2">
        <v>44.82</v>
      </c>
      <c r="F9" s="2">
        <v>30.74</v>
      </c>
      <c r="G9" s="2"/>
      <c r="H9" s="48">
        <f t="shared" si="0"/>
        <v>69.260000000000005</v>
      </c>
    </row>
    <row r="10" spans="3:8">
      <c r="C10" s="9"/>
      <c r="D10" s="2"/>
      <c r="E10" s="2"/>
      <c r="F10" s="2"/>
      <c r="G10" s="2"/>
      <c r="H10" s="48"/>
    </row>
    <row r="11" spans="3:8">
      <c r="C11" s="47" t="s">
        <v>137</v>
      </c>
      <c r="D11" s="2">
        <v>8.49</v>
      </c>
      <c r="E11" s="2">
        <v>69.36</v>
      </c>
      <c r="F11" s="2">
        <v>22.13</v>
      </c>
      <c r="G11" s="2"/>
      <c r="H11" s="48">
        <f t="shared" si="0"/>
        <v>77.849999999999994</v>
      </c>
    </row>
    <row r="12" spans="3:8">
      <c r="C12" s="47" t="s">
        <v>138</v>
      </c>
      <c r="D12" s="2">
        <v>27.33</v>
      </c>
      <c r="E12" s="2">
        <v>29.39</v>
      </c>
      <c r="F12" s="2">
        <v>43.26</v>
      </c>
      <c r="G12" s="2"/>
      <c r="H12" s="48">
        <f t="shared" si="0"/>
        <v>56.72</v>
      </c>
    </row>
    <row r="13" spans="3:8">
      <c r="C13" s="9"/>
      <c r="D13" s="2"/>
      <c r="E13" s="2"/>
      <c r="F13" s="2"/>
      <c r="G13" s="2"/>
      <c r="H13" s="48"/>
    </row>
    <row r="14" spans="3:8">
      <c r="C14" s="47" t="s">
        <v>135</v>
      </c>
      <c r="D14" s="2">
        <v>23.1</v>
      </c>
      <c r="E14" s="2">
        <v>38.08</v>
      </c>
      <c r="F14" s="2">
        <v>38.840000000000003</v>
      </c>
      <c r="G14" s="2"/>
      <c r="H14" s="48">
        <f t="shared" si="0"/>
        <v>61.18</v>
      </c>
    </row>
    <row r="15" spans="3:8">
      <c r="C15" s="47" t="s">
        <v>136</v>
      </c>
      <c r="D15" s="2">
        <v>18.350000000000001</v>
      </c>
      <c r="E15" s="2">
        <v>48.02</v>
      </c>
      <c r="F15" s="2">
        <v>33.630000000000003</v>
      </c>
      <c r="G15" s="2"/>
      <c r="H15" s="48">
        <f t="shared" si="0"/>
        <v>66.37</v>
      </c>
    </row>
    <row r="16" spans="3:8">
      <c r="C16" s="9"/>
      <c r="D16" s="2"/>
      <c r="E16" s="2"/>
      <c r="F16" s="2"/>
      <c r="G16" s="2"/>
      <c r="H16" s="48"/>
    </row>
    <row r="17" spans="3:8">
      <c r="C17" s="47" t="s">
        <v>133</v>
      </c>
      <c r="D17" s="2">
        <v>27.33</v>
      </c>
      <c r="E17" s="2">
        <v>29.25</v>
      </c>
      <c r="F17" s="2">
        <v>43.44</v>
      </c>
      <c r="H17" s="48">
        <f t="shared" si="0"/>
        <v>56.58</v>
      </c>
    </row>
    <row r="18" spans="3:8">
      <c r="C18" s="47" t="s">
        <v>134</v>
      </c>
      <c r="D18" s="2">
        <v>8.64</v>
      </c>
      <c r="E18" s="2">
        <v>69.38</v>
      </c>
      <c r="F18" s="2">
        <v>21.98</v>
      </c>
      <c r="H18" s="48">
        <f t="shared" si="0"/>
        <v>78.02</v>
      </c>
    </row>
    <row r="19" spans="3:8">
      <c r="C19" s="9"/>
      <c r="D19" s="2"/>
      <c r="E19" s="2"/>
      <c r="F19" s="2"/>
      <c r="H19" s="48"/>
    </row>
    <row r="20" spans="3:8">
      <c r="C20" s="47" t="s">
        <v>132</v>
      </c>
      <c r="D20" s="2">
        <v>18.41</v>
      </c>
      <c r="E20" s="2">
        <v>47.93</v>
      </c>
      <c r="F20" s="2">
        <v>33.64</v>
      </c>
      <c r="H20" s="48">
        <f t="shared" si="0"/>
        <v>66.34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step size</vt:lpstr>
      <vt:lpstr>Sheet9</vt:lpstr>
      <vt:lpstr>Case 1</vt:lpstr>
      <vt:lpstr>Case 2-1 (lowLp)</vt:lpstr>
      <vt:lpstr>Case 2-2 (highLp)</vt:lpstr>
      <vt:lpstr>Case 3-1 (lowK)</vt:lpstr>
      <vt:lpstr>Case 3-2 (highK)</vt:lpstr>
      <vt:lpstr>Case4-1(lowOncotic)</vt:lpstr>
      <vt:lpstr>Case4-2(highOncotic)</vt:lpstr>
      <vt:lpstr>Case5-1(lowSigmaBV</vt:lpstr>
      <vt:lpstr>Case5-1(highSigmaBV</vt:lpstr>
      <vt:lpstr>Case6-1(highD)</vt:lpstr>
      <vt:lpstr>Case6-2(lowD)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RogerLab</dc:creator>
  <cp:lastModifiedBy>구민홍[ 학부재학 / 전자및정보공학과 ]</cp:lastModifiedBy>
  <dcterms:created xsi:type="dcterms:W3CDTF">2015-06-05T18:17:20Z</dcterms:created>
  <dcterms:modified xsi:type="dcterms:W3CDTF">2025-12-28T11:40:18Z</dcterms:modified>
</cp:coreProperties>
</file>